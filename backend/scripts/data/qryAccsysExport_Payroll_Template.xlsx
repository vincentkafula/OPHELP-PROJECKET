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24922bd70e44b3/Documents/05 Payroll Administration/"/>
    </mc:Choice>
  </mc:AlternateContent>
  <xr:revisionPtr revIDLastSave="2601" documentId="11_15DB8584EC0137EE938CDF1DEB232B4E2F56F4FE" xr6:coauthVersionLast="47" xr6:coauthVersionMax="47" xr10:uidLastSave="{64707BEB-67D2-4B41-8F95-0B12C8092B0E}"/>
  <bookViews>
    <workbookView xWindow="-108" yWindow="-108" windowWidth="23256" windowHeight="12456" xr2:uid="{00000000-000D-0000-FFFF-FFFF00000000}"/>
  </bookViews>
  <sheets>
    <sheet name="qryAccsysExpor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5" i="1" l="1"/>
  <c r="H65" i="1"/>
  <c r="H69" i="1"/>
  <c r="M68" i="1"/>
  <c r="M69" i="1"/>
  <c r="H68" i="1"/>
  <c r="M55" i="1" l="1"/>
  <c r="H55" i="1"/>
  <c r="M64" i="1" l="1"/>
  <c r="M67" i="1"/>
  <c r="M66" i="1"/>
  <c r="H64" i="1"/>
  <c r="H67" i="1"/>
  <c r="H66" i="1"/>
  <c r="F71" i="1"/>
  <c r="G71" i="1"/>
  <c r="I71" i="1"/>
  <c r="J71" i="1"/>
  <c r="K71" i="1"/>
  <c r="L71" i="1"/>
  <c r="E71" i="1"/>
  <c r="M63" i="1"/>
  <c r="H63" i="1"/>
  <c r="M62" i="1"/>
  <c r="H62" i="1"/>
  <c r="M61" i="1"/>
  <c r="H61" i="1"/>
  <c r="M60" i="1"/>
  <c r="H60" i="1"/>
  <c r="M49" i="1"/>
  <c r="H49" i="1"/>
  <c r="H59" i="1" l="1"/>
  <c r="M59" i="1"/>
  <c r="M58" i="1" l="1"/>
  <c r="H58" i="1"/>
  <c r="M57" i="1"/>
  <c r="H57" i="1"/>
  <c r="M56" i="1"/>
  <c r="H56" i="1"/>
  <c r="H28" i="1"/>
  <c r="K28" i="1" s="1"/>
  <c r="M28" i="1" s="1"/>
  <c r="M54" i="1" l="1"/>
  <c r="H54" i="1"/>
  <c r="M42" i="1"/>
  <c r="H42" i="1"/>
  <c r="M53" i="1"/>
  <c r="H53" i="1"/>
  <c r="M37" i="1"/>
  <c r="M38" i="1"/>
  <c r="M39" i="1"/>
  <c r="M40" i="1"/>
  <c r="M41" i="1"/>
  <c r="M43" i="1"/>
  <c r="M44" i="1"/>
  <c r="M45" i="1"/>
  <c r="M46" i="1"/>
  <c r="M47" i="1"/>
  <c r="M48" i="1"/>
  <c r="M50" i="1"/>
  <c r="M51" i="1"/>
  <c r="M52" i="1"/>
  <c r="H38" i="1"/>
  <c r="H39" i="1"/>
  <c r="H40" i="1"/>
  <c r="H41" i="1"/>
  <c r="H43" i="1"/>
  <c r="H44" i="1"/>
  <c r="H45" i="1"/>
  <c r="H46" i="1"/>
  <c r="H47" i="1"/>
  <c r="H48" i="1"/>
  <c r="H50" i="1"/>
  <c r="H51" i="1"/>
  <c r="H52" i="1"/>
  <c r="F16" i="1"/>
  <c r="G16" i="1"/>
  <c r="I16" i="1"/>
  <c r="J16" i="1"/>
  <c r="L16" i="1"/>
  <c r="H36" i="1" l="1"/>
  <c r="M36" i="1"/>
  <c r="H37" i="1"/>
  <c r="H20" i="1" l="1"/>
  <c r="K20" i="1" s="1"/>
  <c r="M20" i="1" s="1"/>
  <c r="A5" i="1" l="1"/>
  <c r="F22" i="1" l="1"/>
  <c r="G22" i="1"/>
  <c r="I22" i="1"/>
  <c r="J22" i="1"/>
  <c r="L22" i="1"/>
  <c r="H34" i="1" l="1"/>
  <c r="M34" i="1"/>
  <c r="H35" i="1"/>
  <c r="M35" i="1"/>
  <c r="M71" i="1" l="1"/>
  <c r="H71" i="1"/>
  <c r="A6" i="1"/>
  <c r="A7" i="1" s="1"/>
  <c r="A8" i="1" s="1"/>
  <c r="A9" i="1" s="1"/>
  <c r="A10" i="1" l="1"/>
  <c r="A14" i="1" s="1"/>
  <c r="A15" i="1" s="1"/>
  <c r="A19" i="1" s="1"/>
  <c r="H30" i="1"/>
  <c r="K30" i="1" s="1"/>
  <c r="M30" i="1" s="1"/>
  <c r="H26" i="1" l="1"/>
  <c r="K26" i="1" s="1"/>
  <c r="M26" i="1" s="1"/>
  <c r="A20" i="1" l="1"/>
  <c r="A21" i="1" s="1"/>
  <c r="A25" i="1" s="1"/>
  <c r="A26" i="1" s="1"/>
  <c r="A27" i="1" s="1"/>
  <c r="A28" i="1" s="1"/>
  <c r="A29" i="1" s="1"/>
  <c r="H15" i="1"/>
  <c r="K15" i="1" s="1"/>
  <c r="M15" i="1" s="1"/>
  <c r="H19" i="1"/>
  <c r="K19" i="1" s="1"/>
  <c r="M19" i="1" s="1"/>
  <c r="H21" i="1"/>
  <c r="A30" i="1" l="1"/>
  <c r="A34" i="1" s="1"/>
  <c r="A35" i="1" s="1"/>
  <c r="A36" i="1" s="1"/>
  <c r="A37" i="1" s="1"/>
  <c r="A38" i="1" s="1"/>
  <c r="K21" i="1"/>
  <c r="M21" i="1" s="1"/>
  <c r="H10" i="1"/>
  <c r="K10" i="1" s="1"/>
  <c r="A39" i="1" l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M10" i="1"/>
  <c r="F11" i="1" l="1"/>
  <c r="G11" i="1"/>
  <c r="J11" i="1"/>
  <c r="L11" i="1"/>
  <c r="H27" i="1"/>
  <c r="H29" i="1"/>
  <c r="H25" i="1"/>
  <c r="K25" i="1" s="1"/>
  <c r="M25" i="1" s="1"/>
  <c r="H14" i="1"/>
  <c r="H16" i="1" s="1"/>
  <c r="H5" i="1"/>
  <c r="K5" i="1" s="1"/>
  <c r="M5" i="1" s="1"/>
  <c r="H6" i="1"/>
  <c r="K6" i="1" s="1"/>
  <c r="M6" i="1" s="1"/>
  <c r="H7" i="1"/>
  <c r="K7" i="1" s="1"/>
  <c r="M7" i="1" s="1"/>
  <c r="H8" i="1"/>
  <c r="K8" i="1" s="1"/>
  <c r="M8" i="1" s="1"/>
  <c r="H9" i="1"/>
  <c r="K9" i="1" s="1"/>
  <c r="H4" i="1"/>
  <c r="F31" i="1"/>
  <c r="G31" i="1"/>
  <c r="I31" i="1"/>
  <c r="I11" i="1"/>
  <c r="H22" i="1" l="1"/>
  <c r="K27" i="1"/>
  <c r="M27" i="1" s="1"/>
  <c r="K14" i="1"/>
  <c r="K16" i="1" s="1"/>
  <c r="K4" i="1"/>
  <c r="K11" i="1" s="1"/>
  <c r="H11" i="1"/>
  <c r="H31" i="1"/>
  <c r="M9" i="1"/>
  <c r="K29" i="1"/>
  <c r="M29" i="1" s="1"/>
  <c r="F75" i="1"/>
  <c r="G73" i="1"/>
  <c r="F73" i="1"/>
  <c r="G75" i="1"/>
  <c r="M22" i="1" l="1"/>
  <c r="K22" i="1"/>
  <c r="H77" i="1"/>
  <c r="H75" i="1"/>
  <c r="M14" i="1"/>
  <c r="M16" i="1" s="1"/>
  <c r="M4" i="1"/>
  <c r="M11" i="1" s="1"/>
  <c r="H73" i="1"/>
  <c r="K77" i="1" s="1"/>
  <c r="I73" i="1"/>
  <c r="I75" i="1"/>
  <c r="H76" i="1" l="1"/>
  <c r="E73" i="1"/>
  <c r="L31" i="1"/>
  <c r="E75" i="1" l="1"/>
  <c r="J31" i="1"/>
  <c r="J73" i="1" l="1"/>
  <c r="J75" i="1"/>
  <c r="J76" i="1" s="1"/>
  <c r="E76" i="1"/>
  <c r="K31" i="1"/>
  <c r="M31" i="1"/>
  <c r="M75" i="1" s="1"/>
  <c r="L75" i="1"/>
  <c r="L73" i="1"/>
  <c r="R14" i="1" l="1"/>
  <c r="K75" i="1"/>
  <c r="K76" i="1" s="1"/>
  <c r="K73" i="1"/>
  <c r="M73" i="1"/>
  <c r="M77" i="1" l="1"/>
  <c r="M76" i="1" s="1"/>
  <c r="R71" i="1"/>
</calcChain>
</file>

<file path=xl/sharedStrings.xml><?xml version="1.0" encoding="utf-8"?>
<sst xmlns="http://schemas.openxmlformats.org/spreadsheetml/2006/main" count="328" uniqueCount="184">
  <si>
    <t>Name</t>
  </si>
  <si>
    <t>strFileNo</t>
  </si>
  <si>
    <t>SumOfintHours</t>
  </si>
  <si>
    <t>Sum Of curAmount</t>
  </si>
  <si>
    <t>UIF</t>
  </si>
  <si>
    <t>PAYE</t>
  </si>
  <si>
    <t>NETT Pay-outs</t>
  </si>
  <si>
    <t>ABSA Beneficiary number</t>
  </si>
  <si>
    <t>Payroll Code</t>
  </si>
  <si>
    <t>Department</t>
  </si>
  <si>
    <t>OPHELP Contracted Staff: Weekly Payroll:</t>
  </si>
  <si>
    <t>Januarie, Charlotte</t>
  </si>
  <si>
    <t>013-1751</t>
  </si>
  <si>
    <t>OPH029</t>
  </si>
  <si>
    <t>OPHELP CON</t>
  </si>
  <si>
    <t>Takavadiyi, Patience</t>
  </si>
  <si>
    <t>013-1921</t>
  </si>
  <si>
    <t>694</t>
  </si>
  <si>
    <t>OPH048</t>
  </si>
  <si>
    <t>Kusure, Taonga</t>
  </si>
  <si>
    <t>013-1930</t>
  </si>
  <si>
    <t>OPH098</t>
  </si>
  <si>
    <t>Kafula, Vincent</t>
  </si>
  <si>
    <t>013-1967</t>
  </si>
  <si>
    <t>987</t>
  </si>
  <si>
    <t>OPH091</t>
  </si>
  <si>
    <t>Pitzer, Collin</t>
  </si>
  <si>
    <t>013-1989</t>
  </si>
  <si>
    <t>OPH092</t>
  </si>
  <si>
    <t>Kudzinesa, Charles</t>
  </si>
  <si>
    <t>013-2087</t>
  </si>
  <si>
    <t>980</t>
  </si>
  <si>
    <t>OPH102</t>
  </si>
  <si>
    <t>Subtotal</t>
  </si>
  <si>
    <t>CCID Technical Team Administration Contracted Staff: Weekly Payroll:</t>
  </si>
  <si>
    <t>CCID TM</t>
  </si>
  <si>
    <t>Chirume, Tembesiya</t>
  </si>
  <si>
    <t>013-1735</t>
  </si>
  <si>
    <t>OPH096</t>
  </si>
  <si>
    <t>Ncube, Getrude</t>
  </si>
  <si>
    <t>013-1861</t>
  </si>
  <si>
    <t>695</t>
  </si>
  <si>
    <t>OPH045</t>
  </si>
  <si>
    <t>CCID Road Maintenance Team Contracted Staff: Weekly Payroll:</t>
  </si>
  <si>
    <t>CCID RM</t>
  </si>
  <si>
    <t>Mashanda, Dominic</t>
  </si>
  <si>
    <t>013-2099</t>
  </si>
  <si>
    <t>1024</t>
  </si>
  <si>
    <t>OPH106</t>
  </si>
  <si>
    <t>CCID TS</t>
  </si>
  <si>
    <t>CCID Technical Team Contracted Staff: Weekly Payroll:</t>
  </si>
  <si>
    <t>Matipedza, Sarah</t>
  </si>
  <si>
    <t>013-1770</t>
  </si>
  <si>
    <t>402</t>
  </si>
  <si>
    <t>OPH024</t>
  </si>
  <si>
    <t>Mpakati, Phelisa</t>
  </si>
  <si>
    <t>013-1834</t>
  </si>
  <si>
    <t>994</t>
  </si>
  <si>
    <t>OPH063</t>
  </si>
  <si>
    <t>Sachiwo, Caspar</t>
  </si>
  <si>
    <t>013-1955</t>
  </si>
  <si>
    <t>OPH057</t>
  </si>
  <si>
    <t>Matolengwe, Mkhululi</t>
  </si>
  <si>
    <t>013-1992</t>
  </si>
  <si>
    <t>1023</t>
  </si>
  <si>
    <t>OPH066</t>
  </si>
  <si>
    <t>OPHELP Participants: Weekly Mock Payroll:</t>
  </si>
  <si>
    <t>Lehana, Peter</t>
  </si>
  <si>
    <t>013-1760</t>
  </si>
  <si>
    <t>704</t>
  </si>
  <si>
    <t>-</t>
  </si>
  <si>
    <t>OPHELP PART</t>
  </si>
  <si>
    <t>Krawe, Thamela</t>
  </si>
  <si>
    <t>013-1942</t>
  </si>
  <si>
    <t>Venter Petrus</t>
  </si>
  <si>
    <t>013-2006</t>
  </si>
  <si>
    <t>Eckert, Konstantin</t>
  </si>
  <si>
    <t>013-2071</t>
  </si>
  <si>
    <t>778</t>
  </si>
  <si>
    <t>Mankumpa, Vukile</t>
  </si>
  <si>
    <t>Le Fleur, Dawn</t>
  </si>
  <si>
    <t>013-239</t>
  </si>
  <si>
    <t>Nkhobo, Zolile</t>
  </si>
  <si>
    <t>013-240</t>
  </si>
  <si>
    <t>Mzano, Mzimkulu Gerald</t>
  </si>
  <si>
    <t>013-243</t>
  </si>
  <si>
    <t>1136</t>
  </si>
  <si>
    <t>GRAND TOTAL</t>
  </si>
  <si>
    <t>Check</t>
  </si>
  <si>
    <t>Swanepoel, Jannie</t>
  </si>
  <si>
    <t>013-248</t>
  </si>
  <si>
    <t>Shoco, Abigail</t>
  </si>
  <si>
    <t>013-253</t>
  </si>
  <si>
    <t>Pay Errors</t>
  </si>
  <si>
    <t>Taxable Income</t>
  </si>
  <si>
    <t>Medical Aid</t>
  </si>
  <si>
    <t>Training Fund/ Loan Repayment</t>
  </si>
  <si>
    <t>OPH108</t>
  </si>
  <si>
    <t xml:space="preserve"> </t>
  </si>
  <si>
    <t>Letsatsi, Norman</t>
  </si>
  <si>
    <t>013-1904</t>
  </si>
  <si>
    <t>OPHELP Reductions</t>
  </si>
  <si>
    <t>013-264</t>
  </si>
  <si>
    <t xml:space="preserve">Musiringofa, Keenly </t>
  </si>
  <si>
    <t>OPH095</t>
  </si>
  <si>
    <t>GL Codes</t>
  </si>
  <si>
    <t>4401-060</t>
  </si>
  <si>
    <t>4401-020</t>
  </si>
  <si>
    <t>4401-010</t>
  </si>
  <si>
    <t>4401-030</t>
  </si>
  <si>
    <t>4401-050</t>
  </si>
  <si>
    <t>Njemla, Nolukholo</t>
  </si>
  <si>
    <t>013-1787</t>
  </si>
  <si>
    <t>OPH087</t>
  </si>
  <si>
    <t>013-2112</t>
  </si>
  <si>
    <t>OPH114</t>
  </si>
  <si>
    <t>Ngwenja, Fanelo</t>
  </si>
  <si>
    <t>Bayliss, Wendy</t>
  </si>
  <si>
    <t>013-266</t>
  </si>
  <si>
    <t>Solomon, Jody</t>
  </si>
  <si>
    <t>013-267</t>
  </si>
  <si>
    <t>013-269</t>
  </si>
  <si>
    <t>Van Der Merwe, Leon John</t>
  </si>
  <si>
    <t>Bosch, Ashton Jaide</t>
  </si>
  <si>
    <t>013-250</t>
  </si>
  <si>
    <t>Adome, Bernard</t>
  </si>
  <si>
    <t>013-1727</t>
  </si>
  <si>
    <t>De Waal, Bennie</t>
  </si>
  <si>
    <t>013-245</t>
  </si>
  <si>
    <t>Sibali, Nomveliso</t>
  </si>
  <si>
    <t>013-2014</t>
  </si>
  <si>
    <t>013-273</t>
  </si>
  <si>
    <t>013-274</t>
  </si>
  <si>
    <t>Qoyise, Silumko</t>
  </si>
  <si>
    <t>Ngqendeshe, Lungani</t>
  </si>
  <si>
    <t>Ndlovu, Thabo</t>
  </si>
  <si>
    <t>013-236</t>
  </si>
  <si>
    <t>Njobeni, Nolusindiso</t>
  </si>
  <si>
    <t>013-1947</t>
  </si>
  <si>
    <t>OPH109</t>
  </si>
  <si>
    <t>Makade, Loyiso</t>
  </si>
  <si>
    <t>013-277</t>
  </si>
  <si>
    <t>1234</t>
  </si>
  <si>
    <t>Poni, Michael</t>
  </si>
  <si>
    <t>013-278</t>
  </si>
  <si>
    <t>1235</t>
  </si>
  <si>
    <t>Arendse, Shawn</t>
  </si>
  <si>
    <t>013-279</t>
  </si>
  <si>
    <t>1236</t>
  </si>
  <si>
    <t>Frost, Shernell</t>
  </si>
  <si>
    <t>013-280</t>
  </si>
  <si>
    <t>1237</t>
  </si>
  <si>
    <t>Momoza, Simbonile</t>
  </si>
  <si>
    <t>013-260</t>
  </si>
  <si>
    <t>Gwazela, Oscar</t>
  </si>
  <si>
    <t>013-281</t>
  </si>
  <si>
    <t>1240</t>
  </si>
  <si>
    <t>Campher, Vernon</t>
  </si>
  <si>
    <t>013-282</t>
  </si>
  <si>
    <t>1241</t>
  </si>
  <si>
    <t>Pretorius, Anne</t>
  </si>
  <si>
    <t>013-283</t>
  </si>
  <si>
    <t>1242</t>
  </si>
  <si>
    <t>Van Rooyen, Dimitri</t>
  </si>
  <si>
    <t>013-284</t>
  </si>
  <si>
    <t>1243</t>
  </si>
  <si>
    <t>013-285</t>
  </si>
  <si>
    <t>1244</t>
  </si>
  <si>
    <t>Hanslo, Charles</t>
  </si>
  <si>
    <t>013-287</t>
  </si>
  <si>
    <t>Pienaar, Daurie</t>
  </si>
  <si>
    <t>013-288</t>
  </si>
  <si>
    <t>Zama, Zwelakhe</t>
  </si>
  <si>
    <t>1252</t>
  </si>
  <si>
    <t>Chili Lungile</t>
  </si>
  <si>
    <t>013-289</t>
  </si>
  <si>
    <t>1253</t>
  </si>
  <si>
    <t>Miller Damien</t>
  </si>
  <si>
    <t>013-290</t>
  </si>
  <si>
    <t>Matyeni Luthando</t>
  </si>
  <si>
    <t>013-275</t>
  </si>
  <si>
    <t>Ntsoele Sello</t>
  </si>
  <si>
    <t>013-286</t>
  </si>
  <si>
    <t xml:space="preserve"> Straatwerk Ophelp Projekte: Payroll 096 Pay-outs for 19 August - 25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</si>
</sst>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R &quot;#,##0.00;&quot;R-&quot;#,##0.00"/>
    <numFmt numFmtId="165" formatCode="[$R-1C09]\ #,##0.00;[Red][$R-1C09]\ \-#,##0.00"/>
    <numFmt numFmtId="166" formatCode="[$R-1C09]#,##0.00;[Red]\-[$R-1C09]#,##0.00"/>
    <numFmt numFmtId="167" formatCode="&quot;R&quot;\ #,##0.00"/>
    <numFmt numFmtId="168" formatCode="&quot;R&quot;#,##0.0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u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u/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3743705557422"/>
        <bgColor rgb="FFC0C0C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</cellStyleXfs>
  <cellXfs count="110">
    <xf numFmtId="0" fontId="0" fillId="0" borderId="0" xfId="0"/>
    <xf numFmtId="0" fontId="6" fillId="2" borderId="2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right" vertical="center" wrapText="1"/>
    </xf>
    <xf numFmtId="164" fontId="11" fillId="0" borderId="2" xfId="0" applyNumberFormat="1" applyFont="1" applyBorder="1" applyAlignment="1">
      <alignment horizontal="right" vertical="center" wrapText="1"/>
    </xf>
    <xf numFmtId="0" fontId="8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right" vertical="center" wrapText="1"/>
    </xf>
    <xf numFmtId="164" fontId="14" fillId="0" borderId="2" xfId="0" applyNumberFormat="1" applyFont="1" applyBorder="1" applyAlignment="1">
      <alignment horizontal="right" vertical="center" wrapText="1"/>
    </xf>
    <xf numFmtId="0" fontId="0" fillId="0" borderId="2" xfId="0" applyBorder="1"/>
    <xf numFmtId="0" fontId="15" fillId="4" borderId="3" xfId="0" applyFont="1" applyFill="1" applyBorder="1" applyAlignment="1">
      <alignment horizontal="left"/>
    </xf>
    <xf numFmtId="0" fontId="17" fillId="2" borderId="2" xfId="1" applyFont="1" applyFill="1" applyBorder="1" applyAlignment="1">
      <alignment horizontal="center" vertical="center" wrapText="1"/>
    </xf>
    <xf numFmtId="0" fontId="18" fillId="4" borderId="2" xfId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166" fontId="0" fillId="0" borderId="0" xfId="0" applyNumberFormat="1"/>
    <xf numFmtId="0" fontId="17" fillId="2" borderId="2" xfId="0" applyFont="1" applyFill="1" applyBorder="1" applyAlignment="1">
      <alignment horizontal="center" wrapText="1"/>
    </xf>
    <xf numFmtId="0" fontId="20" fillId="0" borderId="2" xfId="0" applyFont="1" applyBorder="1" applyAlignment="1">
      <alignment horizontal="center" vertical="center" wrapText="1"/>
    </xf>
    <xf numFmtId="167" fontId="15" fillId="4" borderId="2" xfId="0" applyNumberFormat="1" applyFont="1" applyFill="1" applyBorder="1" applyAlignment="1">
      <alignment horizontal="center"/>
    </xf>
    <xf numFmtId="164" fontId="0" fillId="0" borderId="0" xfId="0" applyNumberFormat="1"/>
    <xf numFmtId="4" fontId="0" fillId="0" borderId="0" xfId="0" applyNumberFormat="1"/>
    <xf numFmtId="0" fontId="23" fillId="0" borderId="2" xfId="0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right" wrapText="1"/>
    </xf>
    <xf numFmtId="0" fontId="10" fillId="0" borderId="2" xfId="0" applyFont="1" applyBorder="1" applyAlignment="1">
      <alignment horizontal="center" wrapText="1"/>
    </xf>
    <xf numFmtId="0" fontId="6" fillId="2" borderId="3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19" fillId="7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left"/>
    </xf>
    <xf numFmtId="3" fontId="15" fillId="4" borderId="2" xfId="0" applyNumberFormat="1" applyFont="1" applyFill="1" applyBorder="1" applyAlignment="1">
      <alignment horizontal="center"/>
    </xf>
    <xf numFmtId="167" fontId="16" fillId="4" borderId="2" xfId="0" applyNumberFormat="1" applyFont="1" applyFill="1" applyBorder="1" applyAlignment="1">
      <alignment horizontal="right"/>
    </xf>
    <xf numFmtId="0" fontId="13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center" vertical="center" wrapText="1"/>
    </xf>
    <xf numFmtId="164" fontId="10" fillId="0" borderId="5" xfId="0" applyNumberFormat="1" applyFont="1" applyBorder="1" applyAlignment="1">
      <alignment horizontal="right" vertical="center" wrapText="1"/>
    </xf>
    <xf numFmtId="164" fontId="14" fillId="0" borderId="5" xfId="0" applyNumberFormat="1" applyFont="1" applyBorder="1" applyAlignment="1">
      <alignment horizontal="right" vertical="center" wrapText="1"/>
    </xf>
    <xf numFmtId="164" fontId="13" fillId="0" borderId="5" xfId="0" applyNumberFormat="1" applyFont="1" applyBorder="1" applyAlignment="1">
      <alignment horizontal="right" vertical="center" wrapText="1"/>
    </xf>
    <xf numFmtId="0" fontId="20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0" fillId="0" borderId="6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3" fontId="9" fillId="0" borderId="8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right"/>
    </xf>
    <xf numFmtId="166" fontId="9" fillId="0" borderId="8" xfId="0" applyNumberFormat="1" applyFont="1" applyBorder="1" applyAlignment="1">
      <alignment horizontal="right"/>
    </xf>
    <xf numFmtId="0" fontId="20" fillId="0" borderId="8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right"/>
    </xf>
    <xf numFmtId="164" fontId="14" fillId="0" borderId="6" xfId="0" applyNumberFormat="1" applyFont="1" applyBorder="1" applyAlignment="1">
      <alignment horizontal="right" vertical="center" wrapText="1"/>
    </xf>
    <xf numFmtId="164" fontId="13" fillId="0" borderId="6" xfId="0" applyNumberFormat="1" applyFont="1" applyBorder="1" applyAlignment="1">
      <alignment horizontal="right" vertical="center" wrapText="1"/>
    </xf>
    <xf numFmtId="164" fontId="21" fillId="0" borderId="6" xfId="0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/>
    </xf>
    <xf numFmtId="4" fontId="4" fillId="0" borderId="0" xfId="0" applyNumberFormat="1" applyFont="1"/>
    <xf numFmtId="0" fontId="6" fillId="2" borderId="2" xfId="1" applyFont="1" applyFill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right" vertical="center" wrapText="1"/>
    </xf>
    <xf numFmtId="164" fontId="25" fillId="0" borderId="2" xfId="0" applyNumberFormat="1" applyFont="1" applyBorder="1" applyAlignment="1">
      <alignment horizontal="right" vertical="center" wrapText="1"/>
    </xf>
    <xf numFmtId="0" fontId="9" fillId="6" borderId="2" xfId="0" applyFont="1" applyFill="1" applyBorder="1" applyAlignment="1">
      <alignment horizontal="center" vertical="center"/>
    </xf>
    <xf numFmtId="0" fontId="0" fillId="0" borderId="10" xfId="0" applyBorder="1"/>
    <xf numFmtId="0" fontId="0" fillId="0" borderId="3" xfId="0" applyBorder="1"/>
    <xf numFmtId="0" fontId="0" fillId="0" borderId="1" xfId="0" applyBorder="1"/>
    <xf numFmtId="0" fontId="3" fillId="0" borderId="0" xfId="3"/>
    <xf numFmtId="0" fontId="6" fillId="2" borderId="2" xfId="3" applyFont="1" applyFill="1" applyBorder="1" applyAlignment="1">
      <alignment horizontal="center" vertical="center"/>
    </xf>
    <xf numFmtId="0" fontId="3" fillId="0" borderId="2" xfId="3" applyBorder="1"/>
    <xf numFmtId="0" fontId="6" fillId="4" borderId="3" xfId="0" applyFont="1" applyFill="1" applyBorder="1" applyAlignment="1">
      <alignment horizontal="right" vertical="center"/>
    </xf>
    <xf numFmtId="0" fontId="0" fillId="0" borderId="4" xfId="0" applyBorder="1"/>
    <xf numFmtId="0" fontId="3" fillId="0" borderId="9" xfId="3" applyBorder="1"/>
    <xf numFmtId="0" fontId="0" fillId="0" borderId="8" xfId="0" applyBorder="1"/>
    <xf numFmtId="0" fontId="2" fillId="0" borderId="2" xfId="3" applyFont="1" applyBorder="1"/>
    <xf numFmtId="0" fontId="13" fillId="8" borderId="2" xfId="0" applyFont="1" applyFill="1" applyBorder="1" applyAlignment="1">
      <alignment vertical="center" wrapText="1"/>
    </xf>
    <xf numFmtId="168" fontId="10" fillId="0" borderId="2" xfId="0" applyNumberFormat="1" applyFont="1" applyBorder="1" applyAlignment="1">
      <alignment horizontal="right" vertical="center" wrapText="1"/>
    </xf>
    <xf numFmtId="168" fontId="14" fillId="0" borderId="2" xfId="0" applyNumberFormat="1" applyFont="1" applyBorder="1" applyAlignment="1">
      <alignment horizontal="right" vertical="center" wrapText="1"/>
    </xf>
    <xf numFmtId="0" fontId="19" fillId="9" borderId="5" xfId="0" applyFont="1" applyFill="1" applyBorder="1" applyAlignment="1">
      <alignment horizontal="center" vertical="center" wrapText="1"/>
    </xf>
    <xf numFmtId="164" fontId="25" fillId="0" borderId="5" xfId="0" applyNumberFormat="1" applyFont="1" applyBorder="1" applyAlignment="1">
      <alignment horizontal="right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164" fontId="26" fillId="0" borderId="11" xfId="0" applyNumberFormat="1" applyFont="1" applyBorder="1" applyAlignment="1">
      <alignment horizontal="right" vertical="center" wrapText="1"/>
    </xf>
    <xf numFmtId="0" fontId="26" fillId="0" borderId="11" xfId="0" applyFont="1" applyBorder="1" applyAlignment="1">
      <alignment horizontal="center" vertical="center" wrapText="1"/>
    </xf>
    <xf numFmtId="0" fontId="3" fillId="0" borderId="5" xfId="3" applyBorder="1"/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164" fontId="9" fillId="0" borderId="13" xfId="0" applyNumberFormat="1" applyFont="1" applyBorder="1" applyAlignment="1">
      <alignment horizontal="right"/>
    </xf>
    <xf numFmtId="164" fontId="9" fillId="0" borderId="13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0" fillId="0" borderId="14" xfId="0" applyBorder="1"/>
    <xf numFmtId="0" fontId="0" fillId="0" borderId="13" xfId="0" applyBorder="1"/>
    <xf numFmtId="0" fontId="19" fillId="0" borderId="5" xfId="0" applyFont="1" applyFill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164" fontId="26" fillId="0" borderId="2" xfId="0" applyNumberFormat="1" applyFont="1" applyBorder="1" applyAlignment="1">
      <alignment horizontal="center" vertical="center" wrapText="1"/>
    </xf>
  </cellXfs>
  <cellStyles count="6">
    <cellStyle name="Comma 2" xfId="4" xr:uid="{6E864906-CE69-4DA0-8FCD-DF9A671B4105}"/>
    <cellStyle name="Normal" xfId="0" builtinId="0"/>
    <cellStyle name="Normal 2" xfId="1" xr:uid="{00000000-0005-0000-0000-000031000000}"/>
    <cellStyle name="Normal 2 2" xfId="3" xr:uid="{1D4570C5-B889-4216-BE71-CE6D63878694}"/>
    <cellStyle name="Normal 3" xfId="2" xr:uid="{4AA32C50-2D40-43D0-BDB0-EBC61FE2E011}"/>
    <cellStyle name="Normal 4" xfId="5" xr:uid="{08DA589A-FB26-4CEB-95BB-3C779161D92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"/>
  <sheetViews>
    <sheetView tabSelected="1" zoomScale="99" zoomScaleNormal="99" workbookViewId="0">
      <pane xSplit="1" ySplit="2" topLeftCell="B32" activePane="bottomRight" state="frozen"/>
      <selection pane="topRight" activeCell="B1" sqref="B1"/>
      <selection pane="bottomLeft" activeCell="A3" sqref="A3"/>
      <selection pane="bottomRight" activeCell="F6" sqref="F6"/>
    </sheetView>
  </sheetViews>
  <sheetFormatPr defaultColWidth="9" defaultRowHeight="14.4"/>
  <cols>
    <col min="1" max="1" width="9.6640625" customWidth="1"/>
    <col min="2" max="2" width="23.6640625" customWidth="1"/>
    <col min="3" max="4" width="12.109375" customWidth="1"/>
    <col min="5" max="5" width="12" bestFit="1" customWidth="1"/>
    <col min="6" max="6" width="11" customWidth="1"/>
    <col min="7" max="7" width="12.109375" customWidth="1"/>
    <col min="8" max="8" width="11.6640625" customWidth="1"/>
    <col min="9" max="9" width="11.5546875" customWidth="1"/>
    <col min="10" max="10" width="12.33203125" customWidth="1"/>
    <col min="11" max="11" width="10.44140625" customWidth="1"/>
    <col min="13" max="13" width="12" bestFit="1" customWidth="1"/>
    <col min="15" max="15" width="11.5546875" customWidth="1"/>
    <col min="16" max="16" width="12.109375" customWidth="1"/>
    <col min="18" max="18" width="11.109375" customWidth="1"/>
  </cols>
  <sheetData>
    <row r="1" spans="1:18" ht="15.6">
      <c r="A1" s="72" t="s">
        <v>183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Q1" s="81"/>
    </row>
    <row r="2" spans="1:18" ht="41.4">
      <c r="A2" s="34" t="s">
        <v>98</v>
      </c>
      <c r="B2" s="2" t="s">
        <v>0</v>
      </c>
      <c r="C2" s="2" t="s">
        <v>1</v>
      </c>
      <c r="D2" s="2" t="s">
        <v>2</v>
      </c>
      <c r="E2" s="3" t="s">
        <v>3</v>
      </c>
      <c r="F2" s="3" t="s">
        <v>93</v>
      </c>
      <c r="G2" s="3" t="s">
        <v>101</v>
      </c>
      <c r="H2" s="3" t="s">
        <v>94</v>
      </c>
      <c r="I2" s="3" t="s">
        <v>95</v>
      </c>
      <c r="J2" s="74" t="s">
        <v>96</v>
      </c>
      <c r="K2" s="1" t="s">
        <v>4</v>
      </c>
      <c r="L2" s="1" t="s">
        <v>5</v>
      </c>
      <c r="M2" s="1" t="s">
        <v>6</v>
      </c>
      <c r="N2" s="22" t="s">
        <v>7</v>
      </c>
      <c r="O2" s="77" t="s">
        <v>8</v>
      </c>
      <c r="P2" s="34" t="s">
        <v>9</v>
      </c>
      <c r="Q2" s="82" t="s">
        <v>105</v>
      </c>
    </row>
    <row r="3" spans="1:18">
      <c r="A3" s="35"/>
      <c r="B3" s="5" t="s">
        <v>10</v>
      </c>
      <c r="C3" s="6"/>
      <c r="D3" s="6"/>
      <c r="E3" s="6"/>
      <c r="F3" s="6"/>
      <c r="G3" s="6"/>
      <c r="H3" s="6"/>
      <c r="I3" s="6"/>
      <c r="J3" s="4"/>
      <c r="K3" s="4"/>
      <c r="L3" s="4"/>
      <c r="M3" s="23"/>
      <c r="N3" s="4"/>
      <c r="O3" s="4"/>
      <c r="P3" s="35"/>
      <c r="Q3" s="4"/>
    </row>
    <row r="4" spans="1:18">
      <c r="A4" s="36">
        <v>1</v>
      </c>
      <c r="B4" s="8" t="s">
        <v>11</v>
      </c>
      <c r="C4" s="9" t="s">
        <v>12</v>
      </c>
      <c r="D4" s="108"/>
      <c r="E4" s="109"/>
      <c r="F4" s="10"/>
      <c r="G4" s="10"/>
      <c r="H4" s="10">
        <f>E4+F4+G4</f>
        <v>0</v>
      </c>
      <c r="I4" s="10">
        <v>-76.09</v>
      </c>
      <c r="J4" s="75"/>
      <c r="K4" s="11">
        <f>H4*0.01*-1</f>
        <v>0</v>
      </c>
      <c r="L4" s="11"/>
      <c r="M4" s="10">
        <f>+E4+F4+G4+I4+J4+K4+L4</f>
        <v>-76.09</v>
      </c>
      <c r="N4" s="24">
        <v>1203</v>
      </c>
      <c r="O4" s="9" t="s">
        <v>13</v>
      </c>
      <c r="P4" s="79" t="s">
        <v>14</v>
      </c>
      <c r="Q4" s="83" t="s">
        <v>106</v>
      </c>
    </row>
    <row r="5" spans="1:18">
      <c r="A5" s="36">
        <f>A4+1</f>
        <v>2</v>
      </c>
      <c r="B5" s="8" t="s">
        <v>15</v>
      </c>
      <c r="C5" s="9" t="s">
        <v>16</v>
      </c>
      <c r="D5" s="9"/>
      <c r="E5" s="10"/>
      <c r="F5" s="10"/>
      <c r="G5" s="10"/>
      <c r="H5" s="10">
        <f t="shared" ref="H5:H9" si="0">E5+F5+G5</f>
        <v>0</v>
      </c>
      <c r="I5" s="10"/>
      <c r="J5" s="75"/>
      <c r="K5" s="11">
        <f t="shared" ref="K5:K10" si="1">H5*0.01*-1</f>
        <v>0</v>
      </c>
      <c r="L5" s="11"/>
      <c r="M5" s="10">
        <f t="shared" ref="M5:M9" si="2">+E5+F5+G5+I5+J5+K5+L5</f>
        <v>0</v>
      </c>
      <c r="N5" s="24" t="s">
        <v>17</v>
      </c>
      <c r="O5" s="9" t="s">
        <v>18</v>
      </c>
      <c r="P5" s="79" t="s">
        <v>14</v>
      </c>
      <c r="Q5" s="83" t="s">
        <v>106</v>
      </c>
    </row>
    <row r="6" spans="1:18">
      <c r="A6" s="36">
        <f t="shared" ref="A6:A10" si="3">A5+1</f>
        <v>3</v>
      </c>
      <c r="B6" s="8" t="s">
        <v>19</v>
      </c>
      <c r="C6" s="9" t="s">
        <v>20</v>
      </c>
      <c r="D6" s="9"/>
      <c r="E6" s="10"/>
      <c r="F6" s="10"/>
      <c r="G6" s="10"/>
      <c r="H6" s="10">
        <f t="shared" si="0"/>
        <v>0</v>
      </c>
      <c r="I6" s="10"/>
      <c r="J6" s="75"/>
      <c r="K6" s="11">
        <f t="shared" si="1"/>
        <v>0</v>
      </c>
      <c r="L6" s="11"/>
      <c r="M6" s="10">
        <f t="shared" si="2"/>
        <v>0</v>
      </c>
      <c r="N6" s="95">
        <v>1245</v>
      </c>
      <c r="O6" s="9" t="s">
        <v>21</v>
      </c>
      <c r="P6" s="79" t="s">
        <v>14</v>
      </c>
      <c r="Q6" s="83" t="s">
        <v>106</v>
      </c>
    </row>
    <row r="7" spans="1:18">
      <c r="A7" s="36">
        <f t="shared" si="3"/>
        <v>4</v>
      </c>
      <c r="B7" s="8" t="s">
        <v>22</v>
      </c>
      <c r="C7" s="9" t="s">
        <v>23</v>
      </c>
      <c r="D7" s="9"/>
      <c r="E7" s="10"/>
      <c r="F7" s="10"/>
      <c r="G7" s="10"/>
      <c r="H7" s="10">
        <f t="shared" si="0"/>
        <v>0</v>
      </c>
      <c r="I7" s="10"/>
      <c r="J7" s="75">
        <v>-350</v>
      </c>
      <c r="K7" s="11">
        <f t="shared" si="1"/>
        <v>0</v>
      </c>
      <c r="L7" s="11"/>
      <c r="M7" s="10">
        <f t="shared" si="2"/>
        <v>-350</v>
      </c>
      <c r="N7" s="24" t="s">
        <v>24</v>
      </c>
      <c r="O7" s="9" t="s">
        <v>25</v>
      </c>
      <c r="P7" s="79" t="s">
        <v>14</v>
      </c>
      <c r="Q7" s="83" t="s">
        <v>106</v>
      </c>
    </row>
    <row r="8" spans="1:18">
      <c r="A8" s="36">
        <f t="shared" si="3"/>
        <v>5</v>
      </c>
      <c r="B8" s="8" t="s">
        <v>26</v>
      </c>
      <c r="C8" s="9" t="s">
        <v>27</v>
      </c>
      <c r="D8" s="33"/>
      <c r="E8" s="32"/>
      <c r="F8" s="32"/>
      <c r="G8" s="32"/>
      <c r="H8" s="10">
        <f t="shared" si="0"/>
        <v>0</v>
      </c>
      <c r="I8" s="32"/>
      <c r="J8" s="75"/>
      <c r="K8" s="11">
        <f t="shared" si="1"/>
        <v>0</v>
      </c>
      <c r="L8" s="11"/>
      <c r="M8" s="10">
        <f t="shared" si="2"/>
        <v>0</v>
      </c>
      <c r="N8" s="24">
        <v>1160</v>
      </c>
      <c r="O8" s="9" t="s">
        <v>28</v>
      </c>
      <c r="P8" s="79" t="s">
        <v>14</v>
      </c>
      <c r="Q8" s="83" t="s">
        <v>106</v>
      </c>
    </row>
    <row r="9" spans="1:18">
      <c r="A9" s="36">
        <f t="shared" si="3"/>
        <v>6</v>
      </c>
      <c r="B9" s="8" t="s">
        <v>29</v>
      </c>
      <c r="C9" s="9" t="s">
        <v>30</v>
      </c>
      <c r="D9" s="9"/>
      <c r="E9" s="10"/>
      <c r="F9" s="10"/>
      <c r="G9" s="10"/>
      <c r="H9" s="10">
        <f t="shared" si="0"/>
        <v>0</v>
      </c>
      <c r="I9" s="10"/>
      <c r="J9" s="75"/>
      <c r="K9" s="11">
        <f t="shared" si="1"/>
        <v>0</v>
      </c>
      <c r="L9" s="11"/>
      <c r="M9" s="10">
        <f t="shared" si="2"/>
        <v>0</v>
      </c>
      <c r="N9" s="24" t="s">
        <v>31</v>
      </c>
      <c r="O9" s="9" t="s">
        <v>32</v>
      </c>
      <c r="P9" s="79" t="s">
        <v>14</v>
      </c>
      <c r="Q9" s="83" t="s">
        <v>106</v>
      </c>
    </row>
    <row r="10" spans="1:18" ht="15" thickBot="1">
      <c r="A10" s="36">
        <f t="shared" si="3"/>
        <v>7</v>
      </c>
      <c r="B10" s="8" t="s">
        <v>80</v>
      </c>
      <c r="C10" s="17" t="s">
        <v>81</v>
      </c>
      <c r="D10" s="17"/>
      <c r="E10" s="10"/>
      <c r="F10" s="10"/>
      <c r="G10" s="10"/>
      <c r="H10" s="10">
        <f t="shared" ref="H10" si="4">E10+F10+G10</f>
        <v>0</v>
      </c>
      <c r="I10" s="10"/>
      <c r="J10" s="19"/>
      <c r="K10" s="11">
        <f t="shared" si="1"/>
        <v>0</v>
      </c>
      <c r="L10" s="19"/>
      <c r="M10" s="18">
        <f t="shared" ref="M10" si="5">+E10+F10+G10+I10+J10+K10+L10</f>
        <v>0</v>
      </c>
      <c r="N10" s="27">
        <v>1128</v>
      </c>
      <c r="O10" s="64" t="s">
        <v>97</v>
      </c>
      <c r="P10" s="79" t="s">
        <v>14</v>
      </c>
      <c r="Q10" s="83" t="s">
        <v>106</v>
      </c>
    </row>
    <row r="11" spans="1:18" ht="15" thickBot="1">
      <c r="A11" s="58" t="s">
        <v>33</v>
      </c>
      <c r="B11" s="59"/>
      <c r="C11" s="59"/>
      <c r="D11" s="60"/>
      <c r="E11" s="62"/>
      <c r="F11" s="62">
        <f t="shared" ref="F11:M11" si="6">SUM(F4:F10)</f>
        <v>0</v>
      </c>
      <c r="G11" s="62">
        <f t="shared" si="6"/>
        <v>0</v>
      </c>
      <c r="H11" s="62">
        <f t="shared" si="6"/>
        <v>0</v>
      </c>
      <c r="I11" s="62">
        <f t="shared" si="6"/>
        <v>-76.09</v>
      </c>
      <c r="J11" s="62">
        <f t="shared" si="6"/>
        <v>-350</v>
      </c>
      <c r="K11" s="62">
        <f t="shared" si="6"/>
        <v>0</v>
      </c>
      <c r="L11" s="62">
        <f t="shared" si="6"/>
        <v>0</v>
      </c>
      <c r="M11" s="62">
        <f t="shared" si="6"/>
        <v>-426.09000000000003</v>
      </c>
      <c r="N11" s="63"/>
      <c r="O11" s="59"/>
      <c r="P11" s="78"/>
      <c r="Q11" s="87"/>
    </row>
    <row r="12" spans="1:18">
      <c r="A12" s="49"/>
      <c r="B12" s="50"/>
      <c r="C12" s="51"/>
      <c r="D12" s="51"/>
      <c r="E12" s="52"/>
      <c r="F12" s="52"/>
      <c r="G12" s="52"/>
      <c r="H12" s="52"/>
      <c r="I12" s="52"/>
      <c r="J12" s="53"/>
      <c r="K12" s="53"/>
      <c r="L12" s="53"/>
      <c r="M12" s="54"/>
      <c r="N12" s="55"/>
      <c r="O12" s="56"/>
      <c r="P12" s="80"/>
      <c r="Q12" s="86"/>
    </row>
    <row r="13" spans="1:18" ht="31.8">
      <c r="A13" s="37"/>
      <c r="B13" s="12" t="s">
        <v>34</v>
      </c>
      <c r="C13" s="13"/>
      <c r="D13" s="13"/>
      <c r="E13" s="14"/>
      <c r="F13" s="14"/>
      <c r="G13" s="14"/>
      <c r="H13" s="14"/>
      <c r="I13" s="14"/>
      <c r="J13" s="15"/>
      <c r="K13" s="15"/>
      <c r="L13" s="15"/>
      <c r="M13" s="15"/>
      <c r="N13" s="26" t="s">
        <v>7</v>
      </c>
      <c r="O13" s="15"/>
      <c r="P13" s="84"/>
      <c r="Q13" s="15"/>
    </row>
    <row r="14" spans="1:18">
      <c r="A14" s="36">
        <f>A10+1</f>
        <v>8</v>
      </c>
      <c r="B14" s="16" t="s">
        <v>36</v>
      </c>
      <c r="C14" s="17" t="s">
        <v>37</v>
      </c>
      <c r="D14" s="97"/>
      <c r="E14" s="96"/>
      <c r="F14" s="18"/>
      <c r="G14" s="18"/>
      <c r="H14" s="18">
        <f>E14+F14+G14</f>
        <v>0</v>
      </c>
      <c r="I14" s="18"/>
      <c r="J14" s="18"/>
      <c r="K14" s="19">
        <f>H14*0.01*-1</f>
        <v>0</v>
      </c>
      <c r="L14" s="19"/>
      <c r="M14" s="18">
        <f>+E14+F14+G14+I14+J14+K14+L14</f>
        <v>0</v>
      </c>
      <c r="N14" s="27">
        <v>1187</v>
      </c>
      <c r="O14" s="17" t="s">
        <v>38</v>
      </c>
      <c r="P14" s="79" t="s">
        <v>35</v>
      </c>
      <c r="Q14" s="83" t="s">
        <v>107</v>
      </c>
      <c r="R14" s="25">
        <f>M16-I16-H16-L16-K16-J16</f>
        <v>0</v>
      </c>
    </row>
    <row r="15" spans="1:18" ht="15" thickBot="1">
      <c r="A15" s="36">
        <f>A14+1</f>
        <v>9</v>
      </c>
      <c r="B15" s="43" t="s">
        <v>39</v>
      </c>
      <c r="C15" s="44" t="s">
        <v>40</v>
      </c>
      <c r="D15" s="44"/>
      <c r="E15" s="47"/>
      <c r="F15" s="47"/>
      <c r="G15" s="47"/>
      <c r="H15" s="18">
        <f t="shared" ref="H15" si="7">E15+F15+G15</f>
        <v>0</v>
      </c>
      <c r="I15" s="47"/>
      <c r="J15" s="18"/>
      <c r="K15" s="19">
        <f t="shared" ref="K15" si="8">H15*0.01*-1</f>
        <v>0</v>
      </c>
      <c r="L15" s="46"/>
      <c r="M15" s="18">
        <f t="shared" ref="M15" si="9">+E15+F15+G15+I15+J15+K15+L15</f>
        <v>0</v>
      </c>
      <c r="N15" s="48" t="s">
        <v>41</v>
      </c>
      <c r="O15" s="44" t="s">
        <v>42</v>
      </c>
      <c r="P15" s="85" t="s">
        <v>35</v>
      </c>
      <c r="Q15" s="83" t="s">
        <v>107</v>
      </c>
    </row>
    <row r="16" spans="1:18" ht="15" thickBot="1">
      <c r="A16" s="58" t="s">
        <v>33</v>
      </c>
      <c r="B16" s="59"/>
      <c r="C16" s="59"/>
      <c r="D16" s="60"/>
      <c r="E16" s="62"/>
      <c r="F16" s="62">
        <f t="shared" ref="F16:M16" si="10">SUM(F14:F15)</f>
        <v>0</v>
      </c>
      <c r="G16" s="62">
        <f t="shared" si="10"/>
        <v>0</v>
      </c>
      <c r="H16" s="62">
        <f t="shared" si="10"/>
        <v>0</v>
      </c>
      <c r="I16" s="62">
        <f t="shared" si="10"/>
        <v>0</v>
      </c>
      <c r="J16" s="62">
        <f t="shared" si="10"/>
        <v>0</v>
      </c>
      <c r="K16" s="62">
        <f t="shared" si="10"/>
        <v>0</v>
      </c>
      <c r="L16" s="62">
        <f t="shared" si="10"/>
        <v>0</v>
      </c>
      <c r="M16" s="62">
        <f t="shared" si="10"/>
        <v>0</v>
      </c>
      <c r="N16" s="63"/>
      <c r="O16" s="59"/>
      <c r="P16" s="78"/>
      <c r="Q16" s="87"/>
    </row>
    <row r="17" spans="1:18">
      <c r="A17" s="49"/>
      <c r="B17" s="50"/>
      <c r="C17" s="51"/>
      <c r="D17" s="51"/>
      <c r="E17" s="52"/>
      <c r="F17" s="52"/>
      <c r="G17" s="52"/>
      <c r="H17" s="52"/>
      <c r="I17" s="52"/>
      <c r="J17" s="53"/>
      <c r="K17" s="53"/>
      <c r="L17" s="53"/>
      <c r="M17" s="54"/>
      <c r="N17" s="55"/>
      <c r="O17" s="56"/>
      <c r="P17" s="80"/>
      <c r="Q17" s="86"/>
    </row>
    <row r="18" spans="1:18" ht="31.8">
      <c r="A18" s="37"/>
      <c r="B18" s="12" t="s">
        <v>43</v>
      </c>
      <c r="C18" s="13"/>
      <c r="D18" s="13"/>
      <c r="E18" s="14"/>
      <c r="F18" s="14"/>
      <c r="G18" s="14"/>
      <c r="H18" s="14"/>
      <c r="I18" s="14"/>
      <c r="J18" s="15"/>
      <c r="K18" s="15"/>
      <c r="L18" s="15"/>
      <c r="M18" s="15"/>
      <c r="N18" s="26" t="s">
        <v>7</v>
      </c>
      <c r="O18" s="15"/>
      <c r="P18" s="84"/>
      <c r="Q18" s="84"/>
    </row>
    <row r="19" spans="1:18">
      <c r="A19" s="36">
        <f>A15+1</f>
        <v>10</v>
      </c>
      <c r="B19" s="16" t="s">
        <v>99</v>
      </c>
      <c r="C19" s="17" t="s">
        <v>100</v>
      </c>
      <c r="D19" s="44"/>
      <c r="E19" s="45"/>
      <c r="F19" s="45"/>
      <c r="G19" s="45"/>
      <c r="H19" s="18">
        <f t="shared" ref="H19:H21" si="11">E19+F19+G19</f>
        <v>0</v>
      </c>
      <c r="I19" s="45">
        <v>-76.09</v>
      </c>
      <c r="J19" s="10"/>
      <c r="K19" s="19">
        <f t="shared" ref="K19:K21" si="12">H19*0.01*-1</f>
        <v>0</v>
      </c>
      <c r="L19" s="46"/>
      <c r="M19" s="18">
        <f t="shared" ref="M19:M21" si="13">+E19+F19+G19+I19+J19+K19+L19</f>
        <v>-76.09</v>
      </c>
      <c r="N19" s="27">
        <v>1168</v>
      </c>
      <c r="O19" s="17" t="s">
        <v>104</v>
      </c>
      <c r="P19" s="79" t="s">
        <v>44</v>
      </c>
      <c r="Q19" s="83" t="s">
        <v>108</v>
      </c>
      <c r="R19" s="25"/>
    </row>
    <row r="20" spans="1:18">
      <c r="A20" s="36">
        <f t="shared" ref="A20:A21" si="14">A19+1</f>
        <v>11</v>
      </c>
      <c r="B20" s="16" t="s">
        <v>103</v>
      </c>
      <c r="C20" s="17" t="s">
        <v>102</v>
      </c>
      <c r="D20" s="17"/>
      <c r="E20" s="10"/>
      <c r="F20" s="10"/>
      <c r="G20" s="10"/>
      <c r="H20" s="10">
        <f t="shared" si="11"/>
        <v>0</v>
      </c>
      <c r="I20" s="10"/>
      <c r="J20" s="19"/>
      <c r="K20" s="19">
        <f t="shared" si="12"/>
        <v>0</v>
      </c>
      <c r="L20" s="19"/>
      <c r="M20" s="18">
        <f t="shared" si="13"/>
        <v>0</v>
      </c>
      <c r="N20" s="27">
        <v>1179</v>
      </c>
      <c r="O20" s="17" t="s">
        <v>115</v>
      </c>
      <c r="P20" s="79" t="s">
        <v>44</v>
      </c>
      <c r="Q20" s="83" t="s">
        <v>108</v>
      </c>
      <c r="R20" s="25"/>
    </row>
    <row r="21" spans="1:18" ht="15" thickBot="1">
      <c r="A21" s="36">
        <f t="shared" si="14"/>
        <v>12</v>
      </c>
      <c r="B21" s="43" t="s">
        <v>45</v>
      </c>
      <c r="C21" s="44" t="s">
        <v>46</v>
      </c>
      <c r="D21" s="44"/>
      <c r="E21" s="45"/>
      <c r="F21" s="45"/>
      <c r="G21" s="45"/>
      <c r="H21" s="18">
        <f t="shared" si="11"/>
        <v>0</v>
      </c>
      <c r="I21" s="45"/>
      <c r="J21" s="10">
        <v>-10</v>
      </c>
      <c r="K21" s="19">
        <f t="shared" si="12"/>
        <v>0</v>
      </c>
      <c r="L21" s="46"/>
      <c r="M21" s="18">
        <f t="shared" si="13"/>
        <v>-10</v>
      </c>
      <c r="N21" s="48" t="s">
        <v>47</v>
      </c>
      <c r="O21" s="44" t="s">
        <v>48</v>
      </c>
      <c r="P21" s="79" t="s">
        <v>44</v>
      </c>
      <c r="Q21" s="83" t="s">
        <v>108</v>
      </c>
    </row>
    <row r="22" spans="1:18" ht="15" thickBot="1">
      <c r="A22" s="58" t="s">
        <v>33</v>
      </c>
      <c r="B22" s="59"/>
      <c r="C22" s="59"/>
      <c r="D22" s="60"/>
      <c r="E22" s="62"/>
      <c r="F22" s="62">
        <f t="shared" ref="F22:M22" si="15">SUM(F19:F21)</f>
        <v>0</v>
      </c>
      <c r="G22" s="62">
        <f t="shared" si="15"/>
        <v>0</v>
      </c>
      <c r="H22" s="62">
        <f t="shared" si="15"/>
        <v>0</v>
      </c>
      <c r="I22" s="62">
        <f t="shared" si="15"/>
        <v>-76.09</v>
      </c>
      <c r="J22" s="62">
        <f t="shared" si="15"/>
        <v>-10</v>
      </c>
      <c r="K22" s="62">
        <f t="shared" si="15"/>
        <v>0</v>
      </c>
      <c r="L22" s="62">
        <f t="shared" si="15"/>
        <v>0</v>
      </c>
      <c r="M22" s="62">
        <f t="shared" si="15"/>
        <v>-86.09</v>
      </c>
      <c r="N22" s="63"/>
      <c r="O22" s="59"/>
      <c r="P22" s="78"/>
      <c r="Q22" s="87"/>
    </row>
    <row r="23" spans="1:18">
      <c r="A23" s="49"/>
      <c r="B23" s="50"/>
      <c r="C23" s="51"/>
      <c r="D23" s="51"/>
      <c r="E23" s="52"/>
      <c r="F23" s="52"/>
      <c r="G23" s="52"/>
      <c r="H23" s="52"/>
      <c r="I23" s="52"/>
      <c r="J23" s="53"/>
      <c r="K23" s="53"/>
      <c r="L23" s="53"/>
      <c r="M23" s="54"/>
      <c r="N23" s="55"/>
      <c r="O23" s="56"/>
      <c r="P23" s="80"/>
      <c r="Q23" s="86"/>
    </row>
    <row r="24" spans="1:18" ht="31.8">
      <c r="A24" s="37"/>
      <c r="B24" s="12" t="s">
        <v>50</v>
      </c>
      <c r="C24" s="13"/>
      <c r="D24" s="13"/>
      <c r="E24" s="14"/>
      <c r="F24" s="14"/>
      <c r="G24" s="14"/>
      <c r="H24" s="14"/>
      <c r="I24" s="14"/>
      <c r="J24" s="15"/>
      <c r="K24" s="15"/>
      <c r="L24" s="15"/>
      <c r="M24" s="15"/>
      <c r="N24" s="26" t="s">
        <v>7</v>
      </c>
      <c r="O24" s="15"/>
      <c r="P24" s="84"/>
      <c r="Q24" s="15"/>
    </row>
    <row r="25" spans="1:18">
      <c r="A25" s="36">
        <f>A21+1</f>
        <v>13</v>
      </c>
      <c r="B25" s="89" t="s">
        <v>51</v>
      </c>
      <c r="C25" s="17" t="s">
        <v>52</v>
      </c>
      <c r="D25" s="17"/>
      <c r="E25" s="10"/>
      <c r="F25" s="10"/>
      <c r="G25" s="10"/>
      <c r="H25" s="10">
        <f>E25+F25+G25</f>
        <v>0</v>
      </c>
      <c r="I25" s="10"/>
      <c r="J25" s="19"/>
      <c r="K25" s="19">
        <f>H25*0.01*-1</f>
        <v>0</v>
      </c>
      <c r="L25" s="19"/>
      <c r="M25" s="18">
        <f t="shared" ref="M25:M29" si="16">+E25+F25+G25+I25+J25+K25+L25</f>
        <v>0</v>
      </c>
      <c r="N25" s="27" t="s">
        <v>53</v>
      </c>
      <c r="O25" s="17" t="s">
        <v>54</v>
      </c>
      <c r="P25" s="79" t="s">
        <v>49</v>
      </c>
      <c r="Q25" s="83" t="s">
        <v>109</v>
      </c>
    </row>
    <row r="26" spans="1:18">
      <c r="A26" s="36">
        <f>A25+1</f>
        <v>14</v>
      </c>
      <c r="B26" s="16" t="s">
        <v>111</v>
      </c>
      <c r="C26" s="17" t="s">
        <v>112</v>
      </c>
      <c r="D26" s="17"/>
      <c r="E26" s="10"/>
      <c r="F26" s="10"/>
      <c r="G26" s="10"/>
      <c r="H26" s="10">
        <f t="shared" ref="H26" si="17">E26+F26+G26</f>
        <v>0</v>
      </c>
      <c r="I26" s="10"/>
      <c r="J26" s="76"/>
      <c r="K26" s="19">
        <f t="shared" ref="K26" si="18">H26*0.01*-1</f>
        <v>0</v>
      </c>
      <c r="L26" s="19"/>
      <c r="M26" s="18">
        <f t="shared" si="16"/>
        <v>0</v>
      </c>
      <c r="N26" s="27">
        <v>748</v>
      </c>
      <c r="O26" s="17" t="s">
        <v>113</v>
      </c>
      <c r="P26" s="20" t="s">
        <v>49</v>
      </c>
      <c r="Q26" s="83" t="s">
        <v>109</v>
      </c>
    </row>
    <row r="27" spans="1:18">
      <c r="A27" s="36">
        <f>A26+1</f>
        <v>15</v>
      </c>
      <c r="B27" s="16" t="s">
        <v>55</v>
      </c>
      <c r="C27" s="17" t="s">
        <v>56</v>
      </c>
      <c r="D27" s="17"/>
      <c r="E27" s="10"/>
      <c r="F27" s="10"/>
      <c r="G27" s="10"/>
      <c r="H27" s="10">
        <f t="shared" ref="H27:H29" si="19">E27+F27+G27</f>
        <v>0</v>
      </c>
      <c r="I27" s="10"/>
      <c r="J27" s="19"/>
      <c r="K27" s="19">
        <f t="shared" ref="K27:K29" si="20">H27*0.01*-1</f>
        <v>0</v>
      </c>
      <c r="L27" s="19"/>
      <c r="M27" s="18">
        <f t="shared" si="16"/>
        <v>0</v>
      </c>
      <c r="N27" s="27" t="s">
        <v>57</v>
      </c>
      <c r="O27" s="17" t="s">
        <v>58</v>
      </c>
      <c r="P27" s="79" t="s">
        <v>49</v>
      </c>
      <c r="Q27" s="83" t="s">
        <v>109</v>
      </c>
    </row>
    <row r="28" spans="1:18">
      <c r="A28" s="36">
        <f t="shared" ref="A28:A29" si="21">A27+1</f>
        <v>16</v>
      </c>
      <c r="B28" s="16" t="s">
        <v>137</v>
      </c>
      <c r="C28" s="17" t="s">
        <v>138</v>
      </c>
      <c r="D28" s="17"/>
      <c r="E28" s="10"/>
      <c r="F28" s="10"/>
      <c r="G28" s="10"/>
      <c r="H28" s="10">
        <f t="shared" si="19"/>
        <v>0</v>
      </c>
      <c r="I28" s="10"/>
      <c r="J28" s="76"/>
      <c r="K28" s="19">
        <f t="shared" si="20"/>
        <v>0</v>
      </c>
      <c r="L28" s="19"/>
      <c r="M28" s="18">
        <f t="shared" si="16"/>
        <v>0</v>
      </c>
      <c r="N28" s="27">
        <v>1014</v>
      </c>
      <c r="O28" s="17" t="s">
        <v>139</v>
      </c>
      <c r="P28" s="79" t="s">
        <v>49</v>
      </c>
      <c r="Q28" s="83" t="s">
        <v>109</v>
      </c>
    </row>
    <row r="29" spans="1:18">
      <c r="A29" s="36">
        <f t="shared" si="21"/>
        <v>17</v>
      </c>
      <c r="B29" s="16" t="s">
        <v>59</v>
      </c>
      <c r="C29" s="17" t="s">
        <v>60</v>
      </c>
      <c r="D29" s="17"/>
      <c r="E29" s="10"/>
      <c r="F29" s="10"/>
      <c r="G29" s="10"/>
      <c r="H29" s="10">
        <f t="shared" si="19"/>
        <v>0</v>
      </c>
      <c r="I29" s="10"/>
      <c r="J29" s="19"/>
      <c r="K29" s="19">
        <f t="shared" si="20"/>
        <v>0</v>
      </c>
      <c r="L29" s="19"/>
      <c r="M29" s="18">
        <f t="shared" si="16"/>
        <v>0</v>
      </c>
      <c r="N29" s="27">
        <v>1202</v>
      </c>
      <c r="O29" s="17" t="s">
        <v>61</v>
      </c>
      <c r="P29" s="79" t="s">
        <v>49</v>
      </c>
      <c r="Q29" s="83" t="s">
        <v>109</v>
      </c>
    </row>
    <row r="30" spans="1:18" ht="15" thickBot="1">
      <c r="A30" s="36">
        <f t="shared" ref="A30" si="22">A29+1</f>
        <v>18</v>
      </c>
      <c r="B30" s="16" t="s">
        <v>62</v>
      </c>
      <c r="C30" s="17" t="s">
        <v>63</v>
      </c>
      <c r="D30" s="17"/>
      <c r="E30" s="10"/>
      <c r="F30" s="10"/>
      <c r="G30" s="10"/>
      <c r="H30" s="10">
        <f t="shared" ref="H30" si="23">E30+F30+G30</f>
        <v>0</v>
      </c>
      <c r="I30" s="10">
        <v>-76.09</v>
      </c>
      <c r="J30" s="76">
        <v>-10</v>
      </c>
      <c r="K30" s="19">
        <f t="shared" ref="K30" si="24">H30*0.01*-1</f>
        <v>0</v>
      </c>
      <c r="L30" s="19"/>
      <c r="M30" s="18">
        <f t="shared" ref="M30" si="25">+E30+F30+G30+I30+J30+K30+L30</f>
        <v>-86.09</v>
      </c>
      <c r="N30" s="27" t="s">
        <v>64</v>
      </c>
      <c r="O30" s="17" t="s">
        <v>65</v>
      </c>
      <c r="P30" s="79" t="s">
        <v>49</v>
      </c>
      <c r="Q30" s="83" t="s">
        <v>109</v>
      </c>
    </row>
    <row r="31" spans="1:18" ht="15" thickBot="1">
      <c r="A31" s="58" t="s">
        <v>33</v>
      </c>
      <c r="B31" s="59"/>
      <c r="C31" s="59"/>
      <c r="D31" s="60"/>
      <c r="E31" s="62"/>
      <c r="F31" s="62">
        <f t="shared" ref="F31:M31" si="26">SUM(F25:F30)</f>
        <v>0</v>
      </c>
      <c r="G31" s="62">
        <f t="shared" si="26"/>
        <v>0</v>
      </c>
      <c r="H31" s="62">
        <f t="shared" si="26"/>
        <v>0</v>
      </c>
      <c r="I31" s="62">
        <f t="shared" si="26"/>
        <v>-76.09</v>
      </c>
      <c r="J31" s="62">
        <f t="shared" si="26"/>
        <v>-10</v>
      </c>
      <c r="K31" s="62">
        <f t="shared" si="26"/>
        <v>0</v>
      </c>
      <c r="L31" s="62">
        <f t="shared" si="26"/>
        <v>0</v>
      </c>
      <c r="M31" s="61">
        <f t="shared" si="26"/>
        <v>-86.09</v>
      </c>
      <c r="N31" s="63"/>
      <c r="O31" s="59"/>
      <c r="P31" s="78"/>
      <c r="Q31" s="87"/>
    </row>
    <row r="32" spans="1:18">
      <c r="A32" s="49"/>
      <c r="B32" s="50"/>
      <c r="C32" s="51"/>
      <c r="D32" s="51"/>
      <c r="E32" s="52"/>
      <c r="F32" s="52"/>
      <c r="G32" s="52"/>
      <c r="H32" s="52"/>
      <c r="I32" s="52"/>
      <c r="J32" s="53"/>
      <c r="K32" s="53"/>
      <c r="L32" s="53"/>
      <c r="M32" s="54"/>
      <c r="N32" s="55"/>
      <c r="O32" s="56"/>
      <c r="P32" s="80"/>
      <c r="Q32" s="86"/>
    </row>
    <row r="33" spans="1:17" ht="31.8">
      <c r="A33" s="37"/>
      <c r="B33" s="12" t="s">
        <v>66</v>
      </c>
      <c r="C33" s="13"/>
      <c r="D33" s="13"/>
      <c r="E33" s="14"/>
      <c r="F33" s="14"/>
      <c r="G33" s="14"/>
      <c r="H33" s="14"/>
      <c r="I33" s="14"/>
      <c r="J33" s="15"/>
      <c r="K33" s="15"/>
      <c r="L33" s="15"/>
      <c r="M33" s="15"/>
      <c r="N33" s="26" t="s">
        <v>7</v>
      </c>
      <c r="O33" s="15"/>
      <c r="P33" s="84"/>
      <c r="Q33" s="15"/>
    </row>
    <row r="34" spans="1:17">
      <c r="A34" s="36">
        <f>A30+1</f>
        <v>19</v>
      </c>
      <c r="B34" s="8" t="s">
        <v>67</v>
      </c>
      <c r="C34" s="17" t="s">
        <v>68</v>
      </c>
      <c r="D34" s="17"/>
      <c r="E34" s="10"/>
      <c r="F34" s="10"/>
      <c r="G34" s="10"/>
      <c r="H34" s="10">
        <f t="shared" ref="H34:H50" si="27">E34+F34+G34</f>
        <v>0</v>
      </c>
      <c r="I34" s="10"/>
      <c r="J34" s="19"/>
      <c r="K34" s="19"/>
      <c r="L34" s="19"/>
      <c r="M34" s="18">
        <f t="shared" ref="M34:M58" si="28">+E34+F34+G34+I34+J34+K34+L34</f>
        <v>0</v>
      </c>
      <c r="N34" s="27" t="s">
        <v>69</v>
      </c>
      <c r="O34" s="17" t="s">
        <v>70</v>
      </c>
      <c r="P34" s="79" t="s">
        <v>71</v>
      </c>
      <c r="Q34" s="83" t="s">
        <v>110</v>
      </c>
    </row>
    <row r="35" spans="1:17">
      <c r="A35" s="36">
        <f t="shared" ref="A35" si="29">A34+1</f>
        <v>20</v>
      </c>
      <c r="B35" s="8" t="s">
        <v>125</v>
      </c>
      <c r="C35" s="17" t="s">
        <v>126</v>
      </c>
      <c r="D35" s="17"/>
      <c r="E35" s="10"/>
      <c r="F35" s="10"/>
      <c r="G35" s="10"/>
      <c r="H35" s="10">
        <f t="shared" si="27"/>
        <v>0</v>
      </c>
      <c r="I35" s="10"/>
      <c r="J35" s="19"/>
      <c r="K35" s="19"/>
      <c r="L35" s="19"/>
      <c r="M35" s="18">
        <f t="shared" si="28"/>
        <v>0</v>
      </c>
      <c r="N35" s="27">
        <v>1206</v>
      </c>
      <c r="O35" s="17" t="s">
        <v>70</v>
      </c>
      <c r="P35" s="79" t="s">
        <v>71</v>
      </c>
      <c r="Q35" s="83" t="s">
        <v>110</v>
      </c>
    </row>
    <row r="36" spans="1:17">
      <c r="A36" s="36">
        <f>A35+1</f>
        <v>21</v>
      </c>
      <c r="B36" s="8" t="s">
        <v>72</v>
      </c>
      <c r="C36" s="17" t="s">
        <v>73</v>
      </c>
      <c r="D36" s="17"/>
      <c r="E36" s="10"/>
      <c r="F36" s="10"/>
      <c r="G36" s="10"/>
      <c r="H36" s="10">
        <f t="shared" ref="H36:H58" si="30">E36+F36+G36</f>
        <v>0</v>
      </c>
      <c r="I36" s="10"/>
      <c r="J36" s="19"/>
      <c r="K36" s="19"/>
      <c r="L36" s="19"/>
      <c r="M36" s="18">
        <f t="shared" ref="M36:M51" si="31">+E36+F36+G36+I36+J36+K36+L36</f>
        <v>0</v>
      </c>
      <c r="N36" s="27">
        <v>685</v>
      </c>
      <c r="O36" s="17" t="s">
        <v>70</v>
      </c>
      <c r="P36" s="79" t="s">
        <v>71</v>
      </c>
      <c r="Q36" s="83" t="s">
        <v>110</v>
      </c>
    </row>
    <row r="37" spans="1:17">
      <c r="A37" s="36">
        <f t="shared" ref="A37:A69" si="32">A36+1</f>
        <v>22</v>
      </c>
      <c r="B37" s="8" t="s">
        <v>74</v>
      </c>
      <c r="C37" s="17" t="s">
        <v>75</v>
      </c>
      <c r="D37" s="17"/>
      <c r="E37" s="10"/>
      <c r="F37" s="10"/>
      <c r="G37" s="10"/>
      <c r="H37" s="10">
        <f t="shared" si="30"/>
        <v>0</v>
      </c>
      <c r="I37" s="10"/>
      <c r="J37" s="19"/>
      <c r="K37" s="19"/>
      <c r="L37" s="19"/>
      <c r="M37" s="18">
        <f t="shared" si="28"/>
        <v>0</v>
      </c>
      <c r="N37" s="27">
        <v>641</v>
      </c>
      <c r="O37" s="17" t="s">
        <v>70</v>
      </c>
      <c r="P37" s="79" t="s">
        <v>71</v>
      </c>
      <c r="Q37" s="83" t="s">
        <v>110</v>
      </c>
    </row>
    <row r="38" spans="1:17">
      <c r="A38" s="36">
        <f t="shared" si="32"/>
        <v>23</v>
      </c>
      <c r="B38" s="8" t="s">
        <v>129</v>
      </c>
      <c r="C38" s="17" t="s">
        <v>130</v>
      </c>
      <c r="D38" s="17"/>
      <c r="E38" s="10"/>
      <c r="F38" s="10"/>
      <c r="G38" s="10"/>
      <c r="H38" s="10">
        <f t="shared" si="27"/>
        <v>0</v>
      </c>
      <c r="I38" s="10"/>
      <c r="J38" s="19"/>
      <c r="K38" s="19"/>
      <c r="L38" s="19"/>
      <c r="M38" s="18">
        <f t="shared" si="31"/>
        <v>0</v>
      </c>
      <c r="N38" s="27">
        <v>1212</v>
      </c>
      <c r="O38" s="17" t="s">
        <v>70</v>
      </c>
      <c r="P38" s="79" t="s">
        <v>71</v>
      </c>
      <c r="Q38" s="83" t="s">
        <v>110</v>
      </c>
    </row>
    <row r="39" spans="1:17">
      <c r="A39" s="36">
        <f t="shared" si="32"/>
        <v>24</v>
      </c>
      <c r="B39" s="8" t="s">
        <v>76</v>
      </c>
      <c r="C39" s="31" t="s">
        <v>77</v>
      </c>
      <c r="D39" s="17"/>
      <c r="E39" s="10"/>
      <c r="F39" s="10"/>
      <c r="G39" s="10">
        <v>-120</v>
      </c>
      <c r="H39" s="10">
        <f t="shared" si="30"/>
        <v>-120</v>
      </c>
      <c r="I39" s="10"/>
      <c r="J39" s="19"/>
      <c r="K39" s="19"/>
      <c r="L39" s="19"/>
      <c r="M39" s="18">
        <f t="shared" si="28"/>
        <v>-120</v>
      </c>
      <c r="N39" s="27" t="s">
        <v>78</v>
      </c>
      <c r="O39" s="17" t="s">
        <v>70</v>
      </c>
      <c r="P39" s="79" t="s">
        <v>71</v>
      </c>
      <c r="Q39" s="83" t="s">
        <v>110</v>
      </c>
    </row>
    <row r="40" spans="1:17">
      <c r="A40" s="36">
        <f t="shared" si="32"/>
        <v>25</v>
      </c>
      <c r="B40" s="8" t="s">
        <v>79</v>
      </c>
      <c r="C40" s="17" t="s">
        <v>46</v>
      </c>
      <c r="D40" s="17"/>
      <c r="E40" s="10"/>
      <c r="F40" s="10"/>
      <c r="G40" s="10"/>
      <c r="H40" s="10">
        <f t="shared" si="30"/>
        <v>0</v>
      </c>
      <c r="I40" s="10"/>
      <c r="J40" s="19"/>
      <c r="K40" s="19"/>
      <c r="L40" s="19"/>
      <c r="M40" s="18">
        <f t="shared" si="31"/>
        <v>0</v>
      </c>
      <c r="N40" s="27">
        <v>1017</v>
      </c>
      <c r="O40" s="17" t="s">
        <v>70</v>
      </c>
      <c r="P40" s="79" t="s">
        <v>71</v>
      </c>
      <c r="Q40" s="83" t="s">
        <v>110</v>
      </c>
    </row>
    <row r="41" spans="1:17">
      <c r="A41" s="36">
        <f t="shared" si="32"/>
        <v>26</v>
      </c>
      <c r="B41" s="8" t="s">
        <v>116</v>
      </c>
      <c r="C41" s="17" t="s">
        <v>114</v>
      </c>
      <c r="D41" s="17"/>
      <c r="E41" s="10"/>
      <c r="F41" s="10"/>
      <c r="G41" s="10"/>
      <c r="H41" s="10">
        <f t="shared" si="30"/>
        <v>0</v>
      </c>
      <c r="I41" s="10"/>
      <c r="J41" s="19"/>
      <c r="K41" s="19"/>
      <c r="L41" s="19"/>
      <c r="M41" s="18">
        <f t="shared" si="28"/>
        <v>0</v>
      </c>
      <c r="N41" s="27">
        <v>1205</v>
      </c>
      <c r="O41" s="17" t="s">
        <v>70</v>
      </c>
      <c r="P41" s="79" t="s">
        <v>71</v>
      </c>
      <c r="Q41" s="83" t="s">
        <v>110</v>
      </c>
    </row>
    <row r="42" spans="1:17">
      <c r="A42" s="36">
        <f t="shared" si="32"/>
        <v>27</v>
      </c>
      <c r="B42" s="65" t="s">
        <v>133</v>
      </c>
      <c r="C42" s="44" t="s">
        <v>136</v>
      </c>
      <c r="D42" s="44"/>
      <c r="E42" s="45"/>
      <c r="F42" s="45"/>
      <c r="G42" s="45"/>
      <c r="H42" s="10">
        <f t="shared" ref="H42" si="33">E42+F42+G42</f>
        <v>0</v>
      </c>
      <c r="I42" s="45"/>
      <c r="J42" s="46"/>
      <c r="K42" s="46"/>
      <c r="L42" s="46"/>
      <c r="M42" s="18">
        <f t="shared" ref="M42" si="34">+E42+F42+G42+I42+J42+K42+L42</f>
        <v>0</v>
      </c>
      <c r="N42" s="66">
        <v>1217</v>
      </c>
      <c r="O42" s="44" t="s">
        <v>70</v>
      </c>
      <c r="P42" s="79" t="s">
        <v>71</v>
      </c>
      <c r="Q42" s="83" t="s">
        <v>110</v>
      </c>
    </row>
    <row r="43" spans="1:17">
      <c r="A43" s="36">
        <f t="shared" si="32"/>
        <v>28</v>
      </c>
      <c r="B43" s="8" t="s">
        <v>82</v>
      </c>
      <c r="C43" s="17" t="s">
        <v>83</v>
      </c>
      <c r="D43" s="17"/>
      <c r="E43" s="10"/>
      <c r="F43" s="10"/>
      <c r="G43" s="10"/>
      <c r="H43" s="10">
        <f t="shared" si="27"/>
        <v>0</v>
      </c>
      <c r="I43" s="10"/>
      <c r="J43" s="19"/>
      <c r="K43" s="19"/>
      <c r="L43" s="19"/>
      <c r="M43" s="18">
        <f t="shared" si="28"/>
        <v>0</v>
      </c>
      <c r="N43" s="27">
        <v>1130</v>
      </c>
      <c r="O43" s="17" t="s">
        <v>70</v>
      </c>
      <c r="P43" s="79" t="s">
        <v>71</v>
      </c>
      <c r="Q43" s="83" t="s">
        <v>110</v>
      </c>
    </row>
    <row r="44" spans="1:17">
      <c r="A44" s="36">
        <f t="shared" si="32"/>
        <v>29</v>
      </c>
      <c r="B44" s="8" t="s">
        <v>84</v>
      </c>
      <c r="C44" s="17" t="s">
        <v>85</v>
      </c>
      <c r="D44" s="17"/>
      <c r="E44" s="10"/>
      <c r="F44" s="10"/>
      <c r="G44" s="10"/>
      <c r="H44" s="10">
        <f t="shared" si="30"/>
        <v>0</v>
      </c>
      <c r="I44" s="10"/>
      <c r="J44" s="19"/>
      <c r="K44" s="19"/>
      <c r="L44" s="19"/>
      <c r="M44" s="18">
        <f t="shared" si="31"/>
        <v>0</v>
      </c>
      <c r="N44" s="39" t="s">
        <v>86</v>
      </c>
      <c r="O44" s="17" t="s">
        <v>70</v>
      </c>
      <c r="P44" s="79" t="s">
        <v>71</v>
      </c>
      <c r="Q44" s="83" t="s">
        <v>110</v>
      </c>
    </row>
    <row r="45" spans="1:17">
      <c r="A45" s="36">
        <f t="shared" si="32"/>
        <v>30</v>
      </c>
      <c r="B45" s="8" t="s">
        <v>127</v>
      </c>
      <c r="C45" s="17" t="s">
        <v>128</v>
      </c>
      <c r="D45" s="17"/>
      <c r="E45" s="90"/>
      <c r="F45" s="90"/>
      <c r="G45" s="90"/>
      <c r="H45" s="10">
        <f t="shared" si="30"/>
        <v>0</v>
      </c>
      <c r="I45" s="90"/>
      <c r="J45" s="91"/>
      <c r="K45" s="91"/>
      <c r="L45" s="91"/>
      <c r="M45" s="18">
        <f t="shared" si="28"/>
        <v>0</v>
      </c>
      <c r="N45" s="39">
        <v>1140</v>
      </c>
      <c r="O45" s="17" t="s">
        <v>70</v>
      </c>
      <c r="P45" s="79" t="s">
        <v>71</v>
      </c>
      <c r="Q45" s="83" t="s">
        <v>110</v>
      </c>
    </row>
    <row r="46" spans="1:17">
      <c r="A46" s="36">
        <f t="shared" si="32"/>
        <v>31</v>
      </c>
      <c r="B46" s="8" t="s">
        <v>89</v>
      </c>
      <c r="C46" s="17" t="s">
        <v>90</v>
      </c>
      <c r="D46" s="17"/>
      <c r="E46" s="10"/>
      <c r="F46" s="10"/>
      <c r="G46" s="10"/>
      <c r="H46" s="10">
        <f t="shared" si="30"/>
        <v>0</v>
      </c>
      <c r="I46" s="10"/>
      <c r="J46" s="19"/>
      <c r="K46" s="19"/>
      <c r="L46" s="19"/>
      <c r="M46" s="18">
        <f t="shared" si="28"/>
        <v>0</v>
      </c>
      <c r="N46" s="39">
        <v>1171</v>
      </c>
      <c r="O46" s="17" t="s">
        <v>70</v>
      </c>
      <c r="P46" s="79" t="s">
        <v>71</v>
      </c>
      <c r="Q46" s="83" t="s">
        <v>110</v>
      </c>
    </row>
    <row r="47" spans="1:17">
      <c r="A47" s="36">
        <f t="shared" si="32"/>
        <v>32</v>
      </c>
      <c r="B47" s="65" t="s">
        <v>123</v>
      </c>
      <c r="C47" s="17" t="s">
        <v>124</v>
      </c>
      <c r="D47" s="44"/>
      <c r="E47" s="45"/>
      <c r="F47" s="45"/>
      <c r="G47" s="45"/>
      <c r="H47" s="10">
        <f t="shared" si="27"/>
        <v>0</v>
      </c>
      <c r="I47" s="45"/>
      <c r="J47" s="19"/>
      <c r="K47" s="19"/>
      <c r="L47" s="19"/>
      <c r="M47" s="18">
        <f t="shared" si="31"/>
        <v>0</v>
      </c>
      <c r="N47" s="66">
        <v>1151</v>
      </c>
      <c r="O47" s="17" t="s">
        <v>70</v>
      </c>
      <c r="P47" s="79" t="s">
        <v>71</v>
      </c>
      <c r="Q47" s="83" t="s">
        <v>110</v>
      </c>
    </row>
    <row r="48" spans="1:17">
      <c r="A48" s="36">
        <f t="shared" si="32"/>
        <v>33</v>
      </c>
      <c r="B48" s="65" t="s">
        <v>91</v>
      </c>
      <c r="C48" s="44" t="s">
        <v>92</v>
      </c>
      <c r="D48" s="44"/>
      <c r="E48" s="45"/>
      <c r="F48" s="45"/>
      <c r="G48" s="45"/>
      <c r="H48" s="10">
        <f t="shared" si="30"/>
        <v>0</v>
      </c>
      <c r="I48" s="45"/>
      <c r="J48" s="19"/>
      <c r="K48" s="19"/>
      <c r="L48" s="19"/>
      <c r="M48" s="18">
        <f t="shared" si="28"/>
        <v>0</v>
      </c>
      <c r="N48" s="107">
        <v>1155</v>
      </c>
      <c r="O48" s="17" t="s">
        <v>70</v>
      </c>
      <c r="P48" s="79" t="s">
        <v>71</v>
      </c>
      <c r="Q48" s="83" t="s">
        <v>110</v>
      </c>
    </row>
    <row r="49" spans="1:18">
      <c r="A49" s="36">
        <f t="shared" si="32"/>
        <v>34</v>
      </c>
      <c r="B49" s="65" t="s">
        <v>152</v>
      </c>
      <c r="C49" s="44" t="s">
        <v>153</v>
      </c>
      <c r="D49" s="44"/>
      <c r="E49" s="45"/>
      <c r="F49" s="45"/>
      <c r="G49" s="45"/>
      <c r="H49" s="10">
        <f t="shared" si="30"/>
        <v>0</v>
      </c>
      <c r="I49" s="45"/>
      <c r="J49" s="19"/>
      <c r="K49" s="19"/>
      <c r="L49" s="19"/>
      <c r="M49" s="18">
        <f t="shared" si="28"/>
        <v>0</v>
      </c>
      <c r="N49" s="107">
        <v>1246</v>
      </c>
      <c r="O49" s="17" t="s">
        <v>70</v>
      </c>
      <c r="P49" s="79" t="s">
        <v>71</v>
      </c>
      <c r="Q49" s="83" t="s">
        <v>110</v>
      </c>
    </row>
    <row r="50" spans="1:18">
      <c r="A50" s="36">
        <f t="shared" si="32"/>
        <v>35</v>
      </c>
      <c r="B50" s="65" t="s">
        <v>117</v>
      </c>
      <c r="C50" s="44" t="s">
        <v>118</v>
      </c>
      <c r="D50" s="44"/>
      <c r="E50" s="45"/>
      <c r="F50" s="45"/>
      <c r="G50" s="45"/>
      <c r="H50" s="10">
        <f t="shared" si="27"/>
        <v>0</v>
      </c>
      <c r="I50" s="45"/>
      <c r="J50" s="46"/>
      <c r="K50" s="46"/>
      <c r="L50" s="46"/>
      <c r="M50" s="18">
        <f t="shared" si="28"/>
        <v>0</v>
      </c>
      <c r="N50" s="107">
        <v>1193</v>
      </c>
      <c r="O50" s="17" t="s">
        <v>70</v>
      </c>
      <c r="P50" s="79" t="s">
        <v>71</v>
      </c>
      <c r="Q50" s="83" t="s">
        <v>110</v>
      </c>
      <c r="R50" s="25"/>
    </row>
    <row r="51" spans="1:18">
      <c r="A51" s="36">
        <f t="shared" si="32"/>
        <v>36</v>
      </c>
      <c r="B51" s="65" t="s">
        <v>119</v>
      </c>
      <c r="C51" s="44" t="s">
        <v>120</v>
      </c>
      <c r="D51" s="44"/>
      <c r="E51" s="45"/>
      <c r="F51" s="45"/>
      <c r="G51" s="45"/>
      <c r="H51" s="10">
        <f t="shared" si="30"/>
        <v>0</v>
      </c>
      <c r="I51" s="45"/>
      <c r="J51" s="46"/>
      <c r="K51" s="46"/>
      <c r="L51" s="46"/>
      <c r="M51" s="18">
        <f t="shared" si="31"/>
        <v>0</v>
      </c>
      <c r="N51" s="66">
        <v>1197</v>
      </c>
      <c r="O51" s="44" t="s">
        <v>70</v>
      </c>
      <c r="P51" s="85" t="s">
        <v>71</v>
      </c>
      <c r="Q51" s="88" t="s">
        <v>110</v>
      </c>
      <c r="R51" s="25"/>
    </row>
    <row r="52" spans="1:18">
      <c r="A52" s="36">
        <f t="shared" si="32"/>
        <v>37</v>
      </c>
      <c r="B52" s="65" t="s">
        <v>122</v>
      </c>
      <c r="C52" s="44" t="s">
        <v>121</v>
      </c>
      <c r="D52" s="44"/>
      <c r="E52" s="45"/>
      <c r="F52" s="45"/>
      <c r="G52" s="45"/>
      <c r="H52" s="10">
        <f t="shared" si="30"/>
        <v>0</v>
      </c>
      <c r="I52" s="45"/>
      <c r="J52" s="46"/>
      <c r="K52" s="46"/>
      <c r="L52" s="46"/>
      <c r="M52" s="18">
        <f t="shared" si="28"/>
        <v>0</v>
      </c>
      <c r="N52" s="66">
        <v>1200</v>
      </c>
      <c r="O52" s="17" t="s">
        <v>70</v>
      </c>
      <c r="P52" s="85" t="s">
        <v>71</v>
      </c>
      <c r="Q52" s="88" t="s">
        <v>110</v>
      </c>
      <c r="R52" s="25"/>
    </row>
    <row r="53" spans="1:18">
      <c r="A53" s="36">
        <f t="shared" si="32"/>
        <v>38</v>
      </c>
      <c r="B53" s="65" t="s">
        <v>134</v>
      </c>
      <c r="C53" s="44" t="s">
        <v>131</v>
      </c>
      <c r="D53" s="44"/>
      <c r="E53" s="45"/>
      <c r="F53" s="45"/>
      <c r="G53" s="45"/>
      <c r="H53" s="10">
        <f t="shared" si="30"/>
        <v>0</v>
      </c>
      <c r="I53" s="45"/>
      <c r="J53" s="46"/>
      <c r="K53" s="46"/>
      <c r="L53" s="46"/>
      <c r="M53" s="18">
        <f t="shared" si="28"/>
        <v>0</v>
      </c>
      <c r="N53" s="66">
        <v>1218</v>
      </c>
      <c r="O53" s="17" t="s">
        <v>70</v>
      </c>
      <c r="P53" s="85" t="s">
        <v>71</v>
      </c>
      <c r="Q53" s="88" t="s">
        <v>110</v>
      </c>
      <c r="R53" s="25"/>
    </row>
    <row r="54" spans="1:18">
      <c r="A54" s="36">
        <f t="shared" si="32"/>
        <v>39</v>
      </c>
      <c r="B54" s="65" t="s">
        <v>135</v>
      </c>
      <c r="C54" s="44" t="s">
        <v>132</v>
      </c>
      <c r="D54" s="44"/>
      <c r="E54" s="45"/>
      <c r="F54" s="45"/>
      <c r="G54" s="45"/>
      <c r="H54" s="10">
        <f t="shared" si="30"/>
        <v>0</v>
      </c>
      <c r="I54" s="45"/>
      <c r="J54" s="46"/>
      <c r="K54" s="46"/>
      <c r="L54" s="46"/>
      <c r="M54" s="18">
        <f t="shared" si="28"/>
        <v>0</v>
      </c>
      <c r="N54" s="66">
        <v>1220</v>
      </c>
      <c r="O54" s="44" t="s">
        <v>70</v>
      </c>
      <c r="P54" s="79" t="s">
        <v>71</v>
      </c>
      <c r="Q54" s="83" t="s">
        <v>110</v>
      </c>
      <c r="R54" s="25"/>
    </row>
    <row r="55" spans="1:18">
      <c r="A55" s="36">
        <f t="shared" si="32"/>
        <v>40</v>
      </c>
      <c r="B55" s="65" t="s">
        <v>179</v>
      </c>
      <c r="C55" s="44" t="s">
        <v>180</v>
      </c>
      <c r="D55" s="44"/>
      <c r="E55" s="45"/>
      <c r="F55" s="45"/>
      <c r="G55" s="45"/>
      <c r="H55" s="45">
        <f>E55+F55+G55</f>
        <v>0</v>
      </c>
      <c r="I55" s="45"/>
      <c r="J55" s="93"/>
      <c r="K55" s="46"/>
      <c r="L55" s="46"/>
      <c r="M55" s="47">
        <f>+E55+F55+G55+I55+J55+K55+L55</f>
        <v>0</v>
      </c>
      <c r="N55" s="92">
        <v>1221</v>
      </c>
      <c r="O55" s="44" t="s">
        <v>70</v>
      </c>
      <c r="P55" s="85" t="s">
        <v>71</v>
      </c>
      <c r="Q55" s="98" t="s">
        <v>110</v>
      </c>
      <c r="R55" s="25"/>
    </row>
    <row r="56" spans="1:18">
      <c r="A56" s="36">
        <f t="shared" si="32"/>
        <v>41</v>
      </c>
      <c r="B56" s="65" t="s">
        <v>140</v>
      </c>
      <c r="C56" s="44" t="s">
        <v>141</v>
      </c>
      <c r="D56" s="44"/>
      <c r="E56" s="45"/>
      <c r="F56" s="45"/>
      <c r="G56" s="45"/>
      <c r="H56" s="10">
        <f t="shared" si="30"/>
        <v>0</v>
      </c>
      <c r="I56" s="45"/>
      <c r="J56" s="46"/>
      <c r="K56" s="46"/>
      <c r="L56" s="46"/>
      <c r="M56" s="18">
        <f t="shared" si="28"/>
        <v>0</v>
      </c>
      <c r="N56" s="94" t="s">
        <v>142</v>
      </c>
      <c r="O56" s="44" t="s">
        <v>70</v>
      </c>
      <c r="P56" s="79" t="s">
        <v>71</v>
      </c>
      <c r="Q56" s="83" t="s">
        <v>110</v>
      </c>
      <c r="R56" s="25"/>
    </row>
    <row r="57" spans="1:18">
      <c r="A57" s="36">
        <f t="shared" si="32"/>
        <v>42</v>
      </c>
      <c r="B57" s="65" t="s">
        <v>143</v>
      </c>
      <c r="C57" s="44" t="s">
        <v>144</v>
      </c>
      <c r="D57" s="44"/>
      <c r="E57" s="45"/>
      <c r="F57" s="45"/>
      <c r="G57" s="45"/>
      <c r="H57" s="10">
        <f t="shared" si="30"/>
        <v>0</v>
      </c>
      <c r="I57" s="45"/>
      <c r="J57" s="46"/>
      <c r="K57" s="46"/>
      <c r="L57" s="46"/>
      <c r="M57" s="18">
        <f t="shared" si="28"/>
        <v>0</v>
      </c>
      <c r="N57" s="94" t="s">
        <v>145</v>
      </c>
      <c r="O57" s="17" t="s">
        <v>70</v>
      </c>
      <c r="P57" s="85" t="s">
        <v>71</v>
      </c>
      <c r="Q57" s="83" t="s">
        <v>110</v>
      </c>
      <c r="R57" s="25"/>
    </row>
    <row r="58" spans="1:18">
      <c r="A58" s="36">
        <f t="shared" si="32"/>
        <v>43</v>
      </c>
      <c r="B58" s="65" t="s">
        <v>146</v>
      </c>
      <c r="C58" s="44" t="s">
        <v>147</v>
      </c>
      <c r="D58" s="44"/>
      <c r="E58" s="45"/>
      <c r="F58" s="45"/>
      <c r="G58" s="45"/>
      <c r="H58" s="10">
        <f t="shared" si="30"/>
        <v>0</v>
      </c>
      <c r="I58" s="45"/>
      <c r="J58" s="93">
        <v>-10</v>
      </c>
      <c r="K58" s="46"/>
      <c r="L58" s="46"/>
      <c r="M58" s="18">
        <f t="shared" si="28"/>
        <v>-10</v>
      </c>
      <c r="N58" s="94" t="s">
        <v>148</v>
      </c>
      <c r="O58" s="44" t="s">
        <v>70</v>
      </c>
      <c r="P58" s="79" t="s">
        <v>71</v>
      </c>
      <c r="Q58" s="83" t="s">
        <v>110</v>
      </c>
      <c r="R58" s="25"/>
    </row>
    <row r="59" spans="1:18">
      <c r="A59" s="36">
        <f t="shared" si="32"/>
        <v>44</v>
      </c>
      <c r="B59" s="65" t="s">
        <v>149</v>
      </c>
      <c r="C59" s="44" t="s">
        <v>150</v>
      </c>
      <c r="D59" s="44"/>
      <c r="E59" s="45"/>
      <c r="F59" s="45"/>
      <c r="G59" s="45"/>
      <c r="H59" s="10">
        <f t="shared" ref="H59:H67" si="35">E59+F59+G59</f>
        <v>0</v>
      </c>
      <c r="I59" s="45"/>
      <c r="J59" s="93"/>
      <c r="K59" s="46"/>
      <c r="L59" s="46"/>
      <c r="M59" s="18">
        <f t="shared" ref="M59:M67" si="36">+E59+F59+G59+I59+J59+K59+L59</f>
        <v>0</v>
      </c>
      <c r="N59" s="94" t="s">
        <v>151</v>
      </c>
      <c r="O59" s="17" t="s">
        <v>70</v>
      </c>
      <c r="P59" s="85" t="s">
        <v>71</v>
      </c>
      <c r="Q59" s="83" t="s">
        <v>110</v>
      </c>
      <c r="R59" s="25"/>
    </row>
    <row r="60" spans="1:18">
      <c r="A60" s="36">
        <f t="shared" si="32"/>
        <v>45</v>
      </c>
      <c r="B60" s="65" t="s">
        <v>154</v>
      </c>
      <c r="C60" s="44" t="s">
        <v>155</v>
      </c>
      <c r="D60" s="44"/>
      <c r="E60" s="45"/>
      <c r="F60" s="45"/>
      <c r="G60" s="45"/>
      <c r="H60" s="10">
        <f t="shared" si="35"/>
        <v>0</v>
      </c>
      <c r="I60" s="45"/>
      <c r="J60" s="93"/>
      <c r="K60" s="46"/>
      <c r="L60" s="46"/>
      <c r="M60" s="18">
        <f t="shared" si="36"/>
        <v>0</v>
      </c>
      <c r="N60" s="94" t="s">
        <v>156</v>
      </c>
      <c r="O60" s="44" t="s">
        <v>70</v>
      </c>
      <c r="P60" s="79" t="s">
        <v>71</v>
      </c>
      <c r="Q60" s="83" t="s">
        <v>110</v>
      </c>
      <c r="R60" s="25"/>
    </row>
    <row r="61" spans="1:18">
      <c r="A61" s="36">
        <f t="shared" si="32"/>
        <v>46</v>
      </c>
      <c r="B61" s="65" t="s">
        <v>157</v>
      </c>
      <c r="C61" s="44" t="s">
        <v>158</v>
      </c>
      <c r="D61" s="44"/>
      <c r="E61" s="45"/>
      <c r="F61" s="45"/>
      <c r="G61" s="45"/>
      <c r="H61" s="10">
        <f t="shared" si="35"/>
        <v>0</v>
      </c>
      <c r="I61" s="45"/>
      <c r="J61" s="93"/>
      <c r="K61" s="46"/>
      <c r="L61" s="46"/>
      <c r="M61" s="18">
        <f t="shared" si="36"/>
        <v>0</v>
      </c>
      <c r="N61" s="94" t="s">
        <v>159</v>
      </c>
      <c r="O61" s="44" t="s">
        <v>70</v>
      </c>
      <c r="P61" s="79" t="s">
        <v>71</v>
      </c>
      <c r="Q61" s="83" t="s">
        <v>110</v>
      </c>
      <c r="R61" s="25"/>
    </row>
    <row r="62" spans="1:18">
      <c r="A62" s="36">
        <f t="shared" si="32"/>
        <v>47</v>
      </c>
      <c r="B62" s="65" t="s">
        <v>160</v>
      </c>
      <c r="C62" s="44" t="s">
        <v>161</v>
      </c>
      <c r="D62" s="44"/>
      <c r="E62" s="45"/>
      <c r="F62" s="45"/>
      <c r="G62" s="45"/>
      <c r="H62" s="10">
        <f t="shared" si="35"/>
        <v>0</v>
      </c>
      <c r="I62" s="45"/>
      <c r="J62" s="93"/>
      <c r="K62" s="46"/>
      <c r="L62" s="46"/>
      <c r="M62" s="18">
        <f t="shared" si="36"/>
        <v>0</v>
      </c>
      <c r="N62" s="94" t="s">
        <v>162</v>
      </c>
      <c r="O62" s="44" t="s">
        <v>70</v>
      </c>
      <c r="P62" s="85" t="s">
        <v>71</v>
      </c>
      <c r="Q62" s="83" t="s">
        <v>110</v>
      </c>
      <c r="R62" s="25"/>
    </row>
    <row r="63" spans="1:18">
      <c r="A63" s="36">
        <f t="shared" si="32"/>
        <v>48</v>
      </c>
      <c r="B63" s="8" t="s">
        <v>163</v>
      </c>
      <c r="C63" s="17" t="s">
        <v>164</v>
      </c>
      <c r="D63" s="17"/>
      <c r="E63" s="10"/>
      <c r="F63" s="10"/>
      <c r="G63" s="10"/>
      <c r="H63" s="10">
        <f t="shared" si="35"/>
        <v>0</v>
      </c>
      <c r="I63" s="10"/>
      <c r="J63" s="76"/>
      <c r="K63" s="19"/>
      <c r="L63" s="19"/>
      <c r="M63" s="18">
        <f t="shared" si="36"/>
        <v>0</v>
      </c>
      <c r="N63" s="24" t="s">
        <v>165</v>
      </c>
      <c r="O63" s="17" t="s">
        <v>70</v>
      </c>
      <c r="P63" s="79" t="s">
        <v>71</v>
      </c>
      <c r="Q63" s="83" t="s">
        <v>110</v>
      </c>
    </row>
    <row r="64" spans="1:18">
      <c r="A64" s="36">
        <f t="shared" si="32"/>
        <v>49</v>
      </c>
      <c r="B64" s="8" t="s">
        <v>168</v>
      </c>
      <c r="C64" s="17" t="s">
        <v>166</v>
      </c>
      <c r="D64" s="17"/>
      <c r="E64" s="10"/>
      <c r="F64" s="10"/>
      <c r="G64" s="10"/>
      <c r="H64" s="10">
        <f t="shared" si="35"/>
        <v>0</v>
      </c>
      <c r="I64" s="10"/>
      <c r="J64" s="76"/>
      <c r="K64" s="19"/>
      <c r="L64" s="19"/>
      <c r="M64" s="18">
        <f t="shared" si="36"/>
        <v>0</v>
      </c>
      <c r="N64" s="95" t="s">
        <v>167</v>
      </c>
      <c r="O64" s="44" t="s">
        <v>70</v>
      </c>
      <c r="P64" s="85" t="s">
        <v>71</v>
      </c>
      <c r="Q64" s="83" t="s">
        <v>110</v>
      </c>
    </row>
    <row r="65" spans="1:18">
      <c r="A65" s="36">
        <f t="shared" si="32"/>
        <v>50</v>
      </c>
      <c r="B65" s="8" t="s">
        <v>181</v>
      </c>
      <c r="C65" s="17" t="s">
        <v>182</v>
      </c>
      <c r="D65" s="17"/>
      <c r="E65" s="10"/>
      <c r="F65" s="10"/>
      <c r="G65" s="10"/>
      <c r="H65" s="45">
        <f>E65+F65+G65</f>
        <v>0</v>
      </c>
      <c r="I65" s="10"/>
      <c r="J65" s="76"/>
      <c r="K65" s="19"/>
      <c r="L65" s="19"/>
      <c r="M65" s="47">
        <f>+E65+F65+G65+I65+J65+K65+L65</f>
        <v>0</v>
      </c>
      <c r="N65" s="92">
        <v>1248</v>
      </c>
      <c r="O65" s="44" t="s">
        <v>70</v>
      </c>
      <c r="P65" s="85" t="s">
        <v>71</v>
      </c>
      <c r="Q65" s="83" t="s">
        <v>110</v>
      </c>
    </row>
    <row r="66" spans="1:18">
      <c r="A66" s="36">
        <f t="shared" si="32"/>
        <v>51</v>
      </c>
      <c r="B66" s="8" t="s">
        <v>170</v>
      </c>
      <c r="C66" s="17" t="s">
        <v>169</v>
      </c>
      <c r="D66" s="17"/>
      <c r="E66" s="10"/>
      <c r="F66" s="10"/>
      <c r="G66" s="10"/>
      <c r="H66" s="10">
        <f>E66+F66+G66</f>
        <v>0</v>
      </c>
      <c r="I66" s="10"/>
      <c r="J66" s="76"/>
      <c r="K66" s="19"/>
      <c r="L66" s="19"/>
      <c r="M66" s="18">
        <f>+E66+F66+G66+I66+J66+K66+L66</f>
        <v>0</v>
      </c>
      <c r="N66" s="95">
        <v>1249</v>
      </c>
      <c r="O66" s="44" t="s">
        <v>70</v>
      </c>
      <c r="P66" s="85" t="s">
        <v>71</v>
      </c>
      <c r="Q66" s="83" t="s">
        <v>110</v>
      </c>
    </row>
    <row r="67" spans="1:18">
      <c r="A67" s="36">
        <f t="shared" si="32"/>
        <v>52</v>
      </c>
      <c r="B67" s="8" t="s">
        <v>172</v>
      </c>
      <c r="C67" s="17" t="s">
        <v>171</v>
      </c>
      <c r="D67" s="17"/>
      <c r="E67" s="10"/>
      <c r="F67" s="10"/>
      <c r="G67" s="10"/>
      <c r="H67" s="10">
        <f t="shared" si="35"/>
        <v>0</v>
      </c>
      <c r="I67" s="10"/>
      <c r="J67" s="76"/>
      <c r="K67" s="19"/>
      <c r="L67" s="19"/>
      <c r="M67" s="18">
        <f t="shared" si="36"/>
        <v>0</v>
      </c>
      <c r="N67" s="95" t="s">
        <v>173</v>
      </c>
      <c r="O67" s="17" t="s">
        <v>70</v>
      </c>
      <c r="P67" s="79" t="s">
        <v>71</v>
      </c>
      <c r="Q67" s="83" t="s">
        <v>110</v>
      </c>
    </row>
    <row r="68" spans="1:18">
      <c r="A68" s="36">
        <f t="shared" si="32"/>
        <v>53</v>
      </c>
      <c r="B68" s="8" t="s">
        <v>174</v>
      </c>
      <c r="C68" s="17" t="s">
        <v>175</v>
      </c>
      <c r="D68" s="17"/>
      <c r="E68" s="10"/>
      <c r="F68" s="10"/>
      <c r="G68" s="10"/>
      <c r="H68" s="45">
        <f t="shared" ref="H68:H69" si="37">E68+F68+G68</f>
        <v>0</v>
      </c>
      <c r="I68" s="10"/>
      <c r="J68" s="76"/>
      <c r="K68" s="19"/>
      <c r="L68" s="19"/>
      <c r="M68" s="47">
        <f t="shared" ref="M68:M69" si="38">+E68+F68+G68+I68+J68+K68+L68</f>
        <v>0</v>
      </c>
      <c r="N68" s="92" t="s">
        <v>176</v>
      </c>
      <c r="O68" s="44" t="s">
        <v>70</v>
      </c>
      <c r="P68" s="85" t="s">
        <v>71</v>
      </c>
      <c r="Q68" s="83" t="s">
        <v>110</v>
      </c>
    </row>
    <row r="69" spans="1:18">
      <c r="A69" s="36">
        <f t="shared" si="32"/>
        <v>54</v>
      </c>
      <c r="B69" s="8" t="s">
        <v>177</v>
      </c>
      <c r="C69" s="17" t="s">
        <v>178</v>
      </c>
      <c r="D69" s="17"/>
      <c r="E69" s="10"/>
      <c r="F69" s="10"/>
      <c r="G69" s="10"/>
      <c r="H69" s="45">
        <f t="shared" si="37"/>
        <v>0</v>
      </c>
      <c r="I69" s="10"/>
      <c r="J69" s="76"/>
      <c r="K69" s="19"/>
      <c r="L69" s="19"/>
      <c r="M69" s="47">
        <f t="shared" si="38"/>
        <v>0</v>
      </c>
      <c r="N69" s="92">
        <v>1254</v>
      </c>
      <c r="O69" s="44" t="s">
        <v>70</v>
      </c>
      <c r="P69" s="85" t="s">
        <v>71</v>
      </c>
      <c r="Q69" s="83" t="s">
        <v>110</v>
      </c>
    </row>
    <row r="70" spans="1:18">
      <c r="A70" s="7"/>
      <c r="B70" s="8"/>
      <c r="C70" s="17"/>
      <c r="D70" s="17"/>
      <c r="E70" s="10"/>
      <c r="F70" s="10"/>
      <c r="G70" s="10"/>
      <c r="H70" s="10"/>
      <c r="I70" s="10"/>
      <c r="J70" s="76"/>
      <c r="K70" s="19"/>
      <c r="L70" s="19"/>
      <c r="M70" s="18"/>
      <c r="N70" s="24"/>
      <c r="O70" s="17"/>
      <c r="P70" s="20"/>
      <c r="Q70" s="83"/>
    </row>
    <row r="71" spans="1:18" ht="15" thickBot="1">
      <c r="A71" s="99" t="s">
        <v>33</v>
      </c>
      <c r="B71" s="100"/>
      <c r="C71" s="100"/>
      <c r="D71" s="101"/>
      <c r="E71" s="102">
        <f>SUM(E34:E70)</f>
        <v>0</v>
      </c>
      <c r="F71" s="102">
        <f>SUM(F34:F70)</f>
        <v>0</v>
      </c>
      <c r="G71" s="102">
        <f>SUM(G34:G70)</f>
        <v>-120</v>
      </c>
      <c r="H71" s="102">
        <f>SUM(H34:H70)</f>
        <v>-120</v>
      </c>
      <c r="I71" s="102">
        <f>SUM(I34:I70)</f>
        <v>0</v>
      </c>
      <c r="J71" s="102">
        <f>SUM(J34:J70)</f>
        <v>-10</v>
      </c>
      <c r="K71" s="102">
        <f>SUM(K34:K70)</f>
        <v>0</v>
      </c>
      <c r="L71" s="102">
        <f>SUM(L34:L70)</f>
        <v>0</v>
      </c>
      <c r="M71" s="102">
        <f>SUM(M34:M70)</f>
        <v>-130</v>
      </c>
      <c r="N71" s="103"/>
      <c r="O71" s="104"/>
      <c r="P71" s="105"/>
      <c r="Q71" s="106"/>
      <c r="R71" s="25">
        <f>M73-I73-H73-L73-K73-J73</f>
        <v>0</v>
      </c>
    </row>
    <row r="72" spans="1:18">
      <c r="A72" s="67"/>
      <c r="B72" s="57"/>
      <c r="C72" s="56"/>
      <c r="D72" s="56"/>
      <c r="E72" s="68"/>
      <c r="F72" s="68"/>
      <c r="G72" s="68"/>
      <c r="H72" s="68"/>
      <c r="I72" s="68"/>
      <c r="J72" s="69"/>
      <c r="K72" s="69"/>
      <c r="L72" s="69"/>
      <c r="M72" s="70"/>
      <c r="N72" s="71"/>
      <c r="O72" s="56"/>
      <c r="P72" s="57"/>
      <c r="R72" s="25"/>
    </row>
    <row r="73" spans="1:18" ht="15.6">
      <c r="A73" s="21" t="s">
        <v>87</v>
      </c>
      <c r="B73" s="40"/>
      <c r="C73" s="40"/>
      <c r="D73" s="41"/>
      <c r="E73" s="42">
        <f>E71+E31+E22+E16+E11</f>
        <v>0</v>
      </c>
      <c r="F73" s="42">
        <f>F71+F31+F22+F16+F11</f>
        <v>0</v>
      </c>
      <c r="G73" s="42">
        <f>G71+G31+G22+G16+G11</f>
        <v>-120</v>
      </c>
      <c r="H73" s="42">
        <f>H71+H31+H22+H16+H11</f>
        <v>-120</v>
      </c>
      <c r="I73" s="42">
        <f>I71+I31+I22+I16+I11</f>
        <v>-228.27</v>
      </c>
      <c r="J73" s="42">
        <f>J71+J31+J22+J16+J11</f>
        <v>-380</v>
      </c>
      <c r="K73" s="42">
        <f>K71+K31+K22+K16+K11</f>
        <v>0</v>
      </c>
      <c r="L73" s="42">
        <f>L71+L31+L22+L16+L11</f>
        <v>0</v>
      </c>
      <c r="M73" s="42">
        <f>M71+M31+M22+M16+M11</f>
        <v>-728.27</v>
      </c>
      <c r="N73" s="28"/>
      <c r="O73" s="7"/>
      <c r="P73" s="20"/>
    </row>
    <row r="75" spans="1:18">
      <c r="D75" t="s">
        <v>88</v>
      </c>
      <c r="E75" s="29">
        <f t="shared" ref="E75:M75" si="39">SUM(E4:E71)/2</f>
        <v>0</v>
      </c>
      <c r="F75" s="29">
        <f t="shared" si="39"/>
        <v>0</v>
      </c>
      <c r="G75" s="29">
        <f t="shared" si="39"/>
        <v>-120</v>
      </c>
      <c r="H75" s="29">
        <f t="shared" si="39"/>
        <v>-120</v>
      </c>
      <c r="I75" s="29">
        <f t="shared" si="39"/>
        <v>-228.27000000000004</v>
      </c>
      <c r="J75" s="29">
        <f>SUM(J4:J71)/2</f>
        <v>-380</v>
      </c>
      <c r="K75" s="29">
        <f t="shared" si="39"/>
        <v>0</v>
      </c>
      <c r="L75" s="29">
        <f t="shared" si="39"/>
        <v>0</v>
      </c>
      <c r="M75" s="29">
        <f t="shared" si="39"/>
        <v>-728.27</v>
      </c>
    </row>
    <row r="76" spans="1:18">
      <c r="D76" t="s">
        <v>88</v>
      </c>
      <c r="E76" s="73">
        <f>+E75-E77</f>
        <v>-59774.12</v>
      </c>
      <c r="F76" s="30"/>
      <c r="G76" s="30"/>
      <c r="H76" s="30">
        <f>H75-H77</f>
        <v>-59774.12</v>
      </c>
      <c r="I76" s="30"/>
      <c r="J76" s="30">
        <f>F75+G75+I75+J75-J77</f>
        <v>0</v>
      </c>
      <c r="K76" s="29">
        <f>K77-K75</f>
        <v>0</v>
      </c>
      <c r="M76" s="30">
        <f>M75-M77</f>
        <v>0</v>
      </c>
    </row>
    <row r="77" spans="1:18">
      <c r="D77" t="s">
        <v>88</v>
      </c>
      <c r="E77" s="30">
        <v>59774.12</v>
      </c>
      <c r="F77" s="30"/>
      <c r="G77" s="30"/>
      <c r="H77" s="30">
        <f>E77+F75+G75</f>
        <v>59654.12</v>
      </c>
      <c r="I77" s="30"/>
      <c r="J77" s="30">
        <v>-728.27</v>
      </c>
      <c r="K77" s="29">
        <f>SUM(H73-H71)*-0.01</f>
        <v>0</v>
      </c>
      <c r="M77" s="30">
        <f>H75+I75+J75+K75+L75</f>
        <v>-728.27</v>
      </c>
    </row>
  </sheetData>
  <phoneticPr fontId="24" type="noConversion"/>
  <conditionalFormatting sqref="D4:D10 D14:D15 D19:D21 D34:D70">
    <cfRule type="cellIs" dxfId="1" priority="19" operator="greaterThan">
      <formula>48</formula>
    </cfRule>
  </conditionalFormatting>
  <conditionalFormatting sqref="D25:D30">
    <cfRule type="cellIs" dxfId="0" priority="4" operator="greaterThan">
      <formula>48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3C62-5129-40D7-9670-90AC512D435D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qryAccsysExport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OPHELP Operations</dc:creator>
  <cp:lastModifiedBy>OPHELP Operations</cp:lastModifiedBy>
  <dcterms:created xsi:type="dcterms:W3CDTF">2023-12-27T13:14:00Z</dcterms:created>
  <dcterms:modified xsi:type="dcterms:W3CDTF">2026-08-26T10:40:50Z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1213BDAB3CBA415F9403197A99E3521E_12</vt:lpwstr>
  </property>
  <property fmtid="{D5CDD505-2E9C-101B-9397-08002B2CF9AE}" pid="3" name="KSOProductBuildVer">
    <vt:lpwstr>1033-12.2.0.13359</vt:lpwstr>
  </property>
</Properties>
</file>