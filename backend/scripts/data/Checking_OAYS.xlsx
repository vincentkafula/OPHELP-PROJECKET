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24922bd70e44b3/Cash Control^J OASys Check ^M/"/>
    </mc:Choice>
  </mc:AlternateContent>
  <xr:revisionPtr revIDLastSave="3038" documentId="13_ncr:1_{0CA8F10D-5D9F-4450-842B-0F515CD63C48}" xr6:coauthVersionLast="47" xr6:coauthVersionMax="47" xr10:uidLastSave="{38758564-D71A-4F2D-81B7-CF42BC44A25B}"/>
  <bookViews>
    <workbookView xWindow="-108" yWindow="-108" windowWidth="23256" windowHeight="12576" tabRatio="659" firstSheet="38" activeTab="39" xr2:uid="{F9D6E7C4-2FC7-43B5-A8C5-EC41F415E386}"/>
  </bookViews>
  <sheets>
    <sheet name="Sheet1" sheetId="1" r:id="rId1"/>
    <sheet name="Sheet2" sheetId="2" state="hidden" r:id="rId2"/>
    <sheet name="January 2023" sheetId="3" r:id="rId3"/>
    <sheet name="February 2023" sheetId="4" r:id="rId4"/>
    <sheet name="March 2023" sheetId="5" r:id="rId5"/>
    <sheet name="April 2023" sheetId="6" r:id="rId6"/>
    <sheet name="May 2023" sheetId="7" r:id="rId7"/>
    <sheet name="June 2023" sheetId="8" r:id="rId8"/>
    <sheet name="July 2023" sheetId="9" r:id="rId9"/>
    <sheet name="August 2023" sheetId="10" r:id="rId10"/>
    <sheet name="September 2023" sheetId="11" r:id="rId11"/>
    <sheet name="Sheet3" sheetId="15" r:id="rId12"/>
    <sheet name="October 2023" sheetId="12" r:id="rId13"/>
    <sheet name="November 2023" sheetId="13" r:id="rId14"/>
    <sheet name="December 2023" sheetId="14" r:id="rId15"/>
    <sheet name="January" sheetId="16" r:id="rId16"/>
    <sheet name="February 2024" sheetId="17" r:id="rId17"/>
    <sheet name="March 2024" sheetId="18" r:id="rId18"/>
    <sheet name="April 2024" sheetId="19" r:id="rId19"/>
    <sheet name="May 2024" sheetId="20" r:id="rId20"/>
    <sheet name="June 2024" sheetId="22" r:id="rId21"/>
    <sheet name="July 2024" sheetId="21" r:id="rId22"/>
    <sheet name="August 2024" sheetId="23" r:id="rId23"/>
    <sheet name="September 2024" sheetId="25" r:id="rId24"/>
    <sheet name="October 2024" sheetId="24" r:id="rId25"/>
    <sheet name="November 2024" sheetId="26" r:id="rId26"/>
    <sheet name="December 2024" sheetId="27" r:id="rId27"/>
    <sheet name="January 2025" sheetId="29" r:id="rId28"/>
    <sheet name="February 2025" sheetId="28" r:id="rId29"/>
    <sheet name="March 2025" sheetId="30" r:id="rId30"/>
    <sheet name="April 2025" sheetId="31" r:id="rId31"/>
    <sheet name="May 2025" sheetId="32" r:id="rId32"/>
    <sheet name="June 2025" sheetId="33" r:id="rId33"/>
    <sheet name="July 2025" sheetId="34" r:id="rId34"/>
    <sheet name="Aug 2025 - Dec 2025" sheetId="35" r:id="rId35"/>
    <sheet name="January 2026" sheetId="40" r:id="rId36"/>
    <sheet name="February 2026" sheetId="41" r:id="rId37"/>
    <sheet name="March 2026" sheetId="42" r:id="rId38"/>
    <sheet name="April 2026" sheetId="43" r:id="rId39"/>
    <sheet name="June 2026" sheetId="44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8" i="44" l="1"/>
  <c r="N258" i="44"/>
  <c r="O258" i="44"/>
  <c r="P258" i="44"/>
  <c r="P259" i="44" s="1"/>
  <c r="Q258" i="44"/>
  <c r="R258" i="44"/>
  <c r="S258" i="44"/>
  <c r="T258" i="44"/>
  <c r="U258" i="44"/>
  <c r="V258" i="44"/>
  <c r="W258" i="44"/>
  <c r="X258" i="44"/>
  <c r="B258" i="44"/>
  <c r="C258" i="44"/>
  <c r="D258" i="44"/>
  <c r="E258" i="44"/>
  <c r="F258" i="44"/>
  <c r="G258" i="44"/>
  <c r="Q259" i="44"/>
  <c r="X257" i="44"/>
  <c r="W257" i="44"/>
  <c r="W259" i="44" s="1"/>
  <c r="V257" i="44"/>
  <c r="V259" i="44" s="1"/>
  <c r="U257" i="44"/>
  <c r="T257" i="44"/>
  <c r="S257" i="44"/>
  <c r="S259" i="44" s="1"/>
  <c r="R257" i="44"/>
  <c r="R259" i="44" s="1"/>
  <c r="Q257" i="44"/>
  <c r="O257" i="44"/>
  <c r="N257" i="44"/>
  <c r="M257" i="44"/>
  <c r="M259" i="44" s="1"/>
  <c r="L257" i="44"/>
  <c r="K257" i="44"/>
  <c r="M241" i="44"/>
  <c r="O241" i="44" s="1"/>
  <c r="Q241" i="44" s="1"/>
  <c r="S241" i="44" s="1"/>
  <c r="U241" i="44" s="1"/>
  <c r="W241" i="44" s="1"/>
  <c r="K239" i="44"/>
  <c r="G257" i="44"/>
  <c r="G259" i="44" s="1"/>
  <c r="F257" i="44"/>
  <c r="E257" i="44"/>
  <c r="E259" i="44" s="1"/>
  <c r="D257" i="44"/>
  <c r="D259" i="44" s="1"/>
  <c r="C257" i="44"/>
  <c r="C259" i="44" s="1"/>
  <c r="B257" i="44"/>
  <c r="A257" i="44"/>
  <c r="A259" i="44" s="1"/>
  <c r="I255" i="44"/>
  <c r="H237" i="44"/>
  <c r="O237" i="44"/>
  <c r="O239" i="44"/>
  <c r="T259" i="44" l="1"/>
  <c r="X259" i="44"/>
  <c r="L259" i="44"/>
  <c r="U259" i="44"/>
  <c r="K259" i="44"/>
  <c r="B259" i="44"/>
  <c r="F259" i="44"/>
  <c r="H258" i="44"/>
  <c r="N259" i="44"/>
  <c r="O259" i="44"/>
  <c r="H257" i="44"/>
  <c r="X237" i="44"/>
  <c r="W237" i="44"/>
  <c r="V237" i="44"/>
  <c r="U237" i="44"/>
  <c r="T237" i="44"/>
  <c r="S237" i="44"/>
  <c r="R237" i="44"/>
  <c r="Q237" i="44"/>
  <c r="N237" i="44"/>
  <c r="M237" i="44"/>
  <c r="M239" i="44" s="1"/>
  <c r="L237" i="44"/>
  <c r="K237" i="44"/>
  <c r="M221" i="44"/>
  <c r="O221" i="44" s="1"/>
  <c r="Q221" i="44" s="1"/>
  <c r="S221" i="44" s="1"/>
  <c r="U221" i="44" s="1"/>
  <c r="W221" i="44" s="1"/>
  <c r="B237" i="44"/>
  <c r="B239" i="44" s="1"/>
  <c r="C237" i="44"/>
  <c r="G237" i="44"/>
  <c r="F237" i="44"/>
  <c r="E237" i="44"/>
  <c r="D237" i="44"/>
  <c r="A237" i="44"/>
  <c r="A239" i="44" s="1"/>
  <c r="I235" i="44"/>
  <c r="B219" i="44"/>
  <c r="H259" i="44" l="1"/>
  <c r="S239" i="44"/>
  <c r="F239" i="44"/>
  <c r="G239" i="44"/>
  <c r="Q239" i="44"/>
  <c r="U239" i="44"/>
  <c r="E239" i="44"/>
  <c r="R239" i="44"/>
  <c r="V239" i="44"/>
  <c r="W239" i="44"/>
  <c r="L239" i="44"/>
  <c r="P239" i="44"/>
  <c r="T239" i="44"/>
  <c r="X239" i="44"/>
  <c r="N239" i="44"/>
  <c r="D239" i="44"/>
  <c r="C239" i="44"/>
  <c r="H238" i="44"/>
  <c r="X217" i="44"/>
  <c r="W217" i="44"/>
  <c r="W219" i="44" s="1"/>
  <c r="V217" i="44"/>
  <c r="V219" i="44" s="1"/>
  <c r="U217" i="44"/>
  <c r="T217" i="44"/>
  <c r="S217" i="44"/>
  <c r="S219" i="44" s="1"/>
  <c r="R217" i="44"/>
  <c r="R219" i="44" s="1"/>
  <c r="Q217" i="44"/>
  <c r="P217" i="44"/>
  <c r="O217" i="44"/>
  <c r="O219" i="44" s="1"/>
  <c r="N217" i="44"/>
  <c r="N219" i="44" s="1"/>
  <c r="M217" i="44"/>
  <c r="L217" i="44"/>
  <c r="K217" i="44"/>
  <c r="K219" i="44" s="1"/>
  <c r="M201" i="44"/>
  <c r="O201" i="44" s="1"/>
  <c r="Q201" i="44" s="1"/>
  <c r="S201" i="44" s="1"/>
  <c r="U201" i="44" s="1"/>
  <c r="W201" i="44" s="1"/>
  <c r="G217" i="44"/>
  <c r="G219" i="44" s="1"/>
  <c r="F217" i="44"/>
  <c r="E217" i="44"/>
  <c r="D217" i="44"/>
  <c r="D219" i="44" s="1"/>
  <c r="C217" i="44"/>
  <c r="A217" i="44"/>
  <c r="A219" i="44" s="1"/>
  <c r="I215" i="44"/>
  <c r="H239" i="44" l="1"/>
  <c r="C219" i="44"/>
  <c r="H218" i="44"/>
  <c r="E219" i="44"/>
  <c r="F219" i="44"/>
  <c r="L219" i="44"/>
  <c r="P219" i="44"/>
  <c r="T219" i="44"/>
  <c r="X219" i="44"/>
  <c r="M219" i="44"/>
  <c r="Q219" i="44"/>
  <c r="U219" i="44"/>
  <c r="H217" i="44"/>
  <c r="X197" i="44"/>
  <c r="W197" i="44"/>
  <c r="V197" i="44"/>
  <c r="V199" i="44" s="1"/>
  <c r="U197" i="44"/>
  <c r="T197" i="44"/>
  <c r="T199" i="44" s="1"/>
  <c r="S197" i="44"/>
  <c r="S199" i="44" s="1"/>
  <c r="R197" i="44"/>
  <c r="Q197" i="44"/>
  <c r="P197" i="44"/>
  <c r="O197" i="44"/>
  <c r="N197" i="44"/>
  <c r="M197" i="44"/>
  <c r="L197" i="44"/>
  <c r="K197" i="44"/>
  <c r="K199" i="44" s="1"/>
  <c r="M181" i="44"/>
  <c r="O181" i="44" s="1"/>
  <c r="Q181" i="44" s="1"/>
  <c r="S181" i="44" s="1"/>
  <c r="U181" i="44" s="1"/>
  <c r="W181" i="44" s="1"/>
  <c r="G197" i="44"/>
  <c r="G199" i="44" s="1"/>
  <c r="F197" i="44"/>
  <c r="F199" i="44" s="1"/>
  <c r="E197" i="44"/>
  <c r="E199" i="44" s="1"/>
  <c r="D197" i="44"/>
  <c r="D199" i="44" s="1"/>
  <c r="C197" i="44"/>
  <c r="C199" i="44" s="1"/>
  <c r="B197" i="44"/>
  <c r="B199" i="44" s="1"/>
  <c r="A197" i="44"/>
  <c r="A199" i="44" s="1"/>
  <c r="I195" i="44"/>
  <c r="H198" i="44" s="1"/>
  <c r="H219" i="44" l="1"/>
  <c r="U199" i="44"/>
  <c r="R199" i="44"/>
  <c r="W199" i="44"/>
  <c r="O199" i="44"/>
  <c r="N199" i="44"/>
  <c r="L199" i="44"/>
  <c r="P199" i="44"/>
  <c r="X199" i="44"/>
  <c r="M199" i="44"/>
  <c r="Q199" i="44"/>
  <c r="H197" i="44"/>
  <c r="H199" i="44" s="1"/>
  <c r="X177" i="44"/>
  <c r="W177" i="44"/>
  <c r="W179" i="44" s="1"/>
  <c r="V177" i="44"/>
  <c r="V179" i="44" s="1"/>
  <c r="U177" i="44"/>
  <c r="U179" i="44" s="1"/>
  <c r="T177" i="44"/>
  <c r="S177" i="44"/>
  <c r="S179" i="44" s="1"/>
  <c r="R177" i="44"/>
  <c r="R179" i="44" s="1"/>
  <c r="Q177" i="44"/>
  <c r="Q179" i="44" s="1"/>
  <c r="P177" i="44"/>
  <c r="O177" i="44"/>
  <c r="O179" i="44" s="1"/>
  <c r="N177" i="44"/>
  <c r="N179" i="44" s="1"/>
  <c r="M177" i="44"/>
  <c r="L177" i="44"/>
  <c r="K177" i="44"/>
  <c r="M161" i="44"/>
  <c r="O161" i="44" s="1"/>
  <c r="Q161" i="44" s="1"/>
  <c r="S161" i="44" s="1"/>
  <c r="U161" i="44" s="1"/>
  <c r="W161" i="44" s="1"/>
  <c r="G177" i="44"/>
  <c r="F177" i="44"/>
  <c r="F179" i="44" s="1"/>
  <c r="E177" i="44"/>
  <c r="D177" i="44"/>
  <c r="C177" i="44"/>
  <c r="B177" i="44"/>
  <c r="B179" i="44" s="1"/>
  <c r="A177" i="44"/>
  <c r="A179" i="44" s="1"/>
  <c r="I175" i="44"/>
  <c r="X157" i="44"/>
  <c r="W157" i="44"/>
  <c r="W159" i="44" s="1"/>
  <c r="V157" i="44"/>
  <c r="V159" i="44" s="1"/>
  <c r="U157" i="44"/>
  <c r="T157" i="44"/>
  <c r="S157" i="44"/>
  <c r="S159" i="44" s="1"/>
  <c r="R157" i="44"/>
  <c r="R159" i="44" s="1"/>
  <c r="Q157" i="44"/>
  <c r="P157" i="44"/>
  <c r="O157" i="44"/>
  <c r="O159" i="44" s="1"/>
  <c r="N157" i="44"/>
  <c r="N159" i="44" s="1"/>
  <c r="M157" i="44"/>
  <c r="L157" i="44"/>
  <c r="K157" i="44"/>
  <c r="M141" i="44"/>
  <c r="O141" i="44" s="1"/>
  <c r="Q141" i="44" s="1"/>
  <c r="S141" i="44" s="1"/>
  <c r="U141" i="44" s="1"/>
  <c r="W141" i="44" s="1"/>
  <c r="G157" i="44"/>
  <c r="G159" i="44" s="1"/>
  <c r="F157" i="44"/>
  <c r="E157" i="44"/>
  <c r="D157" i="44"/>
  <c r="D159" i="44" s="1"/>
  <c r="C157" i="44"/>
  <c r="C159" i="44" s="1"/>
  <c r="B157" i="44"/>
  <c r="A157" i="44"/>
  <c r="I155" i="44"/>
  <c r="H118" i="44"/>
  <c r="X137" i="44"/>
  <c r="X139" i="44" s="1"/>
  <c r="W137" i="44"/>
  <c r="W139" i="44" s="1"/>
  <c r="V137" i="44"/>
  <c r="V139" i="44" s="1"/>
  <c r="U137" i="44"/>
  <c r="T137" i="44"/>
  <c r="T139" i="44" s="1"/>
  <c r="S137" i="44"/>
  <c r="S139" i="44" s="1"/>
  <c r="R137" i="44"/>
  <c r="R139" i="44" s="1"/>
  <c r="Q137" i="44"/>
  <c r="P137" i="44"/>
  <c r="O137" i="44"/>
  <c r="O139" i="44" s="1"/>
  <c r="N137" i="44"/>
  <c r="N139" i="44" s="1"/>
  <c r="M137" i="44"/>
  <c r="L137" i="44"/>
  <c r="L139" i="44" s="1"/>
  <c r="K137" i="44"/>
  <c r="K139" i="44" s="1"/>
  <c r="M121" i="44"/>
  <c r="O121" i="44" s="1"/>
  <c r="Q121" i="44" s="1"/>
  <c r="S121" i="44" s="1"/>
  <c r="U121" i="44" s="1"/>
  <c r="W121" i="44" s="1"/>
  <c r="G137" i="44"/>
  <c r="F137" i="44"/>
  <c r="E137" i="44"/>
  <c r="E139" i="44" s="1"/>
  <c r="D137" i="44"/>
  <c r="D139" i="44" s="1"/>
  <c r="C137" i="44"/>
  <c r="C139" i="44" s="1"/>
  <c r="B137" i="44"/>
  <c r="A137" i="44"/>
  <c r="A139" i="44" s="1"/>
  <c r="I135" i="44"/>
  <c r="H138" i="44" s="1"/>
  <c r="I115" i="44"/>
  <c r="H158" i="44" l="1"/>
  <c r="H157" i="44"/>
  <c r="H178" i="44"/>
  <c r="D179" i="44"/>
  <c r="M179" i="44"/>
  <c r="L179" i="44"/>
  <c r="P179" i="44"/>
  <c r="T179" i="44"/>
  <c r="X179" i="44"/>
  <c r="K179" i="44"/>
  <c r="E179" i="44"/>
  <c r="C179" i="44"/>
  <c r="G179" i="44"/>
  <c r="H177" i="44"/>
  <c r="A159" i="44"/>
  <c r="L159" i="44"/>
  <c r="P159" i="44"/>
  <c r="T159" i="44"/>
  <c r="X159" i="44"/>
  <c r="M159" i="44"/>
  <c r="Q159" i="44"/>
  <c r="U159" i="44"/>
  <c r="K159" i="44"/>
  <c r="E159" i="44"/>
  <c r="B159" i="44"/>
  <c r="F159" i="44"/>
  <c r="G139" i="44"/>
  <c r="P139" i="44"/>
  <c r="B139" i="44"/>
  <c r="F139" i="44"/>
  <c r="H137" i="44"/>
  <c r="H139" i="44" s="1"/>
  <c r="M139" i="44"/>
  <c r="Q139" i="44"/>
  <c r="U139" i="44"/>
  <c r="X117" i="44"/>
  <c r="X119" i="44" s="1"/>
  <c r="W117" i="44"/>
  <c r="W119" i="44" s="1"/>
  <c r="V117" i="44"/>
  <c r="V119" i="44" s="1"/>
  <c r="U117" i="44"/>
  <c r="U119" i="44" s="1"/>
  <c r="T117" i="44"/>
  <c r="T119" i="44" s="1"/>
  <c r="S117" i="44"/>
  <c r="S119" i="44" s="1"/>
  <c r="R117" i="44"/>
  <c r="R119" i="44" s="1"/>
  <c r="Q117" i="44"/>
  <c r="Q119" i="44" s="1"/>
  <c r="P117" i="44"/>
  <c r="P119" i="44" s="1"/>
  <c r="O117" i="44"/>
  <c r="O119" i="44" s="1"/>
  <c r="N117" i="44"/>
  <c r="N119" i="44" s="1"/>
  <c r="M117" i="44"/>
  <c r="L117" i="44"/>
  <c r="L119" i="44" s="1"/>
  <c r="K117" i="44"/>
  <c r="K119" i="44" s="1"/>
  <c r="M101" i="44"/>
  <c r="O101" i="44" s="1"/>
  <c r="Q101" i="44" s="1"/>
  <c r="S101" i="44" s="1"/>
  <c r="U101" i="44" s="1"/>
  <c r="W101" i="44" s="1"/>
  <c r="G117" i="44"/>
  <c r="G119" i="44" s="1"/>
  <c r="F117" i="44"/>
  <c r="E117" i="44"/>
  <c r="D117" i="44"/>
  <c r="D119" i="44" s="1"/>
  <c r="C117" i="44"/>
  <c r="C119" i="44" s="1"/>
  <c r="B117" i="44"/>
  <c r="A117" i="44"/>
  <c r="L97" i="44"/>
  <c r="L99" i="44" s="1"/>
  <c r="M97" i="44"/>
  <c r="M99" i="44" s="1"/>
  <c r="N97" i="44"/>
  <c r="N99" i="44" s="1"/>
  <c r="O97" i="44"/>
  <c r="O99" i="44" s="1"/>
  <c r="X97" i="44"/>
  <c r="W97" i="44"/>
  <c r="W99" i="44" s="1"/>
  <c r="V97" i="44"/>
  <c r="V99" i="44" s="1"/>
  <c r="U97" i="44"/>
  <c r="U99" i="44" s="1"/>
  <c r="T97" i="44"/>
  <c r="S97" i="44"/>
  <c r="S99" i="44" s="1"/>
  <c r="R97" i="44"/>
  <c r="R99" i="44" s="1"/>
  <c r="Q97" i="44"/>
  <c r="Q99" i="44" s="1"/>
  <c r="P97" i="44"/>
  <c r="K97" i="44"/>
  <c r="M81" i="44"/>
  <c r="O81" i="44" s="1"/>
  <c r="Q81" i="44" s="1"/>
  <c r="S81" i="44" s="1"/>
  <c r="U81" i="44" s="1"/>
  <c r="W81" i="44" s="1"/>
  <c r="G97" i="44"/>
  <c r="F97" i="44"/>
  <c r="E97" i="44"/>
  <c r="E99" i="44" s="1"/>
  <c r="D97" i="44"/>
  <c r="C97" i="44"/>
  <c r="B97" i="44"/>
  <c r="A97" i="44"/>
  <c r="I95" i="44"/>
  <c r="H98" i="44" s="1"/>
  <c r="A119" i="44" l="1"/>
  <c r="H117" i="44"/>
  <c r="H179" i="44"/>
  <c r="H159" i="44"/>
  <c r="D99" i="44"/>
  <c r="H97" i="44"/>
  <c r="E119" i="44"/>
  <c r="B119" i="44"/>
  <c r="F119" i="44"/>
  <c r="M119" i="44"/>
  <c r="A99" i="44"/>
  <c r="P99" i="44"/>
  <c r="T99" i="44"/>
  <c r="X99" i="44"/>
  <c r="K99" i="44"/>
  <c r="B99" i="44"/>
  <c r="F99" i="44"/>
  <c r="C99" i="44"/>
  <c r="G99" i="44"/>
  <c r="X77" i="44"/>
  <c r="W77" i="44"/>
  <c r="W79" i="44" s="1"/>
  <c r="V77" i="44"/>
  <c r="V79" i="44" s="1"/>
  <c r="U77" i="44"/>
  <c r="T77" i="44"/>
  <c r="S77" i="44"/>
  <c r="S79" i="44" s="1"/>
  <c r="R77" i="44"/>
  <c r="R79" i="44" s="1"/>
  <c r="Q77" i="44"/>
  <c r="P77" i="44"/>
  <c r="O77" i="44"/>
  <c r="O79" i="44" s="1"/>
  <c r="N77" i="44"/>
  <c r="M77" i="44"/>
  <c r="L77" i="44"/>
  <c r="K77" i="44"/>
  <c r="K79" i="44" s="1"/>
  <c r="M61" i="44"/>
  <c r="O61" i="44" s="1"/>
  <c r="Q61" i="44" s="1"/>
  <c r="S61" i="44" s="1"/>
  <c r="U61" i="44" s="1"/>
  <c r="W61" i="44" s="1"/>
  <c r="G77" i="44"/>
  <c r="F77" i="44"/>
  <c r="E77" i="44"/>
  <c r="D77" i="44"/>
  <c r="D79" i="44" s="1"/>
  <c r="C77" i="44"/>
  <c r="B77" i="44"/>
  <c r="A77" i="44"/>
  <c r="A79" i="44" s="1"/>
  <c r="I75" i="44"/>
  <c r="H78" i="44" s="1"/>
  <c r="H119" i="44" l="1"/>
  <c r="H99" i="44"/>
  <c r="N79" i="44"/>
  <c r="L79" i="44"/>
  <c r="P79" i="44"/>
  <c r="T79" i="44"/>
  <c r="X79" i="44"/>
  <c r="M79" i="44"/>
  <c r="Q79" i="44"/>
  <c r="U79" i="44"/>
  <c r="B79" i="44"/>
  <c r="F79" i="44"/>
  <c r="C79" i="44"/>
  <c r="G79" i="44"/>
  <c r="H77" i="44"/>
  <c r="E79" i="44"/>
  <c r="I55" i="44"/>
  <c r="H79" i="44" l="1"/>
  <c r="B57" i="44"/>
  <c r="C57" i="44"/>
  <c r="C59" i="44" s="1"/>
  <c r="D57" i="44"/>
  <c r="E57" i="44"/>
  <c r="E58" i="44" s="1"/>
  <c r="F57" i="44"/>
  <c r="F59" i="44" s="1"/>
  <c r="G57" i="44"/>
  <c r="G59" i="44" s="1"/>
  <c r="X57" i="44"/>
  <c r="W57" i="44"/>
  <c r="W59" i="44" s="1"/>
  <c r="V57" i="44"/>
  <c r="V59" i="44" s="1"/>
  <c r="U57" i="44"/>
  <c r="U59" i="44" s="1"/>
  <c r="T57" i="44"/>
  <c r="S57" i="44"/>
  <c r="S59" i="44" s="1"/>
  <c r="R57" i="44"/>
  <c r="R59" i="44" s="1"/>
  <c r="Q57" i="44"/>
  <c r="Q59" i="44" s="1"/>
  <c r="P57" i="44"/>
  <c r="O57" i="44"/>
  <c r="O59" i="44" s="1"/>
  <c r="N57" i="44"/>
  <c r="N59" i="44" s="1"/>
  <c r="M57" i="44"/>
  <c r="M59" i="44" s="1"/>
  <c r="L57" i="44"/>
  <c r="K57" i="44"/>
  <c r="M41" i="44"/>
  <c r="O41" i="44" s="1"/>
  <c r="Q41" i="44" s="1"/>
  <c r="S41" i="44" s="1"/>
  <c r="U41" i="44" s="1"/>
  <c r="W41" i="44" s="1"/>
  <c r="A57" i="44"/>
  <c r="H58" i="44"/>
  <c r="A37" i="44"/>
  <c r="B37" i="44"/>
  <c r="C37" i="44"/>
  <c r="D37" i="44"/>
  <c r="D39" i="44" s="1"/>
  <c r="E37" i="44"/>
  <c r="E39" i="44" s="1"/>
  <c r="F37" i="44"/>
  <c r="G37" i="44"/>
  <c r="G39" i="44" s="1"/>
  <c r="X37" i="44"/>
  <c r="X39" i="44" s="1"/>
  <c r="W37" i="44"/>
  <c r="W39" i="44" s="1"/>
  <c r="V37" i="44"/>
  <c r="V39" i="44" s="1"/>
  <c r="U37" i="44"/>
  <c r="U39" i="44" s="1"/>
  <c r="T37" i="44"/>
  <c r="T39" i="44" s="1"/>
  <c r="S37" i="44"/>
  <c r="S39" i="44" s="1"/>
  <c r="R37" i="44"/>
  <c r="R39" i="44" s="1"/>
  <c r="Q37" i="44"/>
  <c r="Q39" i="44" s="1"/>
  <c r="P37" i="44"/>
  <c r="P39" i="44" s="1"/>
  <c r="O37" i="44"/>
  <c r="O39" i="44" s="1"/>
  <c r="N37" i="44"/>
  <c r="N39" i="44" s="1"/>
  <c r="M37" i="44"/>
  <c r="M39" i="44" s="1"/>
  <c r="L37" i="44"/>
  <c r="L39" i="44" s="1"/>
  <c r="K37" i="44"/>
  <c r="K39" i="44" s="1"/>
  <c r="M21" i="44"/>
  <c r="O21" i="44" s="1"/>
  <c r="Q21" i="44" s="1"/>
  <c r="S21" i="44" s="1"/>
  <c r="U21" i="44" s="1"/>
  <c r="W21" i="44" s="1"/>
  <c r="A39" i="44"/>
  <c r="B39" i="44"/>
  <c r="I35" i="44"/>
  <c r="H38" i="44" s="1"/>
  <c r="D59" i="44" l="1"/>
  <c r="H57" i="44"/>
  <c r="X59" i="44"/>
  <c r="L59" i="44"/>
  <c r="P59" i="44"/>
  <c r="T59" i="44"/>
  <c r="K59" i="44"/>
  <c r="E59" i="44"/>
  <c r="B59" i="44"/>
  <c r="A59" i="44"/>
  <c r="F39" i="44"/>
  <c r="H37" i="44"/>
  <c r="C39" i="44"/>
  <c r="X17" i="44"/>
  <c r="X19" i="44" s="1"/>
  <c r="W17" i="44"/>
  <c r="W19" i="44" s="1"/>
  <c r="V17" i="44"/>
  <c r="V19" i="44" s="1"/>
  <c r="U17" i="44"/>
  <c r="U19" i="44" s="1"/>
  <c r="T17" i="44"/>
  <c r="T19" i="44" s="1"/>
  <c r="S17" i="44"/>
  <c r="S19" i="44" s="1"/>
  <c r="R17" i="44"/>
  <c r="R19" i="44" s="1"/>
  <c r="Q17" i="44"/>
  <c r="Q19" i="44" s="1"/>
  <c r="P17" i="44"/>
  <c r="P19" i="44" s="1"/>
  <c r="O17" i="44"/>
  <c r="O19" i="44" s="1"/>
  <c r="N17" i="44"/>
  <c r="N19" i="44" s="1"/>
  <c r="M17" i="44"/>
  <c r="M19" i="44" s="1"/>
  <c r="L17" i="44"/>
  <c r="L19" i="44" s="1"/>
  <c r="K17" i="44"/>
  <c r="K19" i="44" s="1"/>
  <c r="M1" i="44"/>
  <c r="O1" i="44" s="1"/>
  <c r="Q1" i="44" s="1"/>
  <c r="S1" i="44" s="1"/>
  <c r="U1" i="44" s="1"/>
  <c r="W1" i="44" s="1"/>
  <c r="G17" i="44"/>
  <c r="G19" i="44" s="1"/>
  <c r="E17" i="44"/>
  <c r="E19" i="44" s="1"/>
  <c r="D17" i="44"/>
  <c r="D19" i="44" s="1"/>
  <c r="C17" i="44"/>
  <c r="C19" i="44" s="1"/>
  <c r="B17" i="44"/>
  <c r="B19" i="44" s="1"/>
  <c r="A17" i="44"/>
  <c r="A19" i="44" s="1"/>
  <c r="I15" i="44"/>
  <c r="H18" i="44" s="1"/>
  <c r="F17" i="44"/>
  <c r="H159" i="43"/>
  <c r="H160" i="43"/>
  <c r="H180" i="43"/>
  <c r="H179" i="43"/>
  <c r="F145" i="43"/>
  <c r="X179" i="43"/>
  <c r="W179" i="43"/>
  <c r="W181" i="43" s="1"/>
  <c r="V179" i="43"/>
  <c r="V181" i="43" s="1"/>
  <c r="U179" i="43"/>
  <c r="T179" i="43"/>
  <c r="S179" i="43"/>
  <c r="S181" i="43" s="1"/>
  <c r="R179" i="43"/>
  <c r="R181" i="43" s="1"/>
  <c r="Q179" i="43"/>
  <c r="Q181" i="43" s="1"/>
  <c r="P179" i="43"/>
  <c r="O179" i="43"/>
  <c r="O181" i="43" s="1"/>
  <c r="N179" i="43"/>
  <c r="N181" i="43" s="1"/>
  <c r="M179" i="43"/>
  <c r="M181" i="43" s="1"/>
  <c r="L179" i="43"/>
  <c r="K179" i="43"/>
  <c r="M163" i="43"/>
  <c r="O163" i="43" s="1"/>
  <c r="Q163" i="43" s="1"/>
  <c r="S163" i="43" s="1"/>
  <c r="U163" i="43" s="1"/>
  <c r="W163" i="43" s="1"/>
  <c r="G179" i="43"/>
  <c r="F179" i="43"/>
  <c r="E179" i="43"/>
  <c r="E180" i="43" s="1"/>
  <c r="D179" i="43"/>
  <c r="D181" i="43" s="1"/>
  <c r="C179" i="43"/>
  <c r="B179" i="43"/>
  <c r="B181" i="43" s="1"/>
  <c r="A179" i="43"/>
  <c r="I177" i="43"/>
  <c r="H139" i="43"/>
  <c r="H59" i="44" l="1"/>
  <c r="H39" i="44"/>
  <c r="H17" i="44"/>
  <c r="H19" i="44" s="1"/>
  <c r="F19" i="44"/>
  <c r="U181" i="43"/>
  <c r="F181" i="43"/>
  <c r="G181" i="43"/>
  <c r="L181" i="43"/>
  <c r="P181" i="43"/>
  <c r="T181" i="43"/>
  <c r="X181" i="43"/>
  <c r="K181" i="43"/>
  <c r="E181" i="43"/>
  <c r="A181" i="43"/>
  <c r="X159" i="43"/>
  <c r="W159" i="43"/>
  <c r="V159" i="43"/>
  <c r="V161" i="43" s="1"/>
  <c r="U159" i="43"/>
  <c r="T159" i="43"/>
  <c r="S159" i="43"/>
  <c r="R159" i="43"/>
  <c r="Q159" i="43"/>
  <c r="P159" i="43"/>
  <c r="O159" i="43"/>
  <c r="N159" i="43"/>
  <c r="M159" i="43"/>
  <c r="L159" i="43"/>
  <c r="K159" i="43"/>
  <c r="M143" i="43"/>
  <c r="O143" i="43" s="1"/>
  <c r="Q143" i="43" s="1"/>
  <c r="S143" i="43" s="1"/>
  <c r="U143" i="43" s="1"/>
  <c r="W143" i="43" s="1"/>
  <c r="G159" i="43"/>
  <c r="G161" i="43" s="1"/>
  <c r="F159" i="43"/>
  <c r="E159" i="43"/>
  <c r="D159" i="43"/>
  <c r="D161" i="43" s="1"/>
  <c r="C159" i="43"/>
  <c r="C161" i="43" s="1"/>
  <c r="B159" i="43"/>
  <c r="A159" i="43"/>
  <c r="A161" i="43" s="1"/>
  <c r="I157" i="43"/>
  <c r="H120" i="43"/>
  <c r="P139" i="43"/>
  <c r="P141" i="43" s="1"/>
  <c r="H181" i="43" l="1"/>
  <c r="C181" i="43"/>
  <c r="E161" i="43"/>
  <c r="B161" i="43"/>
  <c r="F161" i="43"/>
  <c r="N161" i="43"/>
  <c r="R161" i="43"/>
  <c r="O161" i="43"/>
  <c r="S161" i="43"/>
  <c r="W161" i="43"/>
  <c r="L161" i="43"/>
  <c r="P161" i="43"/>
  <c r="T161" i="43"/>
  <c r="X161" i="43"/>
  <c r="M161" i="43"/>
  <c r="Q161" i="43"/>
  <c r="U161" i="43"/>
  <c r="K161" i="43"/>
  <c r="L139" i="43"/>
  <c r="L141" i="43" s="1"/>
  <c r="K139" i="43"/>
  <c r="X139" i="43"/>
  <c r="W139" i="43"/>
  <c r="W141" i="43" s="1"/>
  <c r="V139" i="43"/>
  <c r="V141" i="43" s="1"/>
  <c r="U139" i="43"/>
  <c r="U141" i="43" s="1"/>
  <c r="T139" i="43"/>
  <c r="T141" i="43" s="1"/>
  <c r="S139" i="43"/>
  <c r="S141" i="43" s="1"/>
  <c r="R139" i="43"/>
  <c r="R141" i="43" s="1"/>
  <c r="Q139" i="43"/>
  <c r="Q141" i="43" s="1"/>
  <c r="O139" i="43"/>
  <c r="O141" i="43" s="1"/>
  <c r="N139" i="43"/>
  <c r="M139" i="43"/>
  <c r="M141" i="43" s="1"/>
  <c r="M123" i="43"/>
  <c r="O123" i="43" s="1"/>
  <c r="Q123" i="43" s="1"/>
  <c r="S123" i="43" s="1"/>
  <c r="U123" i="43" s="1"/>
  <c r="W123" i="43" s="1"/>
  <c r="G139" i="43"/>
  <c r="G141" i="43" s="1"/>
  <c r="F139" i="43"/>
  <c r="E139" i="43"/>
  <c r="E141" i="43" s="1"/>
  <c r="D139" i="43"/>
  <c r="D141" i="43" s="1"/>
  <c r="C139" i="43"/>
  <c r="B139" i="43"/>
  <c r="A139" i="43"/>
  <c r="A141" i="43" s="1"/>
  <c r="I137" i="43"/>
  <c r="H140" i="43" s="1"/>
  <c r="H99" i="43"/>
  <c r="H100" i="43"/>
  <c r="A99" i="43"/>
  <c r="I181" i="43" l="1"/>
  <c r="H161" i="43"/>
  <c r="I161" i="43"/>
  <c r="X141" i="43"/>
  <c r="C141" i="43"/>
  <c r="N141" i="43"/>
  <c r="K141" i="43"/>
  <c r="B141" i="43"/>
  <c r="F141" i="43"/>
  <c r="X119" i="43"/>
  <c r="H141" i="43" l="1"/>
  <c r="I141" i="43" s="1"/>
  <c r="X121" i="43"/>
  <c r="L119" i="43"/>
  <c r="L121" i="43" s="1"/>
  <c r="M119" i="43"/>
  <c r="N119" i="43"/>
  <c r="N121" i="43" s="1"/>
  <c r="O119" i="43"/>
  <c r="O121" i="43" s="1"/>
  <c r="P121" i="43"/>
  <c r="Q119" i="43"/>
  <c r="Q121" i="43" s="1"/>
  <c r="R119" i="43"/>
  <c r="R121" i="43" s="1"/>
  <c r="S119" i="43"/>
  <c r="S121" i="43" s="1"/>
  <c r="T119" i="43"/>
  <c r="T121" i="43" s="1"/>
  <c r="U119" i="43"/>
  <c r="U121" i="43" s="1"/>
  <c r="V119" i="43"/>
  <c r="V121" i="43" s="1"/>
  <c r="W119" i="43"/>
  <c r="W121" i="43" s="1"/>
  <c r="B119" i="43"/>
  <c r="B121" i="43" s="1"/>
  <c r="C119" i="43"/>
  <c r="C121" i="43" s="1"/>
  <c r="D119" i="43"/>
  <c r="D121" i="43" s="1"/>
  <c r="E119" i="43"/>
  <c r="E121" i="43" s="1"/>
  <c r="F119" i="43"/>
  <c r="F121" i="43" s="1"/>
  <c r="G119" i="43"/>
  <c r="G121" i="43" s="1"/>
  <c r="A119" i="43"/>
  <c r="K119" i="43"/>
  <c r="K121" i="43" s="1"/>
  <c r="M103" i="43"/>
  <c r="O103" i="43" s="1"/>
  <c r="Q103" i="43" s="1"/>
  <c r="S103" i="43" s="1"/>
  <c r="U103" i="43" s="1"/>
  <c r="W103" i="43" s="1"/>
  <c r="M83" i="43"/>
  <c r="O83" i="43" s="1"/>
  <c r="Q83" i="43" s="1"/>
  <c r="S83" i="43" s="1"/>
  <c r="U83" i="43" s="1"/>
  <c r="W83" i="43" s="1"/>
  <c r="I97" i="43"/>
  <c r="S99" i="43"/>
  <c r="S101" i="43" s="1"/>
  <c r="O99" i="43"/>
  <c r="O101" i="43" s="1"/>
  <c r="K99" i="43"/>
  <c r="K101" i="43" s="1"/>
  <c r="V99" i="43"/>
  <c r="T99" i="43"/>
  <c r="T101" i="43" s="1"/>
  <c r="R99" i="43"/>
  <c r="R101" i="43" s="1"/>
  <c r="P99" i="43"/>
  <c r="P101" i="43" s="1"/>
  <c r="N99" i="43"/>
  <c r="N101" i="43" s="1"/>
  <c r="L99" i="43"/>
  <c r="L101" i="43" s="1"/>
  <c r="I117" i="43"/>
  <c r="I120" i="43" s="1"/>
  <c r="B103" i="43"/>
  <c r="C103" i="43" s="1"/>
  <c r="D103" i="43" s="1"/>
  <c r="E103" i="43" s="1"/>
  <c r="F103" i="43" s="1"/>
  <c r="G103" i="43" s="1"/>
  <c r="X99" i="43"/>
  <c r="W99" i="43"/>
  <c r="G99" i="43"/>
  <c r="F99" i="43"/>
  <c r="E99" i="43"/>
  <c r="E101" i="43" s="1"/>
  <c r="D99" i="43"/>
  <c r="D101" i="43" s="1"/>
  <c r="C99" i="43"/>
  <c r="C101" i="43" s="1"/>
  <c r="B99" i="43"/>
  <c r="B101" i="43" s="1"/>
  <c r="A101" i="43"/>
  <c r="B83" i="43"/>
  <c r="C83" i="43" s="1"/>
  <c r="D83" i="43" s="1"/>
  <c r="E83" i="43" s="1"/>
  <c r="F83" i="43" s="1"/>
  <c r="G83" i="43" s="1"/>
  <c r="I54" i="43"/>
  <c r="X77" i="43"/>
  <c r="X79" i="43" s="1"/>
  <c r="W77" i="43"/>
  <c r="W79" i="43" s="1"/>
  <c r="V77" i="43"/>
  <c r="V79" i="43" s="1"/>
  <c r="U77" i="43"/>
  <c r="U79" i="43" s="1"/>
  <c r="T77" i="43"/>
  <c r="T79" i="43" s="1"/>
  <c r="S77" i="43"/>
  <c r="S79" i="43" s="1"/>
  <c r="R77" i="43"/>
  <c r="R79" i="43" s="1"/>
  <c r="Q77" i="43"/>
  <c r="Q79" i="43" s="1"/>
  <c r="P77" i="43"/>
  <c r="P79" i="43" s="1"/>
  <c r="O77" i="43"/>
  <c r="O79" i="43" s="1"/>
  <c r="N77" i="43"/>
  <c r="N79" i="43" s="1"/>
  <c r="M77" i="43"/>
  <c r="M79" i="43" s="1"/>
  <c r="L77" i="43"/>
  <c r="L79" i="43" s="1"/>
  <c r="K77" i="43"/>
  <c r="K79" i="43" s="1"/>
  <c r="G77" i="43"/>
  <c r="G79" i="43" s="1"/>
  <c r="F77" i="43"/>
  <c r="F79" i="43" s="1"/>
  <c r="E77" i="43"/>
  <c r="E79" i="43" s="1"/>
  <c r="D77" i="43"/>
  <c r="D79" i="43" s="1"/>
  <c r="C77" i="43"/>
  <c r="C79" i="43" s="1"/>
  <c r="B77" i="43"/>
  <c r="A77" i="43"/>
  <c r="A79" i="43" s="1"/>
  <c r="I75" i="43"/>
  <c r="H78" i="43" s="1"/>
  <c r="M61" i="43"/>
  <c r="O61" i="43" s="1"/>
  <c r="Q61" i="43" s="1"/>
  <c r="S61" i="43" s="1"/>
  <c r="U61" i="43" s="1"/>
  <c r="W61" i="43" s="1"/>
  <c r="B61" i="43"/>
  <c r="C61" i="43" s="1"/>
  <c r="D61" i="43" s="1"/>
  <c r="E61" i="43" s="1"/>
  <c r="F61" i="43" s="1"/>
  <c r="G61" i="43" s="1"/>
  <c r="A57" i="43"/>
  <c r="A59" i="43" s="1"/>
  <c r="B57" i="43"/>
  <c r="B59" i="43" s="1"/>
  <c r="C57" i="43"/>
  <c r="C59" i="43" s="1"/>
  <c r="D57" i="43"/>
  <c r="D59" i="43" s="1"/>
  <c r="E57" i="43"/>
  <c r="E59" i="43" s="1"/>
  <c r="F57" i="43"/>
  <c r="F59" i="43" s="1"/>
  <c r="G57" i="43"/>
  <c r="G59" i="43" s="1"/>
  <c r="C41" i="43"/>
  <c r="D41" i="43" s="1"/>
  <c r="E41" i="43" s="1"/>
  <c r="F41" i="43" s="1"/>
  <c r="G41" i="43" s="1"/>
  <c r="B41" i="43"/>
  <c r="X57" i="43"/>
  <c r="X59" i="43" s="1"/>
  <c r="W57" i="43"/>
  <c r="W59" i="43" s="1"/>
  <c r="V57" i="43"/>
  <c r="V59" i="43" s="1"/>
  <c r="U57" i="43"/>
  <c r="U59" i="43" s="1"/>
  <c r="T57" i="43"/>
  <c r="T59" i="43" s="1"/>
  <c r="S57" i="43"/>
  <c r="S59" i="43" s="1"/>
  <c r="R57" i="43"/>
  <c r="R59" i="43" s="1"/>
  <c r="Q57" i="43"/>
  <c r="Q59" i="43" s="1"/>
  <c r="P57" i="43"/>
  <c r="P59" i="43" s="1"/>
  <c r="O57" i="43"/>
  <c r="O59" i="43" s="1"/>
  <c r="N57" i="43"/>
  <c r="N59" i="43" s="1"/>
  <c r="M57" i="43"/>
  <c r="M59" i="43" s="1"/>
  <c r="L57" i="43"/>
  <c r="L59" i="43" s="1"/>
  <c r="K57" i="43"/>
  <c r="K59" i="43" s="1"/>
  <c r="I55" i="43"/>
  <c r="H58" i="43" s="1"/>
  <c r="M41" i="43"/>
  <c r="O41" i="43" s="1"/>
  <c r="Q41" i="43" s="1"/>
  <c r="S41" i="43" s="1"/>
  <c r="U41" i="43" s="1"/>
  <c r="W41" i="43" s="1"/>
  <c r="X37" i="43"/>
  <c r="X39" i="43" s="1"/>
  <c r="W37" i="43"/>
  <c r="W39" i="43" s="1"/>
  <c r="V37" i="43"/>
  <c r="V39" i="43" s="1"/>
  <c r="U37" i="43"/>
  <c r="U39" i="43" s="1"/>
  <c r="T37" i="43"/>
  <c r="T39" i="43" s="1"/>
  <c r="S37" i="43"/>
  <c r="S39" i="43" s="1"/>
  <c r="R37" i="43"/>
  <c r="R39" i="43" s="1"/>
  <c r="Q37" i="43"/>
  <c r="Q39" i="43" s="1"/>
  <c r="P37" i="43"/>
  <c r="P39" i="43" s="1"/>
  <c r="O37" i="43"/>
  <c r="O39" i="43" s="1"/>
  <c r="N37" i="43"/>
  <c r="N39" i="43" s="1"/>
  <c r="M37" i="43"/>
  <c r="M39" i="43" s="1"/>
  <c r="L37" i="43"/>
  <c r="L39" i="43" s="1"/>
  <c r="K37" i="43"/>
  <c r="K39" i="43" s="1"/>
  <c r="G37" i="43"/>
  <c r="G39" i="43" s="1"/>
  <c r="F37" i="43"/>
  <c r="F39" i="43" s="1"/>
  <c r="E37" i="43"/>
  <c r="E39" i="43" s="1"/>
  <c r="D37" i="43"/>
  <c r="D39" i="43" s="1"/>
  <c r="C37" i="43"/>
  <c r="C39" i="43" s="1"/>
  <c r="B37" i="43"/>
  <c r="B39" i="43" s="1"/>
  <c r="A37" i="43"/>
  <c r="I35" i="43"/>
  <c r="H38" i="43" s="1"/>
  <c r="M21" i="43"/>
  <c r="O21" i="43" s="1"/>
  <c r="Q21" i="43" s="1"/>
  <c r="S21" i="43" s="1"/>
  <c r="U21" i="43" s="1"/>
  <c r="W21" i="43" s="1"/>
  <c r="X17" i="43"/>
  <c r="X19" i="43" s="1"/>
  <c r="W17" i="43"/>
  <c r="W19" i="43" s="1"/>
  <c r="V17" i="43"/>
  <c r="V19" i="43" s="1"/>
  <c r="U17" i="43"/>
  <c r="U19" i="43" s="1"/>
  <c r="T17" i="43"/>
  <c r="T19" i="43" s="1"/>
  <c r="S17" i="43"/>
  <c r="S19" i="43" s="1"/>
  <c r="R17" i="43"/>
  <c r="R19" i="43" s="1"/>
  <c r="Q17" i="43"/>
  <c r="Q19" i="43" s="1"/>
  <c r="P17" i="43"/>
  <c r="P19" i="43" s="1"/>
  <c r="O17" i="43"/>
  <c r="O19" i="43" s="1"/>
  <c r="N17" i="43"/>
  <c r="N19" i="43" s="1"/>
  <c r="M17" i="43"/>
  <c r="M19" i="43" s="1"/>
  <c r="L17" i="43"/>
  <c r="L19" i="43" s="1"/>
  <c r="K17" i="43"/>
  <c r="K19" i="43" s="1"/>
  <c r="G17" i="43"/>
  <c r="G19" i="43" s="1"/>
  <c r="F17" i="43"/>
  <c r="F19" i="43" s="1"/>
  <c r="E17" i="43"/>
  <c r="E19" i="43" s="1"/>
  <c r="D17" i="43"/>
  <c r="D19" i="43" s="1"/>
  <c r="C17" i="43"/>
  <c r="C19" i="43" s="1"/>
  <c r="B17" i="43"/>
  <c r="B19" i="43" s="1"/>
  <c r="A17" i="43"/>
  <c r="A19" i="43" s="1"/>
  <c r="I15" i="43"/>
  <c r="H18" i="43" s="1"/>
  <c r="M1" i="43"/>
  <c r="O1" i="43" s="1"/>
  <c r="Q1" i="43" s="1"/>
  <c r="S1" i="43" s="1"/>
  <c r="U1" i="43" s="1"/>
  <c r="W1" i="43" s="1"/>
  <c r="M121" i="43" l="1"/>
  <c r="A121" i="43"/>
  <c r="H119" i="43"/>
  <c r="M99" i="43"/>
  <c r="M101" i="43" s="1"/>
  <c r="Q99" i="43"/>
  <c r="Q101" i="43" s="1"/>
  <c r="U99" i="43"/>
  <c r="U101" i="43" s="1"/>
  <c r="I100" i="43"/>
  <c r="H37" i="43"/>
  <c r="H39" i="43" s="1"/>
  <c r="I39" i="43" s="1"/>
  <c r="G101" i="43"/>
  <c r="H77" i="43"/>
  <c r="H79" i="43" s="1"/>
  <c r="X101" i="43"/>
  <c r="V101" i="43"/>
  <c r="W101" i="43"/>
  <c r="F101" i="43"/>
  <c r="H57" i="43"/>
  <c r="H59" i="43" s="1"/>
  <c r="I59" i="43" s="1"/>
  <c r="B79" i="43"/>
  <c r="A39" i="43"/>
  <c r="H17" i="43"/>
  <c r="H19" i="43" s="1"/>
  <c r="L97" i="42"/>
  <c r="L99" i="42" s="1"/>
  <c r="M97" i="42"/>
  <c r="M99" i="42" s="1"/>
  <c r="N97" i="42"/>
  <c r="N99" i="42" s="1"/>
  <c r="O97" i="42"/>
  <c r="O99" i="42" s="1"/>
  <c r="P97" i="42"/>
  <c r="P99" i="42" s="1"/>
  <c r="Q97" i="42"/>
  <c r="R97" i="42"/>
  <c r="R99" i="42" s="1"/>
  <c r="S97" i="42"/>
  <c r="S99" i="42" s="1"/>
  <c r="T97" i="42"/>
  <c r="T99" i="42" s="1"/>
  <c r="U97" i="42"/>
  <c r="U99" i="42" s="1"/>
  <c r="V97" i="42"/>
  <c r="V99" i="42" s="1"/>
  <c r="W97" i="42"/>
  <c r="W99" i="42" s="1"/>
  <c r="X97" i="42"/>
  <c r="X99" i="42" s="1"/>
  <c r="K97" i="42"/>
  <c r="M81" i="42"/>
  <c r="O81" i="42" s="1"/>
  <c r="Q81" i="42" s="1"/>
  <c r="S81" i="42" s="1"/>
  <c r="U81" i="42" s="1"/>
  <c r="W81" i="42" s="1"/>
  <c r="G97" i="42"/>
  <c r="F97" i="42"/>
  <c r="E97" i="42"/>
  <c r="D97" i="42"/>
  <c r="C97" i="42"/>
  <c r="B97" i="42"/>
  <c r="A97" i="42"/>
  <c r="I95" i="42"/>
  <c r="X77" i="42"/>
  <c r="X79" i="42" s="1"/>
  <c r="W77" i="42"/>
  <c r="W79" i="42" s="1"/>
  <c r="V77" i="42"/>
  <c r="V79" i="42" s="1"/>
  <c r="U77" i="42"/>
  <c r="U79" i="42" s="1"/>
  <c r="T77" i="42"/>
  <c r="T79" i="42" s="1"/>
  <c r="S77" i="42"/>
  <c r="S79" i="42" s="1"/>
  <c r="R77" i="42"/>
  <c r="R79" i="42" s="1"/>
  <c r="Q77" i="42"/>
  <c r="Q79" i="42" s="1"/>
  <c r="P77" i="42"/>
  <c r="P79" i="42" s="1"/>
  <c r="O77" i="42"/>
  <c r="O79" i="42" s="1"/>
  <c r="N77" i="42"/>
  <c r="N79" i="42" s="1"/>
  <c r="M77" i="42"/>
  <c r="M79" i="42" s="1"/>
  <c r="L77" i="42"/>
  <c r="L79" i="42" s="1"/>
  <c r="K77" i="42"/>
  <c r="K79" i="42" s="1"/>
  <c r="M61" i="42"/>
  <c r="O61" i="42" s="1"/>
  <c r="Q61" i="42" s="1"/>
  <c r="S61" i="42" s="1"/>
  <c r="U61" i="42" s="1"/>
  <c r="W61" i="42" s="1"/>
  <c r="G77" i="42"/>
  <c r="G79" i="42" s="1"/>
  <c r="F77" i="42"/>
  <c r="E77" i="42"/>
  <c r="E79" i="42" s="1"/>
  <c r="D77" i="42"/>
  <c r="C77" i="42"/>
  <c r="C79" i="42" s="1"/>
  <c r="B77" i="42"/>
  <c r="A77" i="42"/>
  <c r="A79" i="42" s="1"/>
  <c r="I75" i="42"/>
  <c r="W57" i="42"/>
  <c r="W59" i="42" s="1"/>
  <c r="I79" i="43" l="1"/>
  <c r="H121" i="43"/>
  <c r="I121" i="43" s="1"/>
  <c r="H101" i="43"/>
  <c r="I101" i="43" s="1"/>
  <c r="Q99" i="42"/>
  <c r="K99" i="42"/>
  <c r="E99" i="42"/>
  <c r="G99" i="42"/>
  <c r="C99" i="42"/>
  <c r="A99" i="42"/>
  <c r="D99" i="42"/>
  <c r="B99" i="42"/>
  <c r="F99" i="42"/>
  <c r="H97" i="42"/>
  <c r="H77" i="42"/>
  <c r="H78" i="42" s="1"/>
  <c r="B79" i="42"/>
  <c r="F79" i="42"/>
  <c r="D79" i="42"/>
  <c r="O58" i="42"/>
  <c r="C57" i="42"/>
  <c r="O57" i="42"/>
  <c r="H98" i="42" l="1"/>
  <c r="H99" i="42" s="1"/>
  <c r="H79" i="42"/>
  <c r="X57" i="42"/>
  <c r="V57" i="42"/>
  <c r="U57" i="42"/>
  <c r="U59" i="42" s="1"/>
  <c r="T57" i="42"/>
  <c r="T59" i="42" s="1"/>
  <c r="S57" i="42"/>
  <c r="S59" i="42" s="1"/>
  <c r="R57" i="42"/>
  <c r="Q57" i="42"/>
  <c r="Q59" i="42" s="1"/>
  <c r="P57" i="42"/>
  <c r="O59" i="42"/>
  <c r="N57" i="42"/>
  <c r="M57" i="42"/>
  <c r="L57" i="42"/>
  <c r="L59" i="42" s="1"/>
  <c r="K57" i="42"/>
  <c r="M41" i="42"/>
  <c r="O41" i="42" s="1"/>
  <c r="Q41" i="42" s="1"/>
  <c r="S41" i="42" s="1"/>
  <c r="U41" i="42" s="1"/>
  <c r="W41" i="42" s="1"/>
  <c r="G57" i="42"/>
  <c r="F57" i="42"/>
  <c r="E57" i="42"/>
  <c r="D57" i="42"/>
  <c r="D59" i="42" s="1"/>
  <c r="C59" i="42"/>
  <c r="B57" i="42"/>
  <c r="A57" i="42"/>
  <c r="I55" i="42"/>
  <c r="X37" i="42"/>
  <c r="X39" i="42" s="1"/>
  <c r="W37" i="42"/>
  <c r="W39" i="42" s="1"/>
  <c r="V37" i="42"/>
  <c r="V39" i="42" s="1"/>
  <c r="U37" i="42"/>
  <c r="U39" i="42" s="1"/>
  <c r="T37" i="42"/>
  <c r="T39" i="42" s="1"/>
  <c r="S37" i="42"/>
  <c r="S39" i="42" s="1"/>
  <c r="R37" i="42"/>
  <c r="R39" i="42" s="1"/>
  <c r="Q37" i="42"/>
  <c r="Q39" i="42" s="1"/>
  <c r="P37" i="42"/>
  <c r="P39" i="42" s="1"/>
  <c r="O37" i="42"/>
  <c r="O39" i="42" s="1"/>
  <c r="N37" i="42"/>
  <c r="N39" i="42" s="1"/>
  <c r="M37" i="42"/>
  <c r="M39" i="42" s="1"/>
  <c r="L37" i="42"/>
  <c r="L39" i="42" s="1"/>
  <c r="K37" i="42"/>
  <c r="K39" i="42" s="1"/>
  <c r="G37" i="42"/>
  <c r="G39" i="42" s="1"/>
  <c r="F37" i="42"/>
  <c r="F39" i="42" s="1"/>
  <c r="E37" i="42"/>
  <c r="E38" i="42" s="1"/>
  <c r="D37" i="42"/>
  <c r="D39" i="42" s="1"/>
  <c r="C37" i="42"/>
  <c r="C39" i="42" s="1"/>
  <c r="B37" i="42"/>
  <c r="B39" i="42" s="1"/>
  <c r="A37" i="42"/>
  <c r="I35" i="42"/>
  <c r="M21" i="42"/>
  <c r="O21" i="42" s="1"/>
  <c r="Q21" i="42" s="1"/>
  <c r="S21" i="42" s="1"/>
  <c r="U21" i="42" s="1"/>
  <c r="W21" i="42" s="1"/>
  <c r="D21" i="42"/>
  <c r="E21" i="42" s="1"/>
  <c r="F21" i="42" s="1"/>
  <c r="G21" i="42" s="1"/>
  <c r="X17" i="42"/>
  <c r="X19" i="42" s="1"/>
  <c r="W17" i="42"/>
  <c r="W19" i="42" s="1"/>
  <c r="V17" i="42"/>
  <c r="V19" i="42" s="1"/>
  <c r="U17" i="42"/>
  <c r="U19" i="42" s="1"/>
  <c r="T17" i="42"/>
  <c r="T19" i="42" s="1"/>
  <c r="S17" i="42"/>
  <c r="S19" i="42" s="1"/>
  <c r="R17" i="42"/>
  <c r="R19" i="42" s="1"/>
  <c r="Q17" i="42"/>
  <c r="Q19" i="42" s="1"/>
  <c r="P17" i="42"/>
  <c r="P19" i="42" s="1"/>
  <c r="O17" i="42"/>
  <c r="O19" i="42" s="1"/>
  <c r="N17" i="42"/>
  <c r="N19" i="42" s="1"/>
  <c r="M17" i="42"/>
  <c r="M19" i="42" s="1"/>
  <c r="L17" i="42"/>
  <c r="L19" i="42" s="1"/>
  <c r="K17" i="42"/>
  <c r="K19" i="42" s="1"/>
  <c r="G17" i="42"/>
  <c r="G19" i="42" s="1"/>
  <c r="F17" i="42"/>
  <c r="F19" i="42" s="1"/>
  <c r="E17" i="42"/>
  <c r="E19" i="42" s="1"/>
  <c r="D17" i="42"/>
  <c r="D19" i="42" s="1"/>
  <c r="C17" i="42"/>
  <c r="C19" i="42" s="1"/>
  <c r="B17" i="42"/>
  <c r="B19" i="42" s="1"/>
  <c r="A17" i="42"/>
  <c r="A19" i="42" s="1"/>
  <c r="I15" i="42"/>
  <c r="H18" i="42" s="1"/>
  <c r="M1" i="42"/>
  <c r="O1" i="42" s="1"/>
  <c r="Q1" i="42" s="1"/>
  <c r="S1" i="42" s="1"/>
  <c r="U1" i="42" s="1"/>
  <c r="W1" i="42" s="1"/>
  <c r="B1" i="42"/>
  <c r="C1" i="42" s="1"/>
  <c r="D1" i="42" s="1"/>
  <c r="E1" i="42" s="1"/>
  <c r="F1" i="42" s="1"/>
  <c r="G1" i="42" s="1"/>
  <c r="V79" i="41"/>
  <c r="U79" i="41"/>
  <c r="R79" i="41"/>
  <c r="L79" i="41"/>
  <c r="G79" i="41"/>
  <c r="D79" i="41"/>
  <c r="B79" i="41"/>
  <c r="X77" i="41"/>
  <c r="X79" i="41" s="1"/>
  <c r="W77" i="41"/>
  <c r="W79" i="41" s="1"/>
  <c r="V77" i="41"/>
  <c r="U77" i="41"/>
  <c r="T77" i="41"/>
  <c r="T79" i="41" s="1"/>
  <c r="S77" i="41"/>
  <c r="S79" i="41" s="1"/>
  <c r="R77" i="41"/>
  <c r="Q77" i="41"/>
  <c r="Q79" i="41" s="1"/>
  <c r="P77" i="41"/>
  <c r="P79" i="41" s="1"/>
  <c r="O77" i="41"/>
  <c r="O79" i="41" s="1"/>
  <c r="N77" i="41"/>
  <c r="N79" i="41" s="1"/>
  <c r="M77" i="41"/>
  <c r="M79" i="41" s="1"/>
  <c r="L77" i="41"/>
  <c r="K77" i="41"/>
  <c r="K79" i="41" s="1"/>
  <c r="G77" i="41"/>
  <c r="F77" i="41"/>
  <c r="F79" i="41" s="1"/>
  <c r="E77" i="41"/>
  <c r="E79" i="41" s="1"/>
  <c r="D77" i="41"/>
  <c r="C77" i="41"/>
  <c r="C79" i="41" s="1"/>
  <c r="B77" i="41"/>
  <c r="A77" i="41"/>
  <c r="A79" i="41" s="1"/>
  <c r="I75" i="41"/>
  <c r="H77" i="41" s="1"/>
  <c r="M61" i="41"/>
  <c r="O61" i="41" s="1"/>
  <c r="Q61" i="41" s="1"/>
  <c r="S61" i="41" s="1"/>
  <c r="U61" i="41" s="1"/>
  <c r="W61" i="41" s="1"/>
  <c r="B61" i="41"/>
  <c r="C61" i="41" s="1"/>
  <c r="D61" i="41" s="1"/>
  <c r="E61" i="41" s="1"/>
  <c r="F61" i="41" s="1"/>
  <c r="G61" i="41" s="1"/>
  <c r="W59" i="41"/>
  <c r="V59" i="41"/>
  <c r="T59" i="41"/>
  <c r="S59" i="41"/>
  <c r="P59" i="41"/>
  <c r="N59" i="41"/>
  <c r="K59" i="41"/>
  <c r="F59" i="41"/>
  <c r="E59" i="41"/>
  <c r="B59" i="41"/>
  <c r="H58" i="41"/>
  <c r="X57" i="41"/>
  <c r="X59" i="41" s="1"/>
  <c r="W57" i="41"/>
  <c r="V57" i="41"/>
  <c r="U57" i="41"/>
  <c r="U59" i="41" s="1"/>
  <c r="T57" i="41"/>
  <c r="S57" i="41"/>
  <c r="R57" i="41"/>
  <c r="R59" i="41" s="1"/>
  <c r="Q57" i="41"/>
  <c r="Q59" i="41" s="1"/>
  <c r="P57" i="41"/>
  <c r="O57" i="41"/>
  <c r="O59" i="41" s="1"/>
  <c r="N57" i="41"/>
  <c r="M57" i="41"/>
  <c r="M59" i="41" s="1"/>
  <c r="L57" i="41"/>
  <c r="L59" i="41" s="1"/>
  <c r="K57" i="41"/>
  <c r="G57" i="41"/>
  <c r="G59" i="41" s="1"/>
  <c r="F57" i="41"/>
  <c r="E57" i="41"/>
  <c r="D57" i="41"/>
  <c r="D59" i="41" s="1"/>
  <c r="C57" i="41"/>
  <c r="C59" i="41" s="1"/>
  <c r="B57" i="41"/>
  <c r="A57" i="41"/>
  <c r="A59" i="41" s="1"/>
  <c r="I55" i="41"/>
  <c r="Q41" i="41"/>
  <c r="S41" i="41" s="1"/>
  <c r="U41" i="41" s="1"/>
  <c r="W41" i="41" s="1"/>
  <c r="O41" i="41"/>
  <c r="M41" i="41"/>
  <c r="G41" i="41"/>
  <c r="B41" i="41"/>
  <c r="C41" i="41" s="1"/>
  <c r="D41" i="41" s="1"/>
  <c r="E41" i="41" s="1"/>
  <c r="E38" i="41"/>
  <c r="X37" i="41"/>
  <c r="X39" i="41" s="1"/>
  <c r="W37" i="41"/>
  <c r="W39" i="41" s="1"/>
  <c r="V37" i="41"/>
  <c r="V39" i="41" s="1"/>
  <c r="U37" i="41"/>
  <c r="U39" i="41" s="1"/>
  <c r="T37" i="41"/>
  <c r="T39" i="41" s="1"/>
  <c r="S37" i="41"/>
  <c r="S39" i="41" s="1"/>
  <c r="R37" i="41"/>
  <c r="R39" i="41" s="1"/>
  <c r="Q37" i="41"/>
  <c r="Q39" i="41" s="1"/>
  <c r="P37" i="41"/>
  <c r="P39" i="41" s="1"/>
  <c r="O37" i="41"/>
  <c r="O39" i="41" s="1"/>
  <c r="N37" i="41"/>
  <c r="N39" i="41" s="1"/>
  <c r="M37" i="41"/>
  <c r="M39" i="41" s="1"/>
  <c r="L37" i="41"/>
  <c r="L39" i="41" s="1"/>
  <c r="K37" i="41"/>
  <c r="K39" i="41" s="1"/>
  <c r="G37" i="41"/>
  <c r="G39" i="41" s="1"/>
  <c r="F37" i="41"/>
  <c r="F39" i="41" s="1"/>
  <c r="E37" i="41"/>
  <c r="E39" i="41" s="1"/>
  <c r="D37" i="41"/>
  <c r="D39" i="41" s="1"/>
  <c r="C37" i="41"/>
  <c r="C39" i="41" s="1"/>
  <c r="B37" i="41"/>
  <c r="B39" i="41" s="1"/>
  <c r="A37" i="41"/>
  <c r="A39" i="41" s="1"/>
  <c r="I35" i="41"/>
  <c r="M21" i="41"/>
  <c r="O21" i="41" s="1"/>
  <c r="Q21" i="41" s="1"/>
  <c r="S21" i="41" s="1"/>
  <c r="U21" i="41" s="1"/>
  <c r="W21" i="41" s="1"/>
  <c r="G21" i="41"/>
  <c r="C21" i="41"/>
  <c r="D21" i="41" s="1"/>
  <c r="E21" i="41" s="1"/>
  <c r="B21" i="41"/>
  <c r="T19" i="41"/>
  <c r="N19" i="41"/>
  <c r="X17" i="41"/>
  <c r="X19" i="41" s="1"/>
  <c r="W17" i="41"/>
  <c r="W19" i="41" s="1"/>
  <c r="V17" i="41"/>
  <c r="V19" i="41" s="1"/>
  <c r="U17" i="41"/>
  <c r="U19" i="41" s="1"/>
  <c r="T17" i="41"/>
  <c r="S17" i="41"/>
  <c r="S19" i="41" s="1"/>
  <c r="R17" i="41"/>
  <c r="R19" i="41" s="1"/>
  <c r="Q17" i="41"/>
  <c r="Q19" i="41" s="1"/>
  <c r="P17" i="41"/>
  <c r="P19" i="41" s="1"/>
  <c r="O17" i="41"/>
  <c r="O19" i="41" s="1"/>
  <c r="N17" i="41"/>
  <c r="M17" i="41"/>
  <c r="M19" i="41" s="1"/>
  <c r="L17" i="41"/>
  <c r="L19" i="41" s="1"/>
  <c r="K17" i="41"/>
  <c r="K19" i="41" s="1"/>
  <c r="G17" i="41"/>
  <c r="G19" i="41" s="1"/>
  <c r="F17" i="41"/>
  <c r="F19" i="41" s="1"/>
  <c r="E17" i="41"/>
  <c r="E18" i="41" s="1"/>
  <c r="D17" i="41"/>
  <c r="D19" i="41" s="1"/>
  <c r="C17" i="41"/>
  <c r="C19" i="41" s="1"/>
  <c r="B17" i="41"/>
  <c r="B19" i="41" s="1"/>
  <c r="A17" i="41"/>
  <c r="A19" i="41" s="1"/>
  <c r="I15" i="41"/>
  <c r="H17" i="41" s="1"/>
  <c r="M1" i="41"/>
  <c r="O1" i="41" s="1"/>
  <c r="Q1" i="41" s="1"/>
  <c r="S1" i="41" s="1"/>
  <c r="U1" i="41" s="1"/>
  <c r="W1" i="41" s="1"/>
  <c r="B1" i="41"/>
  <c r="C1" i="41" s="1"/>
  <c r="D1" i="41" s="1"/>
  <c r="E1" i="41" s="1"/>
  <c r="F1" i="41" s="1"/>
  <c r="G1" i="41" s="1"/>
  <c r="E39" i="42" l="1"/>
  <c r="E58" i="42"/>
  <c r="E59" i="42" s="1"/>
  <c r="M59" i="42"/>
  <c r="H57" i="42"/>
  <c r="P59" i="42"/>
  <c r="X59" i="42"/>
  <c r="N59" i="42"/>
  <c r="R59" i="42"/>
  <c r="V59" i="42"/>
  <c r="K59" i="42"/>
  <c r="B59" i="42"/>
  <c r="F59" i="42"/>
  <c r="G59" i="42"/>
  <c r="A59" i="42"/>
  <c r="H37" i="42"/>
  <c r="H38" i="42" s="1"/>
  <c r="H39" i="42" s="1"/>
  <c r="H17" i="42"/>
  <c r="H19" i="42" s="1"/>
  <c r="A39" i="42"/>
  <c r="H79" i="41"/>
  <c r="H18" i="41"/>
  <c r="H19" i="41"/>
  <c r="H57" i="41"/>
  <c r="H59" i="41" s="1"/>
  <c r="E19" i="41"/>
  <c r="H78" i="41"/>
  <c r="H37" i="41"/>
  <c r="H58" i="42" l="1"/>
  <c r="H59" i="42" s="1"/>
  <c r="H38" i="41"/>
  <c r="H39" i="41" s="1"/>
  <c r="X77" i="40" l="1"/>
  <c r="X79" i="40" s="1"/>
  <c r="W77" i="40"/>
  <c r="V77" i="40"/>
  <c r="V79" i="40" s="1"/>
  <c r="U77" i="40"/>
  <c r="T77" i="40"/>
  <c r="T79" i="40" s="1"/>
  <c r="S77" i="40"/>
  <c r="R77" i="40"/>
  <c r="R79" i="40" s="1"/>
  <c r="Q77" i="40"/>
  <c r="P77" i="40"/>
  <c r="O77" i="40"/>
  <c r="N77" i="40"/>
  <c r="N79" i="40" s="1"/>
  <c r="M77" i="40"/>
  <c r="L77" i="40"/>
  <c r="L79" i="40" s="1"/>
  <c r="K77" i="40"/>
  <c r="K79" i="40" s="1"/>
  <c r="M61" i="40"/>
  <c r="O61" i="40" s="1"/>
  <c r="Q61" i="40" s="1"/>
  <c r="S61" i="40" s="1"/>
  <c r="U61" i="40" s="1"/>
  <c r="W61" i="40" s="1"/>
  <c r="G77" i="40"/>
  <c r="F77" i="40"/>
  <c r="E77" i="40"/>
  <c r="D77" i="40"/>
  <c r="D79" i="40" s="1"/>
  <c r="C77" i="40"/>
  <c r="B77" i="40"/>
  <c r="A77" i="40"/>
  <c r="I75" i="40"/>
  <c r="B61" i="40"/>
  <c r="C61" i="40" s="1"/>
  <c r="D61" i="40" s="1"/>
  <c r="E61" i="40" s="1"/>
  <c r="F61" i="40" s="1"/>
  <c r="G61" i="40" s="1"/>
  <c r="X57" i="40"/>
  <c r="X59" i="40" s="1"/>
  <c r="W57" i="40"/>
  <c r="W59" i="40" s="1"/>
  <c r="V57" i="40"/>
  <c r="V59" i="40" s="1"/>
  <c r="U57" i="40"/>
  <c r="U59" i="40" s="1"/>
  <c r="T57" i="40"/>
  <c r="T59" i="40" s="1"/>
  <c r="S57" i="40"/>
  <c r="S59" i="40" s="1"/>
  <c r="R57" i="40"/>
  <c r="R59" i="40" s="1"/>
  <c r="Q57" i="40"/>
  <c r="Q59" i="40" s="1"/>
  <c r="P57" i="40"/>
  <c r="P59" i="40" s="1"/>
  <c r="O57" i="40"/>
  <c r="O59" i="40" s="1"/>
  <c r="N57" i="40"/>
  <c r="N59" i="40" s="1"/>
  <c r="M57" i="40"/>
  <c r="M59" i="40" s="1"/>
  <c r="L57" i="40"/>
  <c r="L59" i="40" s="1"/>
  <c r="K57" i="40"/>
  <c r="K59" i="40" s="1"/>
  <c r="G57" i="40"/>
  <c r="G59" i="40" s="1"/>
  <c r="F57" i="40"/>
  <c r="F59" i="40" s="1"/>
  <c r="E57" i="40"/>
  <c r="D57" i="40"/>
  <c r="D59" i="40" s="1"/>
  <c r="C57" i="40"/>
  <c r="C59" i="40" s="1"/>
  <c r="B57" i="40"/>
  <c r="B59" i="40" s="1"/>
  <c r="A57" i="40"/>
  <c r="A59" i="40" s="1"/>
  <c r="I55" i="40"/>
  <c r="M41" i="40"/>
  <c r="O41" i="40" s="1"/>
  <c r="Q41" i="40" s="1"/>
  <c r="S41" i="40" s="1"/>
  <c r="U41" i="40" s="1"/>
  <c r="W41" i="40" s="1"/>
  <c r="B41" i="40"/>
  <c r="C41" i="40" s="1"/>
  <c r="D41" i="40" s="1"/>
  <c r="E41" i="40" s="1"/>
  <c r="F41" i="40" s="1"/>
  <c r="G41" i="40" s="1"/>
  <c r="AA37" i="40"/>
  <c r="AA39" i="40" s="1"/>
  <c r="Z37" i="40"/>
  <c r="Z39" i="40" s="1"/>
  <c r="Y37" i="40"/>
  <c r="Y39" i="40" s="1"/>
  <c r="X37" i="40"/>
  <c r="X39" i="40" s="1"/>
  <c r="W37" i="40"/>
  <c r="W39" i="40" s="1"/>
  <c r="V37" i="40"/>
  <c r="V39" i="40" s="1"/>
  <c r="U37" i="40"/>
  <c r="U39" i="40" s="1"/>
  <c r="T37" i="40"/>
  <c r="T39" i="40" s="1"/>
  <c r="S37" i="40"/>
  <c r="S39" i="40" s="1"/>
  <c r="R37" i="40"/>
  <c r="R39" i="40" s="1"/>
  <c r="Q37" i="40"/>
  <c r="Q39" i="40" s="1"/>
  <c r="P37" i="40"/>
  <c r="P39" i="40" s="1"/>
  <c r="O37" i="40"/>
  <c r="O39" i="40" s="1"/>
  <c r="N37" i="40"/>
  <c r="N39" i="40" s="1"/>
  <c r="M37" i="40"/>
  <c r="M39" i="40" s="1"/>
  <c r="L37" i="40"/>
  <c r="L39" i="40" s="1"/>
  <c r="H37" i="40"/>
  <c r="H39" i="40" s="1"/>
  <c r="G37" i="40"/>
  <c r="G39" i="40" s="1"/>
  <c r="F37" i="40"/>
  <c r="F39" i="40" s="1"/>
  <c r="E37" i="40"/>
  <c r="E39" i="40" s="1"/>
  <c r="D37" i="40"/>
  <c r="D39" i="40" s="1"/>
  <c r="C37" i="40"/>
  <c r="C39" i="40" s="1"/>
  <c r="B37" i="40"/>
  <c r="B39" i="40" s="1"/>
  <c r="A37" i="40"/>
  <c r="A39" i="40" s="1"/>
  <c r="J35" i="40"/>
  <c r="N21" i="40"/>
  <c r="P21" i="40" s="1"/>
  <c r="R21" i="40" s="1"/>
  <c r="T21" i="40" s="1"/>
  <c r="V21" i="40" s="1"/>
  <c r="X21" i="40" s="1"/>
  <c r="Z21" i="40" s="1"/>
  <c r="B21" i="40"/>
  <c r="C21" i="40" s="1"/>
  <c r="D21" i="40" s="1"/>
  <c r="E21" i="40" s="1"/>
  <c r="F21" i="40" s="1"/>
  <c r="G21" i="40" s="1"/>
  <c r="H21" i="40" s="1"/>
  <c r="AA17" i="40"/>
  <c r="AA19" i="40" s="1"/>
  <c r="Z17" i="40"/>
  <c r="Z19" i="40" s="1"/>
  <c r="Y17" i="40"/>
  <c r="Y19" i="40" s="1"/>
  <c r="X17" i="40"/>
  <c r="X19" i="40" s="1"/>
  <c r="W17" i="40"/>
  <c r="W19" i="40" s="1"/>
  <c r="V17" i="40"/>
  <c r="V19" i="40" s="1"/>
  <c r="U17" i="40"/>
  <c r="U19" i="40" s="1"/>
  <c r="T17" i="40"/>
  <c r="T19" i="40" s="1"/>
  <c r="S17" i="40"/>
  <c r="S19" i="40" s="1"/>
  <c r="R17" i="40"/>
  <c r="R19" i="40" s="1"/>
  <c r="Q17" i="40"/>
  <c r="Q19" i="40" s="1"/>
  <c r="P17" i="40"/>
  <c r="P19" i="40" s="1"/>
  <c r="O17" i="40"/>
  <c r="O19" i="40" s="1"/>
  <c r="N17" i="40"/>
  <c r="N19" i="40" s="1"/>
  <c r="M17" i="40"/>
  <c r="M19" i="40" s="1"/>
  <c r="L17" i="40"/>
  <c r="L19" i="40" s="1"/>
  <c r="H17" i="40"/>
  <c r="H19" i="40" s="1"/>
  <c r="G17" i="40"/>
  <c r="G18" i="40" s="1"/>
  <c r="G19" i="40" s="1"/>
  <c r="F17" i="40"/>
  <c r="F19" i="40" s="1"/>
  <c r="E17" i="40"/>
  <c r="E19" i="40" s="1"/>
  <c r="D17" i="40"/>
  <c r="D19" i="40" s="1"/>
  <c r="C17" i="40"/>
  <c r="C19" i="40" s="1"/>
  <c r="B17" i="40"/>
  <c r="B19" i="40" s="1"/>
  <c r="A17" i="40"/>
  <c r="A19" i="40" s="1"/>
  <c r="J15" i="40"/>
  <c r="N1" i="40"/>
  <c r="P1" i="40" s="1"/>
  <c r="R1" i="40" s="1"/>
  <c r="T1" i="40" s="1"/>
  <c r="V1" i="40" s="1"/>
  <c r="X1" i="40" s="1"/>
  <c r="Z1" i="40" s="1"/>
  <c r="B1" i="40"/>
  <c r="C1" i="40" s="1"/>
  <c r="D1" i="40" s="1"/>
  <c r="E1" i="40" s="1"/>
  <c r="F1" i="40" s="1"/>
  <c r="G1" i="40" s="1"/>
  <c r="H1" i="40" s="1"/>
  <c r="H57" i="40" l="1"/>
  <c r="I37" i="40"/>
  <c r="I17" i="40"/>
  <c r="E58" i="40"/>
  <c r="H58" i="40" s="1"/>
  <c r="H59" i="40" s="1"/>
  <c r="P79" i="40"/>
  <c r="M79" i="40"/>
  <c r="Q79" i="40"/>
  <c r="U79" i="40"/>
  <c r="O79" i="40"/>
  <c r="S79" i="40"/>
  <c r="W79" i="40"/>
  <c r="B79" i="40"/>
  <c r="F79" i="40"/>
  <c r="C79" i="40"/>
  <c r="G79" i="40"/>
  <c r="A79" i="40"/>
  <c r="H77" i="40"/>
  <c r="E79" i="40"/>
  <c r="I18" i="40"/>
  <c r="I19" i="40"/>
  <c r="I38" i="40"/>
  <c r="I39" i="40" l="1"/>
  <c r="E59" i="40"/>
  <c r="H78" i="40"/>
  <c r="H79" i="40" s="1"/>
  <c r="I436" i="35"/>
  <c r="A438" i="35"/>
  <c r="U440" i="35"/>
  <c r="X438" i="35"/>
  <c r="X440" i="35" s="1"/>
  <c r="W438" i="35"/>
  <c r="W440" i="35" s="1"/>
  <c r="V438" i="35"/>
  <c r="V440" i="35" s="1"/>
  <c r="T438" i="35"/>
  <c r="T440" i="35" s="1"/>
  <c r="S438" i="35"/>
  <c r="R438" i="35"/>
  <c r="Q438" i="35"/>
  <c r="Q440" i="35" s="1"/>
  <c r="P438" i="35"/>
  <c r="O438" i="35"/>
  <c r="N438" i="35"/>
  <c r="M438" i="35"/>
  <c r="L438" i="35"/>
  <c r="K438" i="35"/>
  <c r="M422" i="35"/>
  <c r="O422" i="35" s="1"/>
  <c r="Q422" i="35" s="1"/>
  <c r="S422" i="35" s="1"/>
  <c r="U422" i="35" s="1"/>
  <c r="W422" i="35" s="1"/>
  <c r="G438" i="35"/>
  <c r="G440" i="35" s="1"/>
  <c r="F438" i="35"/>
  <c r="E438" i="35"/>
  <c r="E440" i="35" s="1"/>
  <c r="D438" i="35"/>
  <c r="C438" i="35"/>
  <c r="C440" i="35" s="1"/>
  <c r="B438" i="35"/>
  <c r="B440" i="35" s="1"/>
  <c r="B422" i="35"/>
  <c r="C422" i="35" s="1"/>
  <c r="D422" i="35" s="1"/>
  <c r="E422" i="35" s="1"/>
  <c r="F422" i="35" s="1"/>
  <c r="G422" i="35" s="1"/>
  <c r="X418" i="35"/>
  <c r="X419" i="35" s="1"/>
  <c r="W418" i="35"/>
  <c r="W419" i="35" s="1"/>
  <c r="V418" i="35"/>
  <c r="V419" i="35" s="1"/>
  <c r="U418" i="35"/>
  <c r="T418" i="35"/>
  <c r="T419" i="35" s="1"/>
  <c r="S418" i="35"/>
  <c r="R418" i="35"/>
  <c r="Q418" i="35"/>
  <c r="P418" i="35"/>
  <c r="O418" i="35"/>
  <c r="N418" i="35"/>
  <c r="M418" i="35"/>
  <c r="L418" i="35"/>
  <c r="K418" i="35"/>
  <c r="M402" i="35"/>
  <c r="O402" i="35" s="1"/>
  <c r="Q402" i="35" s="1"/>
  <c r="S402" i="35" s="1"/>
  <c r="U402" i="35" s="1"/>
  <c r="W402" i="35" s="1"/>
  <c r="G418" i="35"/>
  <c r="G419" i="35" s="1"/>
  <c r="F418" i="35"/>
  <c r="F419" i="35" s="1"/>
  <c r="E418" i="35"/>
  <c r="D418" i="35"/>
  <c r="C418" i="35"/>
  <c r="B418" i="35"/>
  <c r="A418" i="35"/>
  <c r="A420" i="35" s="1"/>
  <c r="I416" i="35"/>
  <c r="B402" i="35"/>
  <c r="C402" i="35" s="1"/>
  <c r="D402" i="35" s="1"/>
  <c r="E402" i="35" s="1"/>
  <c r="B382" i="35"/>
  <c r="C382" i="35" s="1"/>
  <c r="D382" i="35" s="1"/>
  <c r="E382" i="35" s="1"/>
  <c r="F382" i="35" s="1"/>
  <c r="G382" i="35" s="1"/>
  <c r="A398" i="35"/>
  <c r="A400" i="35" s="1"/>
  <c r="B398" i="35"/>
  <c r="C398" i="35"/>
  <c r="C400" i="35" s="1"/>
  <c r="D398" i="35"/>
  <c r="D400" i="35" s="1"/>
  <c r="E398" i="35"/>
  <c r="E400" i="35" s="1"/>
  <c r="F398" i="35"/>
  <c r="G398" i="35"/>
  <c r="G400" i="35" s="1"/>
  <c r="I396" i="35"/>
  <c r="B362" i="35"/>
  <c r="C362" i="35" s="1"/>
  <c r="D362" i="35" s="1"/>
  <c r="L398" i="35"/>
  <c r="L400" i="35" s="1"/>
  <c r="M398" i="35"/>
  <c r="M400" i="35" s="1"/>
  <c r="N398" i="35"/>
  <c r="N400" i="35" s="1"/>
  <c r="O398" i="35"/>
  <c r="O400" i="35" s="1"/>
  <c r="P398" i="35"/>
  <c r="P400" i="35" s="1"/>
  <c r="Q398" i="35"/>
  <c r="Q400" i="35" s="1"/>
  <c r="R398" i="35"/>
  <c r="R400" i="35" s="1"/>
  <c r="S398" i="35"/>
  <c r="S400" i="35" s="1"/>
  <c r="T398" i="35"/>
  <c r="T400" i="35" s="1"/>
  <c r="U398" i="35"/>
  <c r="U400" i="35" s="1"/>
  <c r="V398" i="35"/>
  <c r="V400" i="35" s="1"/>
  <c r="W398" i="35"/>
  <c r="W400" i="35" s="1"/>
  <c r="X398" i="35"/>
  <c r="X400" i="35" s="1"/>
  <c r="K398" i="35"/>
  <c r="M382" i="35"/>
  <c r="O382" i="35" s="1"/>
  <c r="Q382" i="35" s="1"/>
  <c r="S382" i="35" s="1"/>
  <c r="U382" i="35" s="1"/>
  <c r="W382" i="35" s="1"/>
  <c r="C378" i="35"/>
  <c r="C380" i="35" s="1"/>
  <c r="A378" i="35"/>
  <c r="B378" i="35"/>
  <c r="B380" i="35" s="1"/>
  <c r="D378" i="35"/>
  <c r="E378" i="35"/>
  <c r="E380" i="35" s="1"/>
  <c r="F378" i="35"/>
  <c r="G378" i="35"/>
  <c r="G380" i="35" s="1"/>
  <c r="X378" i="35"/>
  <c r="X380" i="35" s="1"/>
  <c r="W378" i="35"/>
  <c r="V378" i="35"/>
  <c r="U378" i="35"/>
  <c r="U380" i="35" s="1"/>
  <c r="T378" i="35"/>
  <c r="T380" i="35" s="1"/>
  <c r="S378" i="35"/>
  <c r="S380" i="35" s="1"/>
  <c r="R378" i="35"/>
  <c r="Q378" i="35"/>
  <c r="P378" i="35"/>
  <c r="P380" i="35" s="1"/>
  <c r="O378" i="35"/>
  <c r="N378" i="35"/>
  <c r="M378" i="35"/>
  <c r="M380" i="35" s="1"/>
  <c r="L378" i="35"/>
  <c r="L380" i="35" s="1"/>
  <c r="K378" i="35"/>
  <c r="K380" i="35" s="1"/>
  <c r="M362" i="35"/>
  <c r="O362" i="35" s="1"/>
  <c r="Q362" i="35" s="1"/>
  <c r="S362" i="35" s="1"/>
  <c r="U362" i="35" s="1"/>
  <c r="W362" i="35" s="1"/>
  <c r="I376" i="35"/>
  <c r="C345" i="35"/>
  <c r="I356" i="35"/>
  <c r="H398" i="35" l="1"/>
  <c r="H399" i="35" s="1"/>
  <c r="H400" i="35" s="1"/>
  <c r="E362" i="35"/>
  <c r="F362" i="35" s="1"/>
  <c r="G362" i="35" s="1"/>
  <c r="U419" i="35"/>
  <c r="U420" i="35" s="1"/>
  <c r="M440" i="35"/>
  <c r="P440" i="35"/>
  <c r="L440" i="35"/>
  <c r="O440" i="35"/>
  <c r="S440" i="35"/>
  <c r="K440" i="35"/>
  <c r="A440" i="35"/>
  <c r="N440" i="35"/>
  <c r="R440" i="35"/>
  <c r="D440" i="35"/>
  <c r="H438" i="35"/>
  <c r="H439" i="35" s="1"/>
  <c r="H440" i="35" s="1"/>
  <c r="F440" i="35"/>
  <c r="X420" i="35"/>
  <c r="W420" i="35"/>
  <c r="V420" i="35"/>
  <c r="T420" i="35"/>
  <c r="S420" i="35"/>
  <c r="R420" i="35"/>
  <c r="Q420" i="35"/>
  <c r="P420" i="35"/>
  <c r="O420" i="35"/>
  <c r="N420" i="35"/>
  <c r="M420" i="35"/>
  <c r="L420" i="35"/>
  <c r="K420" i="35"/>
  <c r="G420" i="35"/>
  <c r="F420" i="35"/>
  <c r="E420" i="35"/>
  <c r="D420" i="35"/>
  <c r="C420" i="35"/>
  <c r="B420" i="35"/>
  <c r="H418" i="35"/>
  <c r="K400" i="35"/>
  <c r="B400" i="35"/>
  <c r="F400" i="35"/>
  <c r="F380" i="35"/>
  <c r="Q380" i="35"/>
  <c r="H378" i="35"/>
  <c r="H379" i="35" s="1"/>
  <c r="N380" i="35"/>
  <c r="R380" i="35"/>
  <c r="V380" i="35"/>
  <c r="O380" i="35"/>
  <c r="W380" i="35"/>
  <c r="D380" i="35"/>
  <c r="A380" i="35"/>
  <c r="A358" i="35"/>
  <c r="B358" i="35"/>
  <c r="C358" i="35"/>
  <c r="D358" i="35"/>
  <c r="D360" i="35" s="1"/>
  <c r="E358" i="35"/>
  <c r="F358" i="35"/>
  <c r="F360" i="35" s="1"/>
  <c r="G358" i="35"/>
  <c r="X358" i="35"/>
  <c r="X360" i="35" s="1"/>
  <c r="W358" i="35"/>
  <c r="W360" i="35" s="1"/>
  <c r="V358" i="35"/>
  <c r="U358" i="35"/>
  <c r="T358" i="35"/>
  <c r="S358" i="35"/>
  <c r="S360" i="35" s="1"/>
  <c r="R358" i="35"/>
  <c r="Q358" i="35"/>
  <c r="P358" i="35"/>
  <c r="O358" i="35"/>
  <c r="N358" i="35"/>
  <c r="M358" i="35"/>
  <c r="L358" i="35"/>
  <c r="K358" i="35"/>
  <c r="K360" i="35" s="1"/>
  <c r="M342" i="35"/>
  <c r="O342" i="35" s="1"/>
  <c r="Q342" i="35" s="1"/>
  <c r="S342" i="35" s="1"/>
  <c r="U342" i="35" s="1"/>
  <c r="W342" i="35" s="1"/>
  <c r="B342" i="35"/>
  <c r="C342" i="35" s="1"/>
  <c r="D342" i="35" s="1"/>
  <c r="E342" i="35" s="1"/>
  <c r="F342" i="35" s="1"/>
  <c r="G342" i="35" s="1"/>
  <c r="H358" i="35" l="1"/>
  <c r="H419" i="35"/>
  <c r="H420" i="35" s="1"/>
  <c r="H380" i="35"/>
  <c r="V360" i="35"/>
  <c r="U360" i="35"/>
  <c r="C360" i="35"/>
  <c r="O360" i="35"/>
  <c r="G360" i="35"/>
  <c r="R360" i="35"/>
  <c r="E360" i="35"/>
  <c r="M360" i="35"/>
  <c r="Q360" i="35"/>
  <c r="N360" i="35"/>
  <c r="L360" i="35"/>
  <c r="P360" i="35"/>
  <c r="T360" i="35"/>
  <c r="B360" i="35"/>
  <c r="A360" i="35"/>
  <c r="L338" i="35"/>
  <c r="L340" i="35" s="1"/>
  <c r="M338" i="35"/>
  <c r="M340" i="35" s="1"/>
  <c r="N338" i="35"/>
  <c r="N340" i="35" s="1"/>
  <c r="O338" i="35"/>
  <c r="O340" i="35" s="1"/>
  <c r="P338" i="35"/>
  <c r="P340" i="35" s="1"/>
  <c r="Q338" i="35"/>
  <c r="R338" i="35"/>
  <c r="R340" i="35" s="1"/>
  <c r="S338" i="35"/>
  <c r="S340" i="35" s="1"/>
  <c r="T338" i="35"/>
  <c r="T340" i="35" s="1"/>
  <c r="U338" i="35"/>
  <c r="U340" i="35" s="1"/>
  <c r="V338" i="35"/>
  <c r="V340" i="35" s="1"/>
  <c r="W338" i="35"/>
  <c r="W340" i="35" s="1"/>
  <c r="X338" i="35"/>
  <c r="X340" i="35" s="1"/>
  <c r="B338" i="35"/>
  <c r="C338" i="35"/>
  <c r="D338" i="35"/>
  <c r="D340" i="35" s="1"/>
  <c r="E338" i="35"/>
  <c r="E340" i="35" s="1"/>
  <c r="F338" i="35"/>
  <c r="G338" i="35"/>
  <c r="K338" i="35"/>
  <c r="M322" i="35"/>
  <c r="O322" i="35" s="1"/>
  <c r="Q322" i="35" s="1"/>
  <c r="S322" i="35" s="1"/>
  <c r="U322" i="35" s="1"/>
  <c r="W322" i="35" s="1"/>
  <c r="A338" i="35"/>
  <c r="A340" i="35" s="1"/>
  <c r="I333" i="35"/>
  <c r="B322" i="35"/>
  <c r="C322" i="35" s="1"/>
  <c r="D322" i="35" s="1"/>
  <c r="E322" i="35" s="1"/>
  <c r="F322" i="35" s="1"/>
  <c r="G322" i="35" s="1"/>
  <c r="I313" i="35"/>
  <c r="H359" i="35" l="1"/>
  <c r="H360" i="35" s="1"/>
  <c r="Q340" i="35"/>
  <c r="K340" i="35"/>
  <c r="G340" i="35"/>
  <c r="B340" i="35"/>
  <c r="F340" i="35"/>
  <c r="C340" i="35"/>
  <c r="H338" i="35"/>
  <c r="B302" i="35"/>
  <c r="C302" i="35" s="1"/>
  <c r="D302" i="35" s="1"/>
  <c r="E302" i="35" s="1"/>
  <c r="F302" i="35" s="1"/>
  <c r="G302" i="35" s="1"/>
  <c r="A318" i="35"/>
  <c r="A320" i="35" s="1"/>
  <c r="B318" i="35"/>
  <c r="B320" i="35" s="1"/>
  <c r="C318" i="35"/>
  <c r="D318" i="35"/>
  <c r="D320" i="35" s="1"/>
  <c r="E318" i="35"/>
  <c r="E320" i="35" s="1"/>
  <c r="F318" i="35"/>
  <c r="F320" i="35" s="1"/>
  <c r="G318" i="35"/>
  <c r="H339" i="35" l="1"/>
  <c r="H340" i="35" s="1"/>
  <c r="H319" i="35"/>
  <c r="H318" i="35"/>
  <c r="G320" i="35"/>
  <c r="C320" i="35"/>
  <c r="H320" i="35" l="1"/>
  <c r="L318" i="35"/>
  <c r="L320" i="35" s="1"/>
  <c r="M318" i="35"/>
  <c r="M320" i="35" s="1"/>
  <c r="N318" i="35"/>
  <c r="N320" i="35" s="1"/>
  <c r="O318" i="35"/>
  <c r="O320" i="35" s="1"/>
  <c r="P318" i="35"/>
  <c r="P320" i="35" s="1"/>
  <c r="Q318" i="35"/>
  <c r="Q320" i="35" s="1"/>
  <c r="R318" i="35"/>
  <c r="R320" i="35" s="1"/>
  <c r="S318" i="35"/>
  <c r="S320" i="35" s="1"/>
  <c r="T318" i="35"/>
  <c r="U318" i="35"/>
  <c r="U320" i="35" s="1"/>
  <c r="V318" i="35"/>
  <c r="V320" i="35" s="1"/>
  <c r="W318" i="35"/>
  <c r="W320" i="35" s="1"/>
  <c r="T320" i="35"/>
  <c r="X318" i="35"/>
  <c r="K318" i="35"/>
  <c r="M302" i="35"/>
  <c r="O302" i="35" s="1"/>
  <c r="Q302" i="35" s="1"/>
  <c r="S302" i="35" s="1"/>
  <c r="U302" i="35" s="1"/>
  <c r="W302" i="35" s="1"/>
  <c r="X298" i="35"/>
  <c r="W298" i="35"/>
  <c r="W300" i="35" s="1"/>
  <c r="V298" i="35"/>
  <c r="U298" i="35"/>
  <c r="T298" i="35"/>
  <c r="T299" i="35" s="1"/>
  <c r="T300" i="35" s="1"/>
  <c r="S298" i="35"/>
  <c r="R298" i="35"/>
  <c r="Q298" i="35"/>
  <c r="P298" i="35"/>
  <c r="P300" i="35" s="1"/>
  <c r="O298" i="35"/>
  <c r="N298" i="35"/>
  <c r="M298" i="35"/>
  <c r="L298" i="35"/>
  <c r="L300" i="35" s="1"/>
  <c r="K298" i="35"/>
  <c r="K300" i="35" s="1"/>
  <c r="M282" i="35"/>
  <c r="O282" i="35" s="1"/>
  <c r="Q282" i="35" s="1"/>
  <c r="S282" i="35" s="1"/>
  <c r="U282" i="35" s="1"/>
  <c r="W282" i="35" s="1"/>
  <c r="G298" i="35"/>
  <c r="F298" i="35"/>
  <c r="E298" i="35"/>
  <c r="D298" i="35"/>
  <c r="C298" i="35"/>
  <c r="B298" i="35"/>
  <c r="A298" i="35"/>
  <c r="A300" i="35" s="1"/>
  <c r="I293" i="35"/>
  <c r="B282" i="35"/>
  <c r="C282" i="35" s="1"/>
  <c r="D282" i="35" s="1"/>
  <c r="E282" i="35" s="1"/>
  <c r="F282" i="35" s="1"/>
  <c r="G282" i="35" s="1"/>
  <c r="X278" i="35"/>
  <c r="X280" i="35" s="1"/>
  <c r="W278" i="35"/>
  <c r="W280" i="35" s="1"/>
  <c r="V278" i="35"/>
  <c r="V280" i="35" s="1"/>
  <c r="U278" i="35"/>
  <c r="U280" i="35" s="1"/>
  <c r="T278" i="35"/>
  <c r="T280" i="35" s="1"/>
  <c r="S278" i="35"/>
  <c r="S280" i="35" s="1"/>
  <c r="R278" i="35"/>
  <c r="R280" i="35" s="1"/>
  <c r="Q278" i="35"/>
  <c r="Q280" i="35" s="1"/>
  <c r="P278" i="35"/>
  <c r="P280" i="35" s="1"/>
  <c r="O278" i="35"/>
  <c r="O280" i="35" s="1"/>
  <c r="N278" i="35"/>
  <c r="M278" i="35"/>
  <c r="M280" i="35" s="1"/>
  <c r="L278" i="35"/>
  <c r="L280" i="35" s="1"/>
  <c r="K278" i="35"/>
  <c r="K280" i="35" s="1"/>
  <c r="M262" i="35"/>
  <c r="O262" i="35" s="1"/>
  <c r="Q262" i="35" s="1"/>
  <c r="S262" i="35" s="1"/>
  <c r="U262" i="35" s="1"/>
  <c r="W262" i="35" s="1"/>
  <c r="G278" i="35"/>
  <c r="F278" i="35"/>
  <c r="E278" i="35"/>
  <c r="D278" i="35"/>
  <c r="C278" i="35"/>
  <c r="B278" i="35"/>
  <c r="A278" i="35"/>
  <c r="A280" i="35" s="1"/>
  <c r="I273" i="35"/>
  <c r="H279" i="35" s="1"/>
  <c r="B262" i="35"/>
  <c r="C262" i="35" s="1"/>
  <c r="D262" i="35" s="1"/>
  <c r="E262" i="35" s="1"/>
  <c r="F262" i="35" s="1"/>
  <c r="G262" i="35" s="1"/>
  <c r="X258" i="35"/>
  <c r="X260" i="35" s="1"/>
  <c r="W258" i="35"/>
  <c r="W260" i="35" s="1"/>
  <c r="V258" i="35"/>
  <c r="V260" i="35" s="1"/>
  <c r="U258" i="35"/>
  <c r="T258" i="35"/>
  <c r="T260" i="35" s="1"/>
  <c r="S258" i="35"/>
  <c r="S260" i="35" s="1"/>
  <c r="R258" i="35"/>
  <c r="R260" i="35" s="1"/>
  <c r="Q258" i="35"/>
  <c r="P258" i="35"/>
  <c r="P260" i="35" s="1"/>
  <c r="O258" i="35"/>
  <c r="O260" i="35" s="1"/>
  <c r="N258" i="35"/>
  <c r="N260" i="35" s="1"/>
  <c r="M258" i="35"/>
  <c r="L258" i="35"/>
  <c r="L260" i="35" s="1"/>
  <c r="K258" i="35"/>
  <c r="M242" i="35"/>
  <c r="O242" i="35" s="1"/>
  <c r="Q242" i="35" s="1"/>
  <c r="S242" i="35" s="1"/>
  <c r="U242" i="35" s="1"/>
  <c r="W242" i="35" s="1"/>
  <c r="G258" i="35"/>
  <c r="G260" i="35" s="1"/>
  <c r="F258" i="35"/>
  <c r="F260" i="35" s="1"/>
  <c r="E258" i="35"/>
  <c r="D258" i="35"/>
  <c r="D260" i="35" s="1"/>
  <c r="C258" i="35"/>
  <c r="B258" i="35"/>
  <c r="B260" i="35" s="1"/>
  <c r="A258" i="35"/>
  <c r="I253" i="35"/>
  <c r="B242" i="35"/>
  <c r="C242" i="35" s="1"/>
  <c r="D242" i="35" s="1"/>
  <c r="E242" i="35" s="1"/>
  <c r="F242" i="35" s="1"/>
  <c r="G242" i="35" s="1"/>
  <c r="X238" i="35"/>
  <c r="X240" i="35" s="1"/>
  <c r="W238" i="35"/>
  <c r="V238" i="35"/>
  <c r="V240" i="35" s="1"/>
  <c r="U238" i="35"/>
  <c r="T238" i="35"/>
  <c r="T240" i="35" s="1"/>
  <c r="S238" i="35"/>
  <c r="R238" i="35"/>
  <c r="R240" i="35" s="1"/>
  <c r="Q238" i="35"/>
  <c r="P238" i="35"/>
  <c r="P240" i="35" s="1"/>
  <c r="O238" i="35"/>
  <c r="N238" i="35"/>
  <c r="N240" i="35" s="1"/>
  <c r="M238" i="35"/>
  <c r="L238" i="35"/>
  <c r="L240" i="35" s="1"/>
  <c r="K238" i="35"/>
  <c r="K240" i="35" s="1"/>
  <c r="M222" i="35"/>
  <c r="O222" i="35" s="1"/>
  <c r="Q222" i="35" s="1"/>
  <c r="S222" i="35" s="1"/>
  <c r="U222" i="35" s="1"/>
  <c r="W222" i="35" s="1"/>
  <c r="G238" i="35"/>
  <c r="F238" i="35"/>
  <c r="F240" i="35" s="1"/>
  <c r="E238" i="35"/>
  <c r="D238" i="35"/>
  <c r="D240" i="35" s="1"/>
  <c r="C238" i="35"/>
  <c r="B238" i="35"/>
  <c r="B240" i="35" s="1"/>
  <c r="A238" i="35"/>
  <c r="I233" i="35"/>
  <c r="B222" i="35"/>
  <c r="C222" i="35" s="1"/>
  <c r="D222" i="35" s="1"/>
  <c r="E222" i="35" s="1"/>
  <c r="F222" i="35" s="1"/>
  <c r="G222" i="35" s="1"/>
  <c r="L218" i="35"/>
  <c r="L220" i="35" s="1"/>
  <c r="M218" i="35"/>
  <c r="M220" i="35" s="1"/>
  <c r="N218" i="35"/>
  <c r="O218" i="35"/>
  <c r="O220" i="35" s="1"/>
  <c r="P218" i="35"/>
  <c r="P220" i="35" s="1"/>
  <c r="Q218" i="35"/>
  <c r="Q220" i="35" s="1"/>
  <c r="R218" i="35"/>
  <c r="R220" i="35" s="1"/>
  <c r="S218" i="35"/>
  <c r="T218" i="35"/>
  <c r="T220" i="35" s="1"/>
  <c r="U218" i="35"/>
  <c r="U220" i="35" s="1"/>
  <c r="V218" i="35"/>
  <c r="V220" i="35" s="1"/>
  <c r="W218" i="35"/>
  <c r="W220" i="35" s="1"/>
  <c r="X218" i="35"/>
  <c r="X220" i="35" s="1"/>
  <c r="K218" i="35"/>
  <c r="K220" i="35" s="1"/>
  <c r="N220" i="35"/>
  <c r="M202" i="35"/>
  <c r="O202" i="35" s="1"/>
  <c r="Q202" i="35" s="1"/>
  <c r="S202" i="35" s="1"/>
  <c r="U202" i="35" s="1"/>
  <c r="W202" i="35" s="1"/>
  <c r="G218" i="35"/>
  <c r="G220" i="35" s="1"/>
  <c r="F218" i="35"/>
  <c r="E218" i="35"/>
  <c r="E219" i="35" s="1"/>
  <c r="D218" i="35"/>
  <c r="D220" i="35" s="1"/>
  <c r="C218" i="35"/>
  <c r="C220" i="35" s="1"/>
  <c r="B218" i="35"/>
  <c r="A218" i="35"/>
  <c r="A220" i="35" s="1"/>
  <c r="I213" i="35"/>
  <c r="B202" i="35"/>
  <c r="C202" i="35" s="1"/>
  <c r="D202" i="35" s="1"/>
  <c r="E202" i="35" s="1"/>
  <c r="F202" i="35" s="1"/>
  <c r="G202" i="35" s="1"/>
  <c r="A179" i="35"/>
  <c r="A178" i="35"/>
  <c r="L198" i="35"/>
  <c r="M198" i="35"/>
  <c r="M200" i="35" s="1"/>
  <c r="N198" i="35"/>
  <c r="N200" i="35" s="1"/>
  <c r="O198" i="35"/>
  <c r="O200" i="35" s="1"/>
  <c r="X198" i="35"/>
  <c r="W198" i="35"/>
  <c r="W200" i="35" s="1"/>
  <c r="V198" i="35"/>
  <c r="V200" i="35" s="1"/>
  <c r="U198" i="35"/>
  <c r="U200" i="35" s="1"/>
  <c r="T198" i="35"/>
  <c r="T199" i="35" s="1"/>
  <c r="S198" i="35"/>
  <c r="R198" i="35"/>
  <c r="Q198" i="35"/>
  <c r="Q200" i="35" s="1"/>
  <c r="P198" i="35"/>
  <c r="K198" i="35"/>
  <c r="M182" i="35"/>
  <c r="O182" i="35" s="1"/>
  <c r="Q182" i="35" s="1"/>
  <c r="S182" i="35" s="1"/>
  <c r="U182" i="35" s="1"/>
  <c r="W182" i="35" s="1"/>
  <c r="X320" i="35" l="1"/>
  <c r="K320" i="35"/>
  <c r="X300" i="35"/>
  <c r="V300" i="35"/>
  <c r="U300" i="35"/>
  <c r="S300" i="35"/>
  <c r="R300" i="35"/>
  <c r="Q300" i="35"/>
  <c r="O300" i="35"/>
  <c r="N300" i="35"/>
  <c r="M300" i="35"/>
  <c r="G300" i="35"/>
  <c r="F300" i="35"/>
  <c r="E300" i="35"/>
  <c r="D300" i="35"/>
  <c r="C300" i="35"/>
  <c r="H299" i="35"/>
  <c r="B300" i="35"/>
  <c r="H298" i="35"/>
  <c r="N280" i="35"/>
  <c r="G280" i="35"/>
  <c r="F280" i="35"/>
  <c r="E280" i="35"/>
  <c r="D280" i="35"/>
  <c r="C280" i="35"/>
  <c r="B280" i="35"/>
  <c r="H278" i="35"/>
  <c r="H280" i="35" s="1"/>
  <c r="H259" i="35"/>
  <c r="C260" i="35"/>
  <c r="M260" i="35"/>
  <c r="Q260" i="35"/>
  <c r="U260" i="35"/>
  <c r="K260" i="35"/>
  <c r="E260" i="35"/>
  <c r="A260" i="35"/>
  <c r="H258" i="35"/>
  <c r="M240" i="35"/>
  <c r="Q240" i="35"/>
  <c r="U240" i="35"/>
  <c r="O240" i="35"/>
  <c r="S240" i="35"/>
  <c r="W240" i="35"/>
  <c r="C240" i="35"/>
  <c r="G240" i="35"/>
  <c r="A240" i="35"/>
  <c r="H238" i="35"/>
  <c r="H239" i="35"/>
  <c r="S220" i="35"/>
  <c r="E220" i="35"/>
  <c r="B220" i="35"/>
  <c r="F220" i="35"/>
  <c r="H219" i="35"/>
  <c r="H218" i="35"/>
  <c r="X200" i="35"/>
  <c r="T200" i="35"/>
  <c r="S200" i="35"/>
  <c r="R200" i="35"/>
  <c r="P200" i="35"/>
  <c r="L200" i="35"/>
  <c r="K200" i="35"/>
  <c r="G198" i="35"/>
  <c r="F198" i="35"/>
  <c r="F200" i="35" s="1"/>
  <c r="E198" i="35"/>
  <c r="E200" i="35" s="1"/>
  <c r="D198" i="35"/>
  <c r="D200" i="35" s="1"/>
  <c r="C198" i="35"/>
  <c r="C200" i="35" s="1"/>
  <c r="B198" i="35"/>
  <c r="B200" i="35" s="1"/>
  <c r="A198" i="35"/>
  <c r="A200" i="35" s="1"/>
  <c r="I193" i="35"/>
  <c r="B182" i="35"/>
  <c r="C182" i="35" s="1"/>
  <c r="D182" i="35" s="1"/>
  <c r="E182" i="35" s="1"/>
  <c r="F182" i="35" s="1"/>
  <c r="G182" i="35" s="1"/>
  <c r="B178" i="35"/>
  <c r="X178" i="35"/>
  <c r="W178" i="35"/>
  <c r="W180" i="35" s="1"/>
  <c r="V178" i="35"/>
  <c r="V180" i="35" s="1"/>
  <c r="U178" i="35"/>
  <c r="U180" i="35" s="1"/>
  <c r="T178" i="35"/>
  <c r="T180" i="35" s="1"/>
  <c r="S178" i="35"/>
  <c r="S180" i="35" s="1"/>
  <c r="R178" i="35"/>
  <c r="Q178" i="35"/>
  <c r="Q180" i="35" s="1"/>
  <c r="P178" i="35"/>
  <c r="O178" i="35"/>
  <c r="O180" i="35" s="1"/>
  <c r="N178" i="35"/>
  <c r="M178" i="35"/>
  <c r="M180" i="35" s="1"/>
  <c r="L178" i="35"/>
  <c r="L180" i="35" s="1"/>
  <c r="K178" i="35"/>
  <c r="M162" i="35"/>
  <c r="O162" i="35" s="1"/>
  <c r="Q162" i="35" s="1"/>
  <c r="S162" i="35" s="1"/>
  <c r="U162" i="35" s="1"/>
  <c r="W162" i="35" s="1"/>
  <c r="G178" i="35"/>
  <c r="F178" i="35"/>
  <c r="E178" i="35"/>
  <c r="E180" i="35" s="1"/>
  <c r="D178" i="35"/>
  <c r="D180" i="35" s="1"/>
  <c r="C178" i="35"/>
  <c r="A180" i="35"/>
  <c r="I173" i="35"/>
  <c r="B162" i="35"/>
  <c r="C162" i="35" s="1"/>
  <c r="D162" i="35" s="1"/>
  <c r="E162" i="35" s="1"/>
  <c r="F162" i="35" s="1"/>
  <c r="G162" i="35" s="1"/>
  <c r="H300" i="35" l="1"/>
  <c r="H260" i="35"/>
  <c r="H240" i="35"/>
  <c r="E240" i="35"/>
  <c r="H220" i="35"/>
  <c r="G200" i="35"/>
  <c r="H199" i="35"/>
  <c r="H198" i="35"/>
  <c r="P180" i="35"/>
  <c r="X180" i="35"/>
  <c r="N180" i="35"/>
  <c r="R180" i="35"/>
  <c r="K180" i="35"/>
  <c r="B180" i="35"/>
  <c r="F180" i="35"/>
  <c r="C180" i="35"/>
  <c r="G180" i="35"/>
  <c r="H179" i="35"/>
  <c r="H178" i="35"/>
  <c r="C158" i="35"/>
  <c r="H200" i="35" l="1"/>
  <c r="H180" i="35"/>
  <c r="A158" i="35"/>
  <c r="A160" i="35" s="1"/>
  <c r="B158" i="35"/>
  <c r="B160" i="35" s="1"/>
  <c r="D158" i="35"/>
  <c r="D160" i="35" s="1"/>
  <c r="E158" i="35"/>
  <c r="F158" i="35"/>
  <c r="F160" i="35" s="1"/>
  <c r="G158" i="35"/>
  <c r="X158" i="35"/>
  <c r="X160" i="35" s="1"/>
  <c r="W158" i="35"/>
  <c r="V158" i="35"/>
  <c r="U158" i="35"/>
  <c r="T158" i="35"/>
  <c r="T160" i="35" s="1"/>
  <c r="S158" i="35"/>
  <c r="S160" i="35" s="1"/>
  <c r="R158" i="35"/>
  <c r="Q158" i="35"/>
  <c r="P158" i="35"/>
  <c r="O158" i="35"/>
  <c r="N158" i="35"/>
  <c r="N160" i="35" s="1"/>
  <c r="M158" i="35"/>
  <c r="L158" i="35"/>
  <c r="L160" i="35" s="1"/>
  <c r="K158" i="35"/>
  <c r="K160" i="35" s="1"/>
  <c r="M142" i="35"/>
  <c r="O142" i="35" s="1"/>
  <c r="Q142" i="35" s="1"/>
  <c r="S142" i="35" s="1"/>
  <c r="U142" i="35" s="1"/>
  <c r="W142" i="35" s="1"/>
  <c r="C160" i="35"/>
  <c r="I153" i="35"/>
  <c r="B142" i="35"/>
  <c r="C142" i="35" s="1"/>
  <c r="D142" i="35" s="1"/>
  <c r="E142" i="35" s="1"/>
  <c r="F142" i="35" s="1"/>
  <c r="G142" i="35" s="1"/>
  <c r="X138" i="35"/>
  <c r="W138" i="35"/>
  <c r="V138" i="35"/>
  <c r="F138" i="35"/>
  <c r="G138" i="35"/>
  <c r="E138" i="35"/>
  <c r="D138" i="35"/>
  <c r="G160" i="35" l="1"/>
  <c r="P160" i="35"/>
  <c r="V160" i="35"/>
  <c r="R160" i="35"/>
  <c r="M160" i="35"/>
  <c r="Q160" i="35"/>
  <c r="U160" i="35"/>
  <c r="O160" i="35"/>
  <c r="W160" i="35"/>
  <c r="E160" i="35"/>
  <c r="H158" i="35"/>
  <c r="O138" i="35"/>
  <c r="O140" i="35" s="1"/>
  <c r="C140" i="35"/>
  <c r="E140" i="35"/>
  <c r="F140" i="35"/>
  <c r="D140" i="35"/>
  <c r="B138" i="35"/>
  <c r="B140" i="35" s="1"/>
  <c r="H159" i="35" l="1"/>
  <c r="H160" i="35" s="1"/>
  <c r="X140" i="35"/>
  <c r="L138" i="35"/>
  <c r="M138" i="35"/>
  <c r="N138" i="35"/>
  <c r="N140" i="35" s="1"/>
  <c r="P138" i="35"/>
  <c r="P140" i="35" s="1"/>
  <c r="Q138" i="35"/>
  <c r="Q140" i="35" s="1"/>
  <c r="R138" i="35"/>
  <c r="R140" i="35" s="1"/>
  <c r="S138" i="35"/>
  <c r="S140" i="35" s="1"/>
  <c r="T138" i="35"/>
  <c r="U138" i="35"/>
  <c r="U140" i="35" s="1"/>
  <c r="W140" i="35"/>
  <c r="K138" i="35"/>
  <c r="K140" i="35" s="1"/>
  <c r="A138" i="35"/>
  <c r="A140" i="35" s="1"/>
  <c r="I133" i="35"/>
  <c r="V140" i="35"/>
  <c r="M122" i="35"/>
  <c r="O122" i="35" s="1"/>
  <c r="Q122" i="35" s="1"/>
  <c r="S122" i="35" s="1"/>
  <c r="U122" i="35" s="1"/>
  <c r="W122" i="35" s="1"/>
  <c r="B122" i="35"/>
  <c r="C122" i="35" s="1"/>
  <c r="D122" i="35" s="1"/>
  <c r="E122" i="35" s="1"/>
  <c r="F122" i="35" s="1"/>
  <c r="G122" i="35" s="1"/>
  <c r="H138" i="35" l="1"/>
  <c r="M140" i="35"/>
  <c r="T140" i="35"/>
  <c r="L140" i="35"/>
  <c r="I33" i="35"/>
  <c r="B118" i="35"/>
  <c r="B120" i="35" s="1"/>
  <c r="C118" i="35"/>
  <c r="D118" i="35"/>
  <c r="D120" i="35" s="1"/>
  <c r="E118" i="35"/>
  <c r="E120" i="35" s="1"/>
  <c r="F118" i="35"/>
  <c r="F120" i="35" s="1"/>
  <c r="G118" i="35"/>
  <c r="G120" i="35" s="1"/>
  <c r="A118" i="35"/>
  <c r="A120" i="35" s="1"/>
  <c r="B102" i="35"/>
  <c r="C102" i="35" s="1"/>
  <c r="D102" i="35" s="1"/>
  <c r="E102" i="35" s="1"/>
  <c r="X118" i="35"/>
  <c r="X120" i="35" s="1"/>
  <c r="W118" i="35"/>
  <c r="W120" i="35" s="1"/>
  <c r="V118" i="35"/>
  <c r="U118" i="35"/>
  <c r="U120" i="35" s="1"/>
  <c r="T118" i="35"/>
  <c r="T120" i="35" s="1"/>
  <c r="S118" i="35"/>
  <c r="S120" i="35" s="1"/>
  <c r="R118" i="35"/>
  <c r="R120" i="35" s="1"/>
  <c r="Q118" i="35"/>
  <c r="Q120" i="35" s="1"/>
  <c r="P118" i="35"/>
  <c r="P120" i="35" s="1"/>
  <c r="O118" i="35"/>
  <c r="O120" i="35" s="1"/>
  <c r="N118" i="35"/>
  <c r="M118" i="35"/>
  <c r="L118" i="35"/>
  <c r="L120" i="35" s="1"/>
  <c r="K118" i="35"/>
  <c r="M102" i="35"/>
  <c r="O102" i="35" s="1"/>
  <c r="Q102" i="35" s="1"/>
  <c r="S102" i="35" s="1"/>
  <c r="U102" i="35" s="1"/>
  <c r="W102" i="35" s="1"/>
  <c r="I113" i="35"/>
  <c r="H139" i="35" l="1"/>
  <c r="H140" i="35" s="1"/>
  <c r="G140" i="35"/>
  <c r="F102" i="35"/>
  <c r="G102" i="35" s="1"/>
  <c r="H119" i="35"/>
  <c r="H118" i="35"/>
  <c r="M120" i="35"/>
  <c r="N120" i="35"/>
  <c r="V120" i="35"/>
  <c r="K120" i="35"/>
  <c r="C120" i="35"/>
  <c r="M98" i="35"/>
  <c r="M100" i="35" s="1"/>
  <c r="N98" i="35"/>
  <c r="N100" i="35" s="1"/>
  <c r="O98" i="35"/>
  <c r="O100" i="35" s="1"/>
  <c r="P98" i="35"/>
  <c r="P100" i="35" s="1"/>
  <c r="Q98" i="35"/>
  <c r="Q100" i="35" s="1"/>
  <c r="R98" i="35"/>
  <c r="R100" i="35" s="1"/>
  <c r="S98" i="35"/>
  <c r="S100" i="35" s="1"/>
  <c r="T98" i="35"/>
  <c r="T100" i="35" s="1"/>
  <c r="U98" i="35"/>
  <c r="U100" i="35" s="1"/>
  <c r="V98" i="35"/>
  <c r="V100" i="35" s="1"/>
  <c r="W98" i="35"/>
  <c r="W100" i="35" s="1"/>
  <c r="X98" i="35"/>
  <c r="X100" i="35" s="1"/>
  <c r="L98" i="35"/>
  <c r="L100" i="35" s="1"/>
  <c r="K98" i="35"/>
  <c r="K100" i="35" s="1"/>
  <c r="M82" i="35"/>
  <c r="O82" i="35" s="1"/>
  <c r="Q82" i="35" s="1"/>
  <c r="S82" i="35" s="1"/>
  <c r="U82" i="35" s="1"/>
  <c r="W82" i="35" s="1"/>
  <c r="G98" i="35"/>
  <c r="G100" i="35" s="1"/>
  <c r="F98" i="35"/>
  <c r="F100" i="35" s="1"/>
  <c r="E98" i="35"/>
  <c r="D98" i="35"/>
  <c r="D100" i="35" s="1"/>
  <c r="C98" i="35"/>
  <c r="B98" i="35"/>
  <c r="B100" i="35" s="1"/>
  <c r="A98" i="35"/>
  <c r="A100" i="35" s="1"/>
  <c r="I93" i="35"/>
  <c r="B82" i="35"/>
  <c r="C82" i="35" s="1"/>
  <c r="D82" i="35" s="1"/>
  <c r="E82" i="35" s="1"/>
  <c r="F82" i="35" s="1"/>
  <c r="G82" i="35" s="1"/>
  <c r="C78" i="35"/>
  <c r="C80" i="35" s="1"/>
  <c r="D78" i="35"/>
  <c r="D80" i="35" s="1"/>
  <c r="E78" i="35"/>
  <c r="E79" i="35" s="1"/>
  <c r="E80" i="35" s="1"/>
  <c r="F78" i="35"/>
  <c r="G78" i="35"/>
  <c r="G80" i="35" s="1"/>
  <c r="X78" i="35"/>
  <c r="X80" i="35" s="1"/>
  <c r="W78" i="35"/>
  <c r="W80" i="35" s="1"/>
  <c r="V78" i="35"/>
  <c r="V80" i="35" s="1"/>
  <c r="U78" i="35"/>
  <c r="U80" i="35" s="1"/>
  <c r="T78" i="35"/>
  <c r="T80" i="35" s="1"/>
  <c r="S78" i="35"/>
  <c r="S80" i="35" s="1"/>
  <c r="R78" i="35"/>
  <c r="R80" i="35" s="1"/>
  <c r="Q78" i="35"/>
  <c r="Q80" i="35" s="1"/>
  <c r="P78" i="35"/>
  <c r="P80" i="35" s="1"/>
  <c r="O78" i="35"/>
  <c r="O80" i="35" s="1"/>
  <c r="N78" i="35"/>
  <c r="N80" i="35" s="1"/>
  <c r="M78" i="35"/>
  <c r="L78" i="35"/>
  <c r="L80" i="35" s="1"/>
  <c r="K78" i="35"/>
  <c r="K80" i="35" s="1"/>
  <c r="M62" i="35"/>
  <c r="O62" i="35" s="1"/>
  <c r="Q62" i="35" s="1"/>
  <c r="S62" i="35" s="1"/>
  <c r="U62" i="35" s="1"/>
  <c r="W62" i="35" s="1"/>
  <c r="B78" i="35"/>
  <c r="A78" i="35"/>
  <c r="I73" i="35"/>
  <c r="B62" i="35"/>
  <c r="C62" i="35" s="1"/>
  <c r="D62" i="35" s="1"/>
  <c r="E62" i="35" s="1"/>
  <c r="L58" i="35"/>
  <c r="L60" i="35" s="1"/>
  <c r="M58" i="35"/>
  <c r="M60" i="35" s="1"/>
  <c r="N58" i="35"/>
  <c r="O58" i="35"/>
  <c r="O60" i="35" s="1"/>
  <c r="P58" i="35"/>
  <c r="P60" i="35" s="1"/>
  <c r="Q58" i="35"/>
  <c r="Q60" i="35" s="1"/>
  <c r="R58" i="35"/>
  <c r="R60" i="35" s="1"/>
  <c r="S58" i="35"/>
  <c r="S60" i="35" s="1"/>
  <c r="T58" i="35"/>
  <c r="T60" i="35" s="1"/>
  <c r="U58" i="35"/>
  <c r="U60" i="35" s="1"/>
  <c r="V58" i="35"/>
  <c r="V60" i="35" s="1"/>
  <c r="W58" i="35"/>
  <c r="W60" i="35" s="1"/>
  <c r="X58" i="35"/>
  <c r="X60" i="35" s="1"/>
  <c r="B58" i="35"/>
  <c r="B60" i="35" s="1"/>
  <c r="C58" i="35"/>
  <c r="C60" i="35" s="1"/>
  <c r="D58" i="35"/>
  <c r="D60" i="35" s="1"/>
  <c r="E58" i="35"/>
  <c r="F58" i="35"/>
  <c r="F60" i="35" s="1"/>
  <c r="G58" i="35"/>
  <c r="G60" i="35" s="1"/>
  <c r="K58" i="35"/>
  <c r="M42" i="35"/>
  <c r="O42" i="35" s="1"/>
  <c r="Q42" i="35" s="1"/>
  <c r="S42" i="35" s="1"/>
  <c r="U42" i="35" s="1"/>
  <c r="W42" i="35" s="1"/>
  <c r="A58" i="35"/>
  <c r="I53" i="35"/>
  <c r="B42" i="35"/>
  <c r="C42" i="35" s="1"/>
  <c r="D42" i="35" s="1"/>
  <c r="E42" i="35" s="1"/>
  <c r="F42" i="35" s="1"/>
  <c r="G42" i="35" s="1"/>
  <c r="B24" i="35"/>
  <c r="F62" i="35" l="1"/>
  <c r="G62" i="35" s="1"/>
  <c r="H120" i="35"/>
  <c r="H98" i="35"/>
  <c r="C100" i="35"/>
  <c r="E100" i="35"/>
  <c r="M80" i="35"/>
  <c r="F80" i="35"/>
  <c r="H79" i="35"/>
  <c r="B80" i="35"/>
  <c r="A80" i="35"/>
  <c r="H78" i="35"/>
  <c r="K60" i="35"/>
  <c r="E60" i="35"/>
  <c r="A60" i="35"/>
  <c r="H58" i="35"/>
  <c r="H59" i="35"/>
  <c r="U39" i="35"/>
  <c r="V39" i="35"/>
  <c r="D38" i="35"/>
  <c r="D40" i="35" s="1"/>
  <c r="E38" i="35"/>
  <c r="E40" i="35" s="1"/>
  <c r="F38" i="35"/>
  <c r="F40" i="35" s="1"/>
  <c r="G38" i="35"/>
  <c r="G40" i="35" s="1"/>
  <c r="A38" i="35"/>
  <c r="B38" i="35"/>
  <c r="B40" i="35" s="1"/>
  <c r="W38" i="35"/>
  <c r="W40" i="35" s="1"/>
  <c r="U38" i="35"/>
  <c r="U40" i="35" s="1"/>
  <c r="S38" i="35"/>
  <c r="S40" i="35" s="1"/>
  <c r="Q38" i="35"/>
  <c r="Q40" i="35" s="1"/>
  <c r="M38" i="35"/>
  <c r="M40" i="35" s="1"/>
  <c r="O38" i="35"/>
  <c r="O40" i="35" s="1"/>
  <c r="C38" i="35"/>
  <c r="C40" i="35" s="1"/>
  <c r="X38" i="35"/>
  <c r="X40" i="35" s="1"/>
  <c r="V38" i="35"/>
  <c r="T38" i="35"/>
  <c r="T40" i="35" s="1"/>
  <c r="R38" i="35"/>
  <c r="R40" i="35" s="1"/>
  <c r="P38" i="35"/>
  <c r="P40" i="35" s="1"/>
  <c r="N38" i="35"/>
  <c r="L38" i="35"/>
  <c r="L40" i="35" s="1"/>
  <c r="K38" i="35"/>
  <c r="M22" i="35"/>
  <c r="O22" i="35" s="1"/>
  <c r="Q22" i="35" s="1"/>
  <c r="S22" i="35" s="1"/>
  <c r="U22" i="35" s="1"/>
  <c r="W22" i="35" s="1"/>
  <c r="B22" i="35"/>
  <c r="C22" i="35" s="1"/>
  <c r="D22" i="35" s="1"/>
  <c r="E22" i="35" s="1"/>
  <c r="F22" i="35" s="1"/>
  <c r="G22" i="35" s="1"/>
  <c r="V59" i="34"/>
  <c r="Q59" i="34"/>
  <c r="R59" i="34"/>
  <c r="A40" i="35" l="1"/>
  <c r="H38" i="35"/>
  <c r="H100" i="35"/>
  <c r="H80" i="35"/>
  <c r="H60" i="35"/>
  <c r="V40" i="35"/>
  <c r="K40" i="35"/>
  <c r="H39" i="35"/>
  <c r="P19" i="35"/>
  <c r="H40" i="35" l="1"/>
  <c r="N19" i="35"/>
  <c r="M19" i="35"/>
  <c r="U79" i="34"/>
  <c r="O79" i="34"/>
  <c r="X18" i="35"/>
  <c r="X20" i="35" s="1"/>
  <c r="W18" i="35"/>
  <c r="W20" i="35" s="1"/>
  <c r="V18" i="35"/>
  <c r="V20" i="35" s="1"/>
  <c r="U18" i="35"/>
  <c r="U20" i="35" s="1"/>
  <c r="T18" i="35"/>
  <c r="T20" i="35" s="1"/>
  <c r="S18" i="35"/>
  <c r="S20" i="35" s="1"/>
  <c r="R18" i="35"/>
  <c r="R20" i="35" s="1"/>
  <c r="Q18" i="35"/>
  <c r="Q20" i="35" s="1"/>
  <c r="P18" i="35"/>
  <c r="P20" i="35" s="1"/>
  <c r="O18" i="35"/>
  <c r="O20" i="35" s="1"/>
  <c r="N18" i="35"/>
  <c r="M18" i="35"/>
  <c r="L18" i="35"/>
  <c r="L20" i="35" s="1"/>
  <c r="K18" i="35"/>
  <c r="K20" i="35" s="1"/>
  <c r="M2" i="35"/>
  <c r="O2" i="35" s="1"/>
  <c r="Q2" i="35" s="1"/>
  <c r="S2" i="35" s="1"/>
  <c r="U2" i="35" s="1"/>
  <c r="W2" i="35" s="1"/>
  <c r="G18" i="35"/>
  <c r="F18" i="35"/>
  <c r="E18" i="35"/>
  <c r="D18" i="35"/>
  <c r="C18" i="35"/>
  <c r="C20" i="35" s="1"/>
  <c r="B18" i="35"/>
  <c r="B20" i="35" s="1"/>
  <c r="A18" i="35"/>
  <c r="A20" i="35" s="1"/>
  <c r="I13" i="35"/>
  <c r="B2" i="35"/>
  <c r="C2" i="35" s="1"/>
  <c r="D2" i="35" s="1"/>
  <c r="E2" i="35" s="1"/>
  <c r="I73" i="34"/>
  <c r="H79" i="34" s="1"/>
  <c r="A78" i="34"/>
  <c r="A80" i="34" s="1"/>
  <c r="B78" i="34"/>
  <c r="B80" i="34" s="1"/>
  <c r="C78" i="34"/>
  <c r="C80" i="34" s="1"/>
  <c r="D78" i="34"/>
  <c r="D80" i="34" s="1"/>
  <c r="E78" i="34"/>
  <c r="E80" i="34" s="1"/>
  <c r="F78" i="34"/>
  <c r="F80" i="34" s="1"/>
  <c r="X78" i="34"/>
  <c r="X80" i="34" s="1"/>
  <c r="W78" i="34"/>
  <c r="W80" i="34" s="1"/>
  <c r="V78" i="34"/>
  <c r="V80" i="34" s="1"/>
  <c r="U78" i="34"/>
  <c r="U80" i="34" s="1"/>
  <c r="T78" i="34"/>
  <c r="T80" i="34" s="1"/>
  <c r="S78" i="34"/>
  <c r="S80" i="34" s="1"/>
  <c r="R78" i="34"/>
  <c r="R80" i="34" s="1"/>
  <c r="Q78" i="34"/>
  <c r="Q80" i="34" s="1"/>
  <c r="P78" i="34"/>
  <c r="P80" i="34" s="1"/>
  <c r="O78" i="34"/>
  <c r="O80" i="34" s="1"/>
  <c r="N78" i="34"/>
  <c r="N80" i="34" s="1"/>
  <c r="M78" i="34"/>
  <c r="L78" i="34"/>
  <c r="L80" i="34" s="1"/>
  <c r="K78" i="34"/>
  <c r="K80" i="34" s="1"/>
  <c r="G78" i="34"/>
  <c r="G80" i="34" s="1"/>
  <c r="M62" i="34"/>
  <c r="O62" i="34" s="1"/>
  <c r="Q62" i="34" s="1"/>
  <c r="S62" i="34" s="1"/>
  <c r="U62" i="34" s="1"/>
  <c r="W62" i="34" s="1"/>
  <c r="B62" i="34"/>
  <c r="C62" i="34" s="1"/>
  <c r="D62" i="34" s="1"/>
  <c r="E62" i="34" s="1"/>
  <c r="F62" i="34" s="1"/>
  <c r="G62" i="34" s="1"/>
  <c r="M59" i="34"/>
  <c r="O59" i="34"/>
  <c r="M20" i="35" l="1"/>
  <c r="F2" i="35"/>
  <c r="G2" i="35" s="1"/>
  <c r="N20" i="35"/>
  <c r="G20" i="35"/>
  <c r="F20" i="35"/>
  <c r="E20" i="35"/>
  <c r="D20" i="35"/>
  <c r="H19" i="35"/>
  <c r="H18" i="35"/>
  <c r="M80" i="34"/>
  <c r="H78" i="34"/>
  <c r="H80" i="34" s="1"/>
  <c r="H20" i="35" l="1"/>
  <c r="X39" i="34"/>
  <c r="W39" i="34"/>
  <c r="U39" i="34" l="1"/>
  <c r="V39" i="34"/>
  <c r="O39" i="34"/>
  <c r="P39" i="34"/>
  <c r="N39" i="34"/>
  <c r="M39" i="34"/>
  <c r="D58" i="34"/>
  <c r="D60" i="34" s="1"/>
  <c r="C58" i="34"/>
  <c r="C60" i="34" s="1"/>
  <c r="B58" i="34"/>
  <c r="B60" i="34" s="1"/>
  <c r="S58" i="34"/>
  <c r="S60" i="34" s="1"/>
  <c r="M42" i="34"/>
  <c r="O42" i="34" s="1"/>
  <c r="Q42" i="34" s="1"/>
  <c r="S42" i="34" s="1"/>
  <c r="U42" i="34" s="1"/>
  <c r="W42" i="34" s="1"/>
  <c r="B42" i="34"/>
  <c r="C42" i="34" s="1"/>
  <c r="D42" i="34" s="1"/>
  <c r="E42" i="34" s="1"/>
  <c r="F42" i="34" s="1"/>
  <c r="G42" i="34" s="1"/>
  <c r="X58" i="34"/>
  <c r="X60" i="34" s="1"/>
  <c r="W58" i="34"/>
  <c r="W60" i="34" s="1"/>
  <c r="V58" i="34"/>
  <c r="V60" i="34" s="1"/>
  <c r="U58" i="34"/>
  <c r="U60" i="34" s="1"/>
  <c r="T58" i="34"/>
  <c r="T60" i="34" s="1"/>
  <c r="R58" i="34"/>
  <c r="R60" i="34" s="1"/>
  <c r="Q58" i="34"/>
  <c r="Q60" i="34" s="1"/>
  <c r="P58" i="34"/>
  <c r="P60" i="34" s="1"/>
  <c r="O58" i="34"/>
  <c r="O60" i="34" s="1"/>
  <c r="N58" i="34"/>
  <c r="N60" i="34" s="1"/>
  <c r="M58" i="34"/>
  <c r="M60" i="34" s="1"/>
  <c r="L58" i="34"/>
  <c r="L60" i="34" s="1"/>
  <c r="K58" i="34"/>
  <c r="K60" i="34" s="1"/>
  <c r="G58" i="34"/>
  <c r="G60" i="34" s="1"/>
  <c r="F58" i="34"/>
  <c r="F60" i="34" s="1"/>
  <c r="E58" i="34"/>
  <c r="E60" i="34" s="1"/>
  <c r="A58" i="34"/>
  <c r="A60" i="34" s="1"/>
  <c r="I51" i="34"/>
  <c r="H59" i="34" s="1"/>
  <c r="T38" i="34"/>
  <c r="T40" i="34" s="1"/>
  <c r="S38" i="34"/>
  <c r="S40" i="34" s="1"/>
  <c r="X38" i="34"/>
  <c r="X40" i="34" s="1"/>
  <c r="W38" i="34"/>
  <c r="W40" i="34" s="1"/>
  <c r="V38" i="34"/>
  <c r="V40" i="34" s="1"/>
  <c r="U38" i="34"/>
  <c r="U40" i="34" s="1"/>
  <c r="R38" i="34"/>
  <c r="R40" i="34" s="1"/>
  <c r="Q38" i="34"/>
  <c r="Q40" i="34" s="1"/>
  <c r="P38" i="34"/>
  <c r="P40" i="34" s="1"/>
  <c r="O38" i="34"/>
  <c r="N38" i="34"/>
  <c r="N40" i="34" s="1"/>
  <c r="M38" i="34"/>
  <c r="L38" i="34"/>
  <c r="L40" i="34" s="1"/>
  <c r="K38" i="34"/>
  <c r="K40" i="34" s="1"/>
  <c r="G38" i="34"/>
  <c r="G40" i="34" s="1"/>
  <c r="F38" i="34"/>
  <c r="F40" i="34" s="1"/>
  <c r="E38" i="34"/>
  <c r="E40" i="34" s="1"/>
  <c r="D38" i="34"/>
  <c r="D40" i="34" s="1"/>
  <c r="C38" i="34"/>
  <c r="C40" i="34" s="1"/>
  <c r="B38" i="34"/>
  <c r="B40" i="34" s="1"/>
  <c r="A38" i="34"/>
  <c r="A40" i="34" s="1"/>
  <c r="I31" i="34"/>
  <c r="H39" i="34" s="1"/>
  <c r="A18" i="34"/>
  <c r="A20" i="34" s="1"/>
  <c r="T20" i="34"/>
  <c r="S20" i="34"/>
  <c r="X18" i="34"/>
  <c r="X20" i="34" s="1"/>
  <c r="W18" i="34"/>
  <c r="W20" i="34" s="1"/>
  <c r="V18" i="34"/>
  <c r="V20" i="34" s="1"/>
  <c r="U18" i="34"/>
  <c r="U20" i="34" s="1"/>
  <c r="R18" i="34"/>
  <c r="R20" i="34" s="1"/>
  <c r="Q18" i="34"/>
  <c r="Q20" i="34" s="1"/>
  <c r="P18" i="34"/>
  <c r="P20" i="34" s="1"/>
  <c r="O18" i="34"/>
  <c r="O20" i="34" s="1"/>
  <c r="N18" i="34"/>
  <c r="N20" i="34" s="1"/>
  <c r="M18" i="34"/>
  <c r="M20" i="34" s="1"/>
  <c r="L18" i="34"/>
  <c r="L20" i="34" s="1"/>
  <c r="K18" i="34"/>
  <c r="K20" i="34" s="1"/>
  <c r="G18" i="34"/>
  <c r="G20" i="34" s="1"/>
  <c r="F18" i="34"/>
  <c r="F20" i="34" s="1"/>
  <c r="E18" i="34"/>
  <c r="E20" i="34" s="1"/>
  <c r="D18" i="34"/>
  <c r="D20" i="34" s="1"/>
  <c r="C18" i="34"/>
  <c r="C20" i="34" s="1"/>
  <c r="B18" i="34"/>
  <c r="B20" i="34" s="1"/>
  <c r="I11" i="34"/>
  <c r="H19" i="34" s="1"/>
  <c r="I89" i="33"/>
  <c r="H97" i="33" s="1"/>
  <c r="O96" i="33"/>
  <c r="O98" i="33" s="1"/>
  <c r="P96" i="33"/>
  <c r="P98" i="33" s="1"/>
  <c r="M96" i="33"/>
  <c r="M98" i="33" s="1"/>
  <c r="X96" i="33"/>
  <c r="X98" i="33" s="1"/>
  <c r="W96" i="33"/>
  <c r="W98" i="33" s="1"/>
  <c r="V96" i="33"/>
  <c r="V98" i="33" s="1"/>
  <c r="U96" i="33"/>
  <c r="U98" i="33" s="1"/>
  <c r="T98" i="33"/>
  <c r="S98" i="33"/>
  <c r="R96" i="33"/>
  <c r="R98" i="33" s="1"/>
  <c r="Q96" i="33"/>
  <c r="Q98" i="33" s="1"/>
  <c r="N96" i="33"/>
  <c r="N98" i="33" s="1"/>
  <c r="L96" i="33"/>
  <c r="L98" i="33" s="1"/>
  <c r="K96" i="33"/>
  <c r="K98" i="33" s="1"/>
  <c r="G96" i="33"/>
  <c r="G98" i="33" s="1"/>
  <c r="F96" i="33"/>
  <c r="F98" i="33" s="1"/>
  <c r="E96" i="33"/>
  <c r="E98" i="33" s="1"/>
  <c r="D96" i="33"/>
  <c r="D98" i="33" s="1"/>
  <c r="C96" i="33"/>
  <c r="C98" i="33" s="1"/>
  <c r="B96" i="33"/>
  <c r="B98" i="33" s="1"/>
  <c r="A96" i="33"/>
  <c r="A98" i="33" s="1"/>
  <c r="O40" i="34" l="1"/>
  <c r="H38" i="34"/>
  <c r="M40" i="34"/>
  <c r="H58" i="34"/>
  <c r="H60" i="34" s="1"/>
  <c r="H40" i="34"/>
  <c r="H18" i="34"/>
  <c r="H20" i="34" s="1"/>
  <c r="H96" i="33"/>
  <c r="H98" i="33" s="1"/>
  <c r="X74" i="33"/>
  <c r="X76" i="33" s="1"/>
  <c r="W74" i="33"/>
  <c r="W76" i="33" s="1"/>
  <c r="V74" i="33"/>
  <c r="V76" i="33" s="1"/>
  <c r="U74" i="33"/>
  <c r="U76" i="33" s="1"/>
  <c r="T74" i="33"/>
  <c r="T76" i="33" s="1"/>
  <c r="S74" i="33"/>
  <c r="S76" i="33" s="1"/>
  <c r="R74" i="33"/>
  <c r="R76" i="33" s="1"/>
  <c r="Q74" i="33"/>
  <c r="Q76" i="33" s="1"/>
  <c r="P74" i="33"/>
  <c r="P76" i="33" s="1"/>
  <c r="O74" i="33"/>
  <c r="O76" i="33" s="1"/>
  <c r="N74" i="33"/>
  <c r="N76" i="33" s="1"/>
  <c r="M74" i="33"/>
  <c r="M76" i="33" s="1"/>
  <c r="L74" i="33"/>
  <c r="L76" i="33" s="1"/>
  <c r="K74" i="33"/>
  <c r="K76" i="33" s="1"/>
  <c r="G74" i="33"/>
  <c r="G76" i="33" s="1"/>
  <c r="F74" i="33"/>
  <c r="F76" i="33" s="1"/>
  <c r="E74" i="33"/>
  <c r="E76" i="33" s="1"/>
  <c r="D74" i="33"/>
  <c r="D76" i="33" s="1"/>
  <c r="C74" i="33"/>
  <c r="C76" i="33" s="1"/>
  <c r="B74" i="33"/>
  <c r="A74" i="33"/>
  <c r="A76" i="33" s="1"/>
  <c r="I66" i="33"/>
  <c r="H75" i="33" s="1"/>
  <c r="X55" i="33"/>
  <c r="X57" i="33" s="1"/>
  <c r="W55" i="33"/>
  <c r="W57" i="33" s="1"/>
  <c r="V55" i="33"/>
  <c r="V57" i="33" s="1"/>
  <c r="U55" i="33"/>
  <c r="U57" i="33" s="1"/>
  <c r="T55" i="33"/>
  <c r="T57" i="33" s="1"/>
  <c r="S55" i="33"/>
  <c r="S57" i="33" s="1"/>
  <c r="R55" i="33"/>
  <c r="R57" i="33" s="1"/>
  <c r="Q55" i="33"/>
  <c r="Q57" i="33" s="1"/>
  <c r="P55" i="33"/>
  <c r="P57" i="33" s="1"/>
  <c r="O55" i="33"/>
  <c r="O57" i="33" s="1"/>
  <c r="N55" i="33"/>
  <c r="N57" i="33" s="1"/>
  <c r="M55" i="33"/>
  <c r="M57" i="33" s="1"/>
  <c r="L55" i="33"/>
  <c r="L57" i="33" s="1"/>
  <c r="K55" i="33"/>
  <c r="K57" i="33" s="1"/>
  <c r="G55" i="33"/>
  <c r="G57" i="33" s="1"/>
  <c r="F55" i="33"/>
  <c r="F57" i="33" s="1"/>
  <c r="E55" i="33"/>
  <c r="E57" i="33" s="1"/>
  <c r="D55" i="33"/>
  <c r="D57" i="33" s="1"/>
  <c r="C55" i="33"/>
  <c r="C57" i="33" s="1"/>
  <c r="B55" i="33"/>
  <c r="B57" i="33" s="1"/>
  <c r="A55" i="33"/>
  <c r="A57" i="33" s="1"/>
  <c r="I47" i="33"/>
  <c r="H56" i="33" s="1"/>
  <c r="I28" i="33"/>
  <c r="T36" i="33"/>
  <c r="T38" i="33" s="1"/>
  <c r="B76" i="33" l="1"/>
  <c r="H74" i="33"/>
  <c r="H76" i="33" s="1"/>
  <c r="H55" i="33"/>
  <c r="H57" i="33" s="1"/>
  <c r="X36" i="33"/>
  <c r="X38" i="33" s="1"/>
  <c r="W36" i="33"/>
  <c r="W38" i="33" s="1"/>
  <c r="V36" i="33"/>
  <c r="V38" i="33" s="1"/>
  <c r="U36" i="33"/>
  <c r="U38" i="33" s="1"/>
  <c r="S36" i="33"/>
  <c r="S38" i="33" s="1"/>
  <c r="R36" i="33"/>
  <c r="R38" i="33" s="1"/>
  <c r="Q36" i="33"/>
  <c r="Q38" i="33" s="1"/>
  <c r="P36" i="33"/>
  <c r="P38" i="33" s="1"/>
  <c r="O36" i="33"/>
  <c r="O38" i="33" s="1"/>
  <c r="N36" i="33"/>
  <c r="N38" i="33" s="1"/>
  <c r="M36" i="33"/>
  <c r="M38" i="33" s="1"/>
  <c r="L36" i="33"/>
  <c r="L38" i="33" s="1"/>
  <c r="K36" i="33"/>
  <c r="K38" i="33" s="1"/>
  <c r="G36" i="33"/>
  <c r="G38" i="33" s="1"/>
  <c r="F36" i="33"/>
  <c r="F38" i="33" s="1"/>
  <c r="E36" i="33"/>
  <c r="E38" i="33" s="1"/>
  <c r="D36" i="33"/>
  <c r="D38" i="33" s="1"/>
  <c r="C36" i="33"/>
  <c r="C38" i="33" s="1"/>
  <c r="B36" i="33"/>
  <c r="B38" i="33" s="1"/>
  <c r="A36" i="33"/>
  <c r="A38" i="33" s="1"/>
  <c r="H37" i="33"/>
  <c r="H36" i="33" l="1"/>
  <c r="H38" i="33" s="1"/>
  <c r="D17" i="33" l="1"/>
  <c r="D19" i="33" s="1"/>
  <c r="C17" i="33"/>
  <c r="C19" i="33" s="1"/>
  <c r="X17" i="33"/>
  <c r="X19" i="33" s="1"/>
  <c r="W17" i="33"/>
  <c r="W19" i="33" s="1"/>
  <c r="V17" i="33"/>
  <c r="V19" i="33" s="1"/>
  <c r="U17" i="33"/>
  <c r="U19" i="33" s="1"/>
  <c r="S17" i="33"/>
  <c r="S19" i="33" s="1"/>
  <c r="R17" i="33"/>
  <c r="R19" i="33" s="1"/>
  <c r="Q17" i="33"/>
  <c r="Q19" i="33" s="1"/>
  <c r="P17" i="33"/>
  <c r="P19" i="33" s="1"/>
  <c r="O17" i="33"/>
  <c r="O19" i="33" s="1"/>
  <c r="N17" i="33"/>
  <c r="N19" i="33" s="1"/>
  <c r="M17" i="33"/>
  <c r="M19" i="33" s="1"/>
  <c r="L17" i="33"/>
  <c r="L19" i="33" s="1"/>
  <c r="K17" i="33"/>
  <c r="K19" i="33" s="1"/>
  <c r="G17" i="33"/>
  <c r="G19" i="33" s="1"/>
  <c r="F17" i="33"/>
  <c r="F19" i="33" s="1"/>
  <c r="E17" i="33"/>
  <c r="E19" i="33" s="1"/>
  <c r="B17" i="33"/>
  <c r="B19" i="33" s="1"/>
  <c r="A17" i="33"/>
  <c r="A19" i="33" s="1"/>
  <c r="I9" i="33"/>
  <c r="H17" i="33" l="1"/>
  <c r="H18" i="33"/>
  <c r="X73" i="32"/>
  <c r="X75" i="32" s="1"/>
  <c r="W73" i="32"/>
  <c r="W75" i="32" s="1"/>
  <c r="V73" i="32"/>
  <c r="V75" i="32" s="1"/>
  <c r="U73" i="32"/>
  <c r="U75" i="32" s="1"/>
  <c r="S73" i="32"/>
  <c r="S75" i="32" s="1"/>
  <c r="R73" i="32"/>
  <c r="R75" i="32" s="1"/>
  <c r="Q73" i="32"/>
  <c r="Q75" i="32" s="1"/>
  <c r="P73" i="32"/>
  <c r="P75" i="32" s="1"/>
  <c r="O73" i="32"/>
  <c r="O75" i="32" s="1"/>
  <c r="N73" i="32"/>
  <c r="N75" i="32" s="1"/>
  <c r="M73" i="32"/>
  <c r="M75" i="32" s="1"/>
  <c r="L73" i="32"/>
  <c r="L75" i="32" s="1"/>
  <c r="K73" i="32"/>
  <c r="K75" i="32" s="1"/>
  <c r="G73" i="32"/>
  <c r="F73" i="32"/>
  <c r="E73" i="32"/>
  <c r="D73" i="32"/>
  <c r="D75" i="32" s="1"/>
  <c r="C73" i="32"/>
  <c r="B73" i="32"/>
  <c r="B75" i="32" s="1"/>
  <c r="A73" i="32"/>
  <c r="A75" i="32" s="1"/>
  <c r="I65" i="32"/>
  <c r="V56" i="32"/>
  <c r="L56" i="32"/>
  <c r="I56" i="32"/>
  <c r="X54" i="32"/>
  <c r="X56" i="32" s="1"/>
  <c r="W54" i="32"/>
  <c r="W56" i="32" s="1"/>
  <c r="V54" i="32"/>
  <c r="U54" i="32"/>
  <c r="U56" i="32" s="1"/>
  <c r="S54" i="32"/>
  <c r="S56" i="32" s="1"/>
  <c r="R54" i="32"/>
  <c r="R56" i="32" s="1"/>
  <c r="Q54" i="32"/>
  <c r="Q56" i="32" s="1"/>
  <c r="P54" i="32"/>
  <c r="P56" i="32" s="1"/>
  <c r="O54" i="32"/>
  <c r="O56" i="32" s="1"/>
  <c r="N54" i="32"/>
  <c r="N56" i="32" s="1"/>
  <c r="M54" i="32"/>
  <c r="M56" i="32" s="1"/>
  <c r="L54" i="32"/>
  <c r="K54" i="32"/>
  <c r="K56" i="32" s="1"/>
  <c r="G54" i="32"/>
  <c r="G56" i="32" s="1"/>
  <c r="F54" i="32"/>
  <c r="F56" i="32" s="1"/>
  <c r="E54" i="32"/>
  <c r="E56" i="32" s="1"/>
  <c r="D54" i="32"/>
  <c r="D56" i="32" s="1"/>
  <c r="C54" i="32"/>
  <c r="C56" i="32" s="1"/>
  <c r="B54" i="32"/>
  <c r="B56" i="32" s="1"/>
  <c r="A54" i="32"/>
  <c r="I46" i="32"/>
  <c r="H55" i="32" s="1"/>
  <c r="V37" i="32"/>
  <c r="T37" i="32"/>
  <c r="S37" i="32"/>
  <c r="Q37" i="32"/>
  <c r="O37" i="32"/>
  <c r="N37" i="32"/>
  <c r="I37" i="32"/>
  <c r="G37" i="32"/>
  <c r="F37" i="32"/>
  <c r="D37" i="32"/>
  <c r="B37" i="32"/>
  <c r="A37" i="32"/>
  <c r="P36" i="32"/>
  <c r="O36" i="32"/>
  <c r="N36" i="32"/>
  <c r="M36" i="32"/>
  <c r="X35" i="32"/>
  <c r="X37" i="32" s="1"/>
  <c r="W35" i="32"/>
  <c r="W37" i="32" s="1"/>
  <c r="V35" i="32"/>
  <c r="U35" i="32"/>
  <c r="U37" i="32" s="1"/>
  <c r="S35" i="32"/>
  <c r="R35" i="32"/>
  <c r="R37" i="32" s="1"/>
  <c r="Q35" i="32"/>
  <c r="P35" i="32"/>
  <c r="P37" i="32" s="1"/>
  <c r="O35" i="32"/>
  <c r="N35" i="32"/>
  <c r="M35" i="32"/>
  <c r="M37" i="32" s="1"/>
  <c r="L35" i="32"/>
  <c r="L37" i="32" s="1"/>
  <c r="K35" i="32"/>
  <c r="K37" i="32" s="1"/>
  <c r="H35" i="32"/>
  <c r="G35" i="32"/>
  <c r="F35" i="32"/>
  <c r="E35" i="32"/>
  <c r="E37" i="32" s="1"/>
  <c r="D35" i="32"/>
  <c r="C35" i="32"/>
  <c r="C37" i="32" s="1"/>
  <c r="B35" i="32"/>
  <c r="A35" i="32"/>
  <c r="I27" i="32"/>
  <c r="H36" i="32" s="1"/>
  <c r="X18" i="32"/>
  <c r="V18" i="32"/>
  <c r="U18" i="32"/>
  <c r="R18" i="32"/>
  <c r="P18" i="32"/>
  <c r="O18" i="32"/>
  <c r="L18" i="32"/>
  <c r="K18" i="32"/>
  <c r="I18" i="32"/>
  <c r="G18" i="32"/>
  <c r="B18" i="32"/>
  <c r="X16" i="32"/>
  <c r="W16" i="32"/>
  <c r="W18" i="32" s="1"/>
  <c r="V16" i="32"/>
  <c r="U16" i="32"/>
  <c r="S16" i="32"/>
  <c r="S18" i="32" s="1"/>
  <c r="R16" i="32"/>
  <c r="Q16" i="32"/>
  <c r="Q18" i="32" s="1"/>
  <c r="P16" i="32"/>
  <c r="O16" i="32"/>
  <c r="N16" i="32"/>
  <c r="N18" i="32" s="1"/>
  <c r="M16" i="32"/>
  <c r="M18" i="32" s="1"/>
  <c r="L16" i="32"/>
  <c r="K16" i="32"/>
  <c r="G16" i="32"/>
  <c r="F16" i="32"/>
  <c r="F18" i="32" s="1"/>
  <c r="E16" i="32"/>
  <c r="E18" i="32" s="1"/>
  <c r="D16" i="32"/>
  <c r="D18" i="32" s="1"/>
  <c r="C16" i="32"/>
  <c r="C18" i="32" s="1"/>
  <c r="B16" i="32"/>
  <c r="A16" i="32"/>
  <c r="A18" i="32" s="1"/>
  <c r="I8" i="32"/>
  <c r="H17" i="32" s="1"/>
  <c r="H19" i="33" l="1"/>
  <c r="G75" i="32"/>
  <c r="F75" i="32"/>
  <c r="E75" i="32"/>
  <c r="C75" i="32"/>
  <c r="H74" i="32"/>
  <c r="H73" i="32"/>
  <c r="H54" i="32"/>
  <c r="H56" i="32" s="1"/>
  <c r="H37" i="32"/>
  <c r="A56" i="32"/>
  <c r="H16" i="32"/>
  <c r="H18" i="32" s="1"/>
  <c r="H75" i="32" l="1"/>
  <c r="O77" i="31"/>
  <c r="G76" i="31"/>
  <c r="G78" i="31" s="1"/>
  <c r="U76" i="31"/>
  <c r="U78" i="31" s="1"/>
  <c r="S76" i="31"/>
  <c r="S78" i="31" s="1"/>
  <c r="Q76" i="31"/>
  <c r="Q78" i="31" s="1"/>
  <c r="A76" i="31"/>
  <c r="A78" i="31" s="1"/>
  <c r="X76" i="31"/>
  <c r="X78" i="31" s="1"/>
  <c r="W76" i="31"/>
  <c r="W78" i="31" s="1"/>
  <c r="V76" i="31"/>
  <c r="V78" i="31" s="1"/>
  <c r="R76" i="31"/>
  <c r="R78" i="31" s="1"/>
  <c r="P76" i="31"/>
  <c r="P78" i="31" s="1"/>
  <c r="O76" i="31"/>
  <c r="N76" i="31"/>
  <c r="N78" i="31" s="1"/>
  <c r="M76" i="31"/>
  <c r="M78" i="31" s="1"/>
  <c r="L76" i="31"/>
  <c r="L78" i="31" s="1"/>
  <c r="K76" i="31"/>
  <c r="K78" i="31" s="1"/>
  <c r="I78" i="31"/>
  <c r="F76" i="31"/>
  <c r="F78" i="31" s="1"/>
  <c r="E76" i="31"/>
  <c r="E78" i="31" s="1"/>
  <c r="D76" i="31"/>
  <c r="D78" i="31" s="1"/>
  <c r="C76" i="31"/>
  <c r="C78" i="31" s="1"/>
  <c r="B76" i="31"/>
  <c r="B78" i="31" s="1"/>
  <c r="I68" i="31"/>
  <c r="H77" i="31" s="1"/>
  <c r="K56" i="31"/>
  <c r="K58" i="31" s="1"/>
  <c r="B56" i="31"/>
  <c r="L56" i="31"/>
  <c r="L58" i="31" s="1"/>
  <c r="M56" i="31"/>
  <c r="N56" i="31"/>
  <c r="O56" i="31"/>
  <c r="P56" i="31"/>
  <c r="P58" i="31" s="1"/>
  <c r="Q56" i="31"/>
  <c r="R56" i="31"/>
  <c r="S56" i="31"/>
  <c r="U56" i="31"/>
  <c r="U58" i="31" s="1"/>
  <c r="V56" i="31"/>
  <c r="V58" i="31" s="1"/>
  <c r="W56" i="31"/>
  <c r="W58" i="31" s="1"/>
  <c r="X56" i="31"/>
  <c r="X58" i="31" s="1"/>
  <c r="I58" i="31"/>
  <c r="G56" i="31"/>
  <c r="G58" i="31" s="1"/>
  <c r="F56" i="31"/>
  <c r="E56" i="31"/>
  <c r="D56" i="31"/>
  <c r="C56" i="31"/>
  <c r="C58" i="31" s="1"/>
  <c r="A56" i="31"/>
  <c r="A58" i="31" s="1"/>
  <c r="I48" i="31"/>
  <c r="L37" i="31"/>
  <c r="L39" i="31" s="1"/>
  <c r="M37" i="31"/>
  <c r="M39" i="31" s="1"/>
  <c r="C37" i="31"/>
  <c r="C39" i="31" s="1"/>
  <c r="D37" i="31"/>
  <c r="E37" i="31"/>
  <c r="E39" i="31" s="1"/>
  <c r="F37" i="31"/>
  <c r="F39" i="31" s="1"/>
  <c r="G37" i="31"/>
  <c r="B37" i="31"/>
  <c r="B39" i="31" s="1"/>
  <c r="X37" i="31"/>
  <c r="W37" i="31"/>
  <c r="V37" i="31"/>
  <c r="U37" i="31"/>
  <c r="S37" i="31"/>
  <c r="R37" i="31"/>
  <c r="Q37" i="31"/>
  <c r="Q39" i="31" s="1"/>
  <c r="P37" i="31"/>
  <c r="P39" i="31" s="1"/>
  <c r="O37" i="31"/>
  <c r="N37" i="31"/>
  <c r="K37" i="31"/>
  <c r="I39" i="31"/>
  <c r="A37" i="31"/>
  <c r="I29" i="31"/>
  <c r="O78" i="31" l="1"/>
  <c r="H76" i="31"/>
  <c r="H78" i="31" s="1"/>
  <c r="Q58" i="31"/>
  <c r="D58" i="31"/>
  <c r="N58" i="31"/>
  <c r="M58" i="31"/>
  <c r="S58" i="31"/>
  <c r="O58" i="31"/>
  <c r="R58" i="31"/>
  <c r="B58" i="31"/>
  <c r="E58" i="31"/>
  <c r="F58" i="31"/>
  <c r="H57" i="31"/>
  <c r="H56" i="31"/>
  <c r="G39" i="31"/>
  <c r="V39" i="31"/>
  <c r="U39" i="31"/>
  <c r="A39" i="31"/>
  <c r="N39" i="31"/>
  <c r="R39" i="31"/>
  <c r="W39" i="31"/>
  <c r="O39" i="31"/>
  <c r="S39" i="31"/>
  <c r="K39" i="31"/>
  <c r="D39" i="31"/>
  <c r="H38" i="31"/>
  <c r="X39" i="31"/>
  <c r="H37" i="31"/>
  <c r="U19" i="31"/>
  <c r="I20" i="31"/>
  <c r="X18" i="31"/>
  <c r="W18" i="31"/>
  <c r="V18" i="31"/>
  <c r="U18" i="31"/>
  <c r="S18" i="31"/>
  <c r="S20" i="31" s="1"/>
  <c r="R18" i="31"/>
  <c r="R20" i="31" s="1"/>
  <c r="Q18" i="31"/>
  <c r="P18" i="31"/>
  <c r="O18" i="31"/>
  <c r="O20" i="31" s="1"/>
  <c r="N18" i="31"/>
  <c r="M18" i="31"/>
  <c r="L18" i="31"/>
  <c r="L20" i="31" s="1"/>
  <c r="K18" i="31"/>
  <c r="K20" i="31" s="1"/>
  <c r="G18" i="31"/>
  <c r="G20" i="31" s="1"/>
  <c r="F18" i="31"/>
  <c r="E18" i="31"/>
  <c r="D18" i="31"/>
  <c r="D20" i="31" s="1"/>
  <c r="C18" i="31"/>
  <c r="C20" i="31" s="1"/>
  <c r="B18" i="31"/>
  <c r="A18" i="31"/>
  <c r="A20" i="31" s="1"/>
  <c r="I10" i="31"/>
  <c r="H19" i="31" s="1"/>
  <c r="A113" i="30"/>
  <c r="A115" i="30" s="1"/>
  <c r="A116" i="30" s="1"/>
  <c r="X94" i="30"/>
  <c r="X95" i="30" s="1"/>
  <c r="X96" i="30" s="1"/>
  <c r="W94" i="30"/>
  <c r="V94" i="30"/>
  <c r="U94" i="30"/>
  <c r="U95" i="30" s="1"/>
  <c r="U96" i="30" s="1"/>
  <c r="S94" i="30"/>
  <c r="R94" i="30"/>
  <c r="Q94" i="30"/>
  <c r="P94" i="30"/>
  <c r="O94" i="30"/>
  <c r="O95" i="30" s="1"/>
  <c r="O96" i="30" s="1"/>
  <c r="N94" i="30"/>
  <c r="M94" i="30"/>
  <c r="M95" i="30" s="1"/>
  <c r="L94" i="30"/>
  <c r="L96" i="30" s="1"/>
  <c r="K94" i="30"/>
  <c r="I96" i="30"/>
  <c r="G94" i="30"/>
  <c r="G95" i="30" s="1"/>
  <c r="F94" i="30"/>
  <c r="E94" i="30"/>
  <c r="D94" i="30"/>
  <c r="D95" i="30" s="1"/>
  <c r="C94" i="30"/>
  <c r="B94" i="30"/>
  <c r="B95" i="30" s="1"/>
  <c r="A94" i="30"/>
  <c r="I86" i="30"/>
  <c r="X75" i="30"/>
  <c r="X77" i="30" s="1"/>
  <c r="W75" i="30"/>
  <c r="W77" i="30" s="1"/>
  <c r="V75" i="30"/>
  <c r="V77" i="30" s="1"/>
  <c r="U75" i="30"/>
  <c r="U77" i="30" s="1"/>
  <c r="S75" i="30"/>
  <c r="S77" i="30" s="1"/>
  <c r="R75" i="30"/>
  <c r="R77" i="30" s="1"/>
  <c r="Q75" i="30"/>
  <c r="Q77" i="30" s="1"/>
  <c r="P75" i="30"/>
  <c r="P77" i="30" s="1"/>
  <c r="O75" i="30"/>
  <c r="O77" i="30" s="1"/>
  <c r="N75" i="30"/>
  <c r="N77" i="30" s="1"/>
  <c r="M75" i="30"/>
  <c r="M77" i="30" s="1"/>
  <c r="L75" i="30"/>
  <c r="L77" i="30" s="1"/>
  <c r="K75" i="30"/>
  <c r="K77" i="30" s="1"/>
  <c r="I77" i="30"/>
  <c r="G75" i="30"/>
  <c r="G77" i="30" s="1"/>
  <c r="F75" i="30"/>
  <c r="F77" i="30" s="1"/>
  <c r="E75" i="30"/>
  <c r="E77" i="30" s="1"/>
  <c r="D75" i="30"/>
  <c r="D77" i="30" s="1"/>
  <c r="C75" i="30"/>
  <c r="C77" i="30" s="1"/>
  <c r="B75" i="30"/>
  <c r="B77" i="30" s="1"/>
  <c r="A75" i="30"/>
  <c r="A77" i="30" s="1"/>
  <c r="I67" i="30"/>
  <c r="L113" i="30"/>
  <c r="L115" i="30" s="1"/>
  <c r="K113" i="30"/>
  <c r="K115" i="30" s="1"/>
  <c r="I57" i="30"/>
  <c r="G55" i="30"/>
  <c r="G57" i="30" s="1"/>
  <c r="F55" i="30"/>
  <c r="F57" i="30" s="1"/>
  <c r="E55" i="30"/>
  <c r="E57" i="30" s="1"/>
  <c r="D55" i="30"/>
  <c r="D57" i="30" s="1"/>
  <c r="C55" i="30"/>
  <c r="C57" i="30" s="1"/>
  <c r="B55" i="30"/>
  <c r="B57" i="30" s="1"/>
  <c r="A55" i="30"/>
  <c r="A57" i="30" s="1"/>
  <c r="I47" i="30"/>
  <c r="X55" i="30"/>
  <c r="X57" i="30" s="1"/>
  <c r="W55" i="30"/>
  <c r="W57" i="30" s="1"/>
  <c r="V55" i="30"/>
  <c r="V57" i="30" s="1"/>
  <c r="U55" i="30"/>
  <c r="U57" i="30" s="1"/>
  <c r="S55" i="30"/>
  <c r="S57" i="30" s="1"/>
  <c r="R55" i="30"/>
  <c r="R57" i="30" s="1"/>
  <c r="Q55" i="30"/>
  <c r="Q57" i="30" s="1"/>
  <c r="P55" i="30"/>
  <c r="P57" i="30" s="1"/>
  <c r="O55" i="30"/>
  <c r="O57" i="30" s="1"/>
  <c r="N55" i="30"/>
  <c r="N57" i="30" s="1"/>
  <c r="M55" i="30"/>
  <c r="M57" i="30" s="1"/>
  <c r="L55" i="30"/>
  <c r="L57" i="30" s="1"/>
  <c r="K55" i="30"/>
  <c r="K57" i="30" s="1"/>
  <c r="I38" i="30"/>
  <c r="G36" i="30"/>
  <c r="G38" i="30" s="1"/>
  <c r="F36" i="30"/>
  <c r="F38" i="30" s="1"/>
  <c r="E36" i="30"/>
  <c r="E38" i="30" s="1"/>
  <c r="D36" i="30"/>
  <c r="D38" i="30" s="1"/>
  <c r="C36" i="30"/>
  <c r="C38" i="30" s="1"/>
  <c r="B36" i="30"/>
  <c r="B38" i="30" s="1"/>
  <c r="A36" i="30"/>
  <c r="A38" i="30" s="1"/>
  <c r="I28" i="30"/>
  <c r="X36" i="30"/>
  <c r="X38" i="30" s="1"/>
  <c r="W36" i="30"/>
  <c r="W38" i="30" s="1"/>
  <c r="V36" i="30"/>
  <c r="V38" i="30" s="1"/>
  <c r="U36" i="30"/>
  <c r="U38" i="30" s="1"/>
  <c r="S36" i="30"/>
  <c r="S38" i="30" s="1"/>
  <c r="R36" i="30"/>
  <c r="R38" i="30" s="1"/>
  <c r="Q36" i="30"/>
  <c r="Q38" i="30" s="1"/>
  <c r="P36" i="30"/>
  <c r="P38" i="30" s="1"/>
  <c r="O36" i="30"/>
  <c r="O38" i="30" s="1"/>
  <c r="N36" i="30"/>
  <c r="N38" i="30" s="1"/>
  <c r="M36" i="30"/>
  <c r="M38" i="30" s="1"/>
  <c r="L36" i="30"/>
  <c r="L38" i="30" s="1"/>
  <c r="K36" i="30"/>
  <c r="K38" i="30" s="1"/>
  <c r="A17" i="30"/>
  <c r="A19" i="30" s="1"/>
  <c r="X17" i="30"/>
  <c r="X19" i="30" s="1"/>
  <c r="W17" i="30"/>
  <c r="W19" i="30" s="1"/>
  <c r="V17" i="30"/>
  <c r="V19" i="30" s="1"/>
  <c r="U17" i="30"/>
  <c r="U19" i="30" s="1"/>
  <c r="S17" i="30"/>
  <c r="S19" i="30" s="1"/>
  <c r="R17" i="30"/>
  <c r="R19" i="30" s="1"/>
  <c r="Q17" i="30"/>
  <c r="Q19" i="30" s="1"/>
  <c r="P17" i="30"/>
  <c r="P19" i="30" s="1"/>
  <c r="O17" i="30"/>
  <c r="O19" i="30" s="1"/>
  <c r="N17" i="30"/>
  <c r="N19" i="30" s="1"/>
  <c r="M17" i="30"/>
  <c r="M19" i="30" s="1"/>
  <c r="L17" i="30"/>
  <c r="L19" i="30" s="1"/>
  <c r="K17" i="30"/>
  <c r="K19" i="30" s="1"/>
  <c r="I19" i="30"/>
  <c r="G17" i="30"/>
  <c r="G19" i="30" s="1"/>
  <c r="F17" i="30"/>
  <c r="F19" i="30" s="1"/>
  <c r="E17" i="30"/>
  <c r="E19" i="30" s="1"/>
  <c r="D17" i="30"/>
  <c r="D19" i="30" s="1"/>
  <c r="C17" i="30"/>
  <c r="C19" i="30" s="1"/>
  <c r="B17" i="30"/>
  <c r="B19" i="30" s="1"/>
  <c r="I9" i="30"/>
  <c r="S75" i="28"/>
  <c r="S77" i="28" s="1"/>
  <c r="H58" i="31" l="1"/>
  <c r="H39" i="31"/>
  <c r="X19" i="31"/>
  <c r="X20" i="31" s="1"/>
  <c r="W20" i="31"/>
  <c r="N20" i="31"/>
  <c r="H18" i="31"/>
  <c r="H20" i="31" s="1"/>
  <c r="P20" i="31"/>
  <c r="B20" i="31"/>
  <c r="U20" i="31"/>
  <c r="M20" i="31"/>
  <c r="V20" i="31"/>
  <c r="E20" i="31"/>
  <c r="F20" i="31"/>
  <c r="Q20" i="31"/>
  <c r="F95" i="30"/>
  <c r="F96" i="30" s="1"/>
  <c r="P95" i="30"/>
  <c r="P96" i="30" s="1"/>
  <c r="V96" i="30"/>
  <c r="C95" i="30"/>
  <c r="C96" i="30" s="1"/>
  <c r="Q95" i="30"/>
  <c r="Q96" i="30" s="1"/>
  <c r="V95" i="30"/>
  <c r="R96" i="30"/>
  <c r="N95" i="30"/>
  <c r="N96" i="30" s="1"/>
  <c r="R95" i="30"/>
  <c r="W95" i="30"/>
  <c r="W96" i="30" s="1"/>
  <c r="E95" i="30"/>
  <c r="E96" i="30" s="1"/>
  <c r="K96" i="30"/>
  <c r="S95" i="30"/>
  <c r="S96" i="30" s="1"/>
  <c r="M96" i="30"/>
  <c r="G96" i="30"/>
  <c r="D96" i="30"/>
  <c r="B96" i="30"/>
  <c r="H94" i="30"/>
  <c r="H75" i="30"/>
  <c r="H76" i="30" s="1"/>
  <c r="H77" i="30" s="1"/>
  <c r="H55" i="30"/>
  <c r="H36" i="30"/>
  <c r="H37" i="30" s="1"/>
  <c r="H38" i="30" s="1"/>
  <c r="H17" i="30"/>
  <c r="F75" i="28"/>
  <c r="F77" i="28" s="1"/>
  <c r="E75" i="28"/>
  <c r="E77" i="28" s="1"/>
  <c r="C75" i="28"/>
  <c r="D75" i="28"/>
  <c r="D77" i="28" s="1"/>
  <c r="B75" i="28"/>
  <c r="B77" i="28" s="1"/>
  <c r="O77" i="28"/>
  <c r="X75" i="28"/>
  <c r="X77" i="28" s="1"/>
  <c r="W75" i="28"/>
  <c r="W77" i="28" s="1"/>
  <c r="V75" i="28"/>
  <c r="V77" i="28" s="1"/>
  <c r="U75" i="28"/>
  <c r="U77" i="28" s="1"/>
  <c r="R75" i="28"/>
  <c r="R77" i="28" s="1"/>
  <c r="Q75" i="28"/>
  <c r="Q77" i="28" s="1"/>
  <c r="P75" i="28"/>
  <c r="P77" i="28" s="1"/>
  <c r="O75" i="28"/>
  <c r="N75" i="28"/>
  <c r="N77" i="28" s="1"/>
  <c r="M75" i="28"/>
  <c r="M77" i="28" s="1"/>
  <c r="L75" i="28"/>
  <c r="L77" i="28" s="1"/>
  <c r="K75" i="28"/>
  <c r="K77" i="28" s="1"/>
  <c r="I77" i="28"/>
  <c r="G75" i="28"/>
  <c r="G77" i="28" s="1"/>
  <c r="C77" i="28"/>
  <c r="A75" i="28"/>
  <c r="A77" i="28" s="1"/>
  <c r="I67" i="28"/>
  <c r="H95" i="30" l="1"/>
  <c r="H96" i="30" s="1"/>
  <c r="A96" i="30"/>
  <c r="H18" i="30"/>
  <c r="H19" i="30" s="1"/>
  <c r="H56" i="30"/>
  <c r="H57" i="30" s="1"/>
  <c r="H75" i="28"/>
  <c r="H76" i="28" s="1"/>
  <c r="H77" i="28" s="1"/>
  <c r="X56" i="28"/>
  <c r="X58" i="28" s="1"/>
  <c r="W56" i="28"/>
  <c r="W58" i="28" s="1"/>
  <c r="V56" i="28"/>
  <c r="V58" i="28" s="1"/>
  <c r="U56" i="28"/>
  <c r="U58" i="28" s="1"/>
  <c r="T56" i="28"/>
  <c r="T58" i="28" s="1"/>
  <c r="S56" i="28"/>
  <c r="S58" i="28" s="1"/>
  <c r="R56" i="28"/>
  <c r="R58" i="28" s="1"/>
  <c r="Q56" i="28"/>
  <c r="Q58" i="28" s="1"/>
  <c r="P56" i="28"/>
  <c r="O56" i="28"/>
  <c r="N56" i="28"/>
  <c r="M56" i="28"/>
  <c r="L56" i="28"/>
  <c r="K56" i="28"/>
  <c r="I58" i="28"/>
  <c r="G56" i="28"/>
  <c r="F56" i="28"/>
  <c r="E56" i="28"/>
  <c r="D56" i="28"/>
  <c r="C56" i="28"/>
  <c r="B56" i="28"/>
  <c r="B58" i="28" s="1"/>
  <c r="A56" i="28"/>
  <c r="I48" i="28"/>
  <c r="Q37" i="28"/>
  <c r="Q39" i="28" s="1"/>
  <c r="A37" i="28"/>
  <c r="A39" i="28" s="1"/>
  <c r="B37" i="28"/>
  <c r="B39" i="28" s="1"/>
  <c r="C37" i="28"/>
  <c r="C39" i="28" s="1"/>
  <c r="D37" i="28"/>
  <c r="D39" i="28" s="1"/>
  <c r="E37" i="28"/>
  <c r="E39" i="28" s="1"/>
  <c r="F37" i="28"/>
  <c r="G37" i="28"/>
  <c r="G39" i="28" s="1"/>
  <c r="X37" i="28"/>
  <c r="X39" i="28" s="1"/>
  <c r="W37" i="28"/>
  <c r="W39" i="28" s="1"/>
  <c r="V37" i="28"/>
  <c r="V39" i="28" s="1"/>
  <c r="U37" i="28"/>
  <c r="U39" i="28" s="1"/>
  <c r="T37" i="28"/>
  <c r="T39" i="28" s="1"/>
  <c r="S37" i="28"/>
  <c r="S39" i="28" s="1"/>
  <c r="R37" i="28"/>
  <c r="R39" i="28" s="1"/>
  <c r="P37" i="28"/>
  <c r="P39" i="28" s="1"/>
  <c r="O37" i="28"/>
  <c r="O39" i="28" s="1"/>
  <c r="N37" i="28"/>
  <c r="N39" i="28" s="1"/>
  <c r="M37" i="28"/>
  <c r="M39" i="28" s="1"/>
  <c r="L37" i="28"/>
  <c r="L39" i="28" s="1"/>
  <c r="K37" i="28"/>
  <c r="K39" i="28" s="1"/>
  <c r="I39" i="28"/>
  <c r="F39" i="28"/>
  <c r="I29" i="28"/>
  <c r="I19" i="28"/>
  <c r="X17" i="28"/>
  <c r="X19" i="28" s="1"/>
  <c r="W17" i="28"/>
  <c r="W19" i="28" s="1"/>
  <c r="V17" i="28"/>
  <c r="V19" i="28" s="1"/>
  <c r="U17" i="28"/>
  <c r="U19" i="28" s="1"/>
  <c r="T17" i="28"/>
  <c r="T19" i="28" s="1"/>
  <c r="S17" i="28"/>
  <c r="S19" i="28" s="1"/>
  <c r="R17" i="28"/>
  <c r="R19" i="28" s="1"/>
  <c r="Q17" i="28"/>
  <c r="Q19" i="28" s="1"/>
  <c r="P17" i="28"/>
  <c r="P19" i="28" s="1"/>
  <c r="O17" i="28"/>
  <c r="O19" i="28" s="1"/>
  <c r="N17" i="28"/>
  <c r="N19" i="28" s="1"/>
  <c r="M17" i="28"/>
  <c r="M19" i="28" s="1"/>
  <c r="L17" i="28"/>
  <c r="L19" i="28" s="1"/>
  <c r="K17" i="28"/>
  <c r="K19" i="28" s="1"/>
  <c r="G17" i="28"/>
  <c r="G19" i="28" s="1"/>
  <c r="F17" i="28"/>
  <c r="F19" i="28" s="1"/>
  <c r="E17" i="28"/>
  <c r="E19" i="28" s="1"/>
  <c r="D17" i="28"/>
  <c r="D19" i="28" s="1"/>
  <c r="C17" i="28"/>
  <c r="C19" i="28" s="1"/>
  <c r="B17" i="28"/>
  <c r="B19" i="28" s="1"/>
  <c r="A17" i="28"/>
  <c r="A19" i="28" s="1"/>
  <c r="I9" i="28"/>
  <c r="I96" i="29"/>
  <c r="X94" i="29"/>
  <c r="X96" i="29" s="1"/>
  <c r="W94" i="29"/>
  <c r="W96" i="29" s="1"/>
  <c r="V94" i="29"/>
  <c r="V96" i="29" s="1"/>
  <c r="U94" i="29"/>
  <c r="U96" i="29" s="1"/>
  <c r="T94" i="29"/>
  <c r="T96" i="29" s="1"/>
  <c r="S94" i="29"/>
  <c r="S96" i="29" s="1"/>
  <c r="R94" i="29"/>
  <c r="R96" i="29" s="1"/>
  <c r="Q94" i="29"/>
  <c r="Q96" i="29" s="1"/>
  <c r="P94" i="29"/>
  <c r="P96" i="29" s="1"/>
  <c r="O94" i="29"/>
  <c r="O96" i="29" s="1"/>
  <c r="N94" i="29"/>
  <c r="N96" i="29" s="1"/>
  <c r="M94" i="29"/>
  <c r="M96" i="29" s="1"/>
  <c r="L94" i="29"/>
  <c r="L96" i="29" s="1"/>
  <c r="K94" i="29"/>
  <c r="K96" i="29" s="1"/>
  <c r="G94" i="29"/>
  <c r="G96" i="29" s="1"/>
  <c r="F94" i="29"/>
  <c r="F96" i="29" s="1"/>
  <c r="E94" i="29"/>
  <c r="E96" i="29" s="1"/>
  <c r="D94" i="29"/>
  <c r="D96" i="29" s="1"/>
  <c r="C94" i="29"/>
  <c r="C96" i="29" s="1"/>
  <c r="B94" i="29"/>
  <c r="B96" i="29" s="1"/>
  <c r="A94" i="29"/>
  <c r="A96" i="29" s="1"/>
  <c r="I86" i="29"/>
  <c r="I67" i="29"/>
  <c r="K75" i="29"/>
  <c r="K77" i="29" s="1"/>
  <c r="L75" i="29"/>
  <c r="L77" i="29" s="1"/>
  <c r="M75" i="29"/>
  <c r="M77" i="29" s="1"/>
  <c r="N75" i="29"/>
  <c r="B75" i="29"/>
  <c r="B77" i="29" s="1"/>
  <c r="C75" i="29"/>
  <c r="C77" i="29" s="1"/>
  <c r="D75" i="29"/>
  <c r="D77" i="29" s="1"/>
  <c r="E75" i="29"/>
  <c r="F75" i="29"/>
  <c r="F77" i="29" s="1"/>
  <c r="G75" i="29"/>
  <c r="G77" i="29" s="1"/>
  <c r="X75" i="29"/>
  <c r="X77" i="29" s="1"/>
  <c r="W75" i="29"/>
  <c r="W77" i="29" s="1"/>
  <c r="V75" i="29"/>
  <c r="U75" i="29"/>
  <c r="U77" i="29" s="1"/>
  <c r="T75" i="29"/>
  <c r="T77" i="29" s="1"/>
  <c r="S75" i="29"/>
  <c r="R75" i="29"/>
  <c r="Q75" i="29"/>
  <c r="P75" i="29"/>
  <c r="P77" i="29" s="1"/>
  <c r="O75" i="29"/>
  <c r="N77" i="29"/>
  <c r="I77" i="29"/>
  <c r="A75" i="29"/>
  <c r="G56" i="29"/>
  <c r="G58" i="29" s="1"/>
  <c r="X56" i="29"/>
  <c r="X58" i="29" s="1"/>
  <c r="W56" i="29"/>
  <c r="W58" i="29"/>
  <c r="V56" i="29"/>
  <c r="V58" i="29" s="1"/>
  <c r="U56" i="29"/>
  <c r="U58" i="29" s="1"/>
  <c r="T56" i="29"/>
  <c r="S56" i="29"/>
  <c r="S58" i="29" s="1"/>
  <c r="R56" i="29"/>
  <c r="R58" i="29"/>
  <c r="Q56" i="29"/>
  <c r="Q58" i="29"/>
  <c r="P56" i="29"/>
  <c r="P58" i="29" s="1"/>
  <c r="O56" i="29"/>
  <c r="O58" i="29" s="1"/>
  <c r="N56" i="29"/>
  <c r="N58" i="29"/>
  <c r="M56" i="29"/>
  <c r="M58" i="29"/>
  <c r="L56" i="29"/>
  <c r="L58" i="29"/>
  <c r="K56" i="29"/>
  <c r="K58" i="29"/>
  <c r="I58" i="29"/>
  <c r="F56" i="29"/>
  <c r="F58" i="29" s="1"/>
  <c r="E56" i="29"/>
  <c r="E58" i="29" s="1"/>
  <c r="D56" i="29"/>
  <c r="D58" i="29" s="1"/>
  <c r="C56" i="29"/>
  <c r="C58" i="29" s="1"/>
  <c r="B56" i="29"/>
  <c r="B58" i="29"/>
  <c r="A56" i="29"/>
  <c r="A58" i="29"/>
  <c r="I48" i="29"/>
  <c r="P38" i="29"/>
  <c r="O38" i="29"/>
  <c r="N38" i="29"/>
  <c r="L38" i="29"/>
  <c r="K38" i="29"/>
  <c r="I38" i="29"/>
  <c r="B38" i="29"/>
  <c r="X36" i="29"/>
  <c r="W36" i="29"/>
  <c r="W38" i="29"/>
  <c r="V36" i="29"/>
  <c r="V38" i="29"/>
  <c r="U36" i="29"/>
  <c r="T36" i="29"/>
  <c r="T37" i="29"/>
  <c r="T38" i="29"/>
  <c r="S36" i="29"/>
  <c r="S38" i="29"/>
  <c r="R36" i="29"/>
  <c r="R38" i="29"/>
  <c r="Q36" i="29"/>
  <c r="Q38" i="29"/>
  <c r="P36" i="29"/>
  <c r="O36" i="29"/>
  <c r="N36" i="29"/>
  <c r="M36" i="29"/>
  <c r="M38" i="29"/>
  <c r="L36" i="29"/>
  <c r="K36" i="29"/>
  <c r="G36" i="29"/>
  <c r="F36" i="29"/>
  <c r="F38" i="29"/>
  <c r="E36" i="29"/>
  <c r="E38" i="29"/>
  <c r="D36" i="29"/>
  <c r="D38" i="29"/>
  <c r="C36" i="29"/>
  <c r="C38" i="29"/>
  <c r="B36" i="29"/>
  <c r="A36" i="29"/>
  <c r="A38" i="29"/>
  <c r="I28" i="29"/>
  <c r="AA19" i="29"/>
  <c r="Y19" i="29"/>
  <c r="X19" i="29"/>
  <c r="W19" i="29"/>
  <c r="U19" i="29"/>
  <c r="T19" i="29"/>
  <c r="S19" i="29"/>
  <c r="Q19" i="29"/>
  <c r="P19" i="29"/>
  <c r="O19" i="29"/>
  <c r="M19" i="29"/>
  <c r="L19" i="29"/>
  <c r="J19" i="29"/>
  <c r="G19" i="29"/>
  <c r="F19" i="29"/>
  <c r="C19" i="29"/>
  <c r="B19" i="29"/>
  <c r="AA17" i="29"/>
  <c r="Z17" i="29"/>
  <c r="Z19" i="29"/>
  <c r="Y17" i="29"/>
  <c r="X17" i="29"/>
  <c r="W17" i="29"/>
  <c r="V17" i="29"/>
  <c r="V19" i="29"/>
  <c r="U17" i="29"/>
  <c r="T17" i="29"/>
  <c r="S17" i="29"/>
  <c r="R17" i="29"/>
  <c r="R19" i="29"/>
  <c r="Q17" i="29"/>
  <c r="P17" i="29"/>
  <c r="O17" i="29"/>
  <c r="N17" i="29"/>
  <c r="N19" i="29"/>
  <c r="M17" i="29"/>
  <c r="L17" i="29"/>
  <c r="H17" i="29"/>
  <c r="H19" i="29"/>
  <c r="G17" i="29"/>
  <c r="F17" i="29"/>
  <c r="E17" i="29"/>
  <c r="E19" i="29"/>
  <c r="D17" i="29"/>
  <c r="D19" i="29"/>
  <c r="C17" i="29"/>
  <c r="B17" i="29"/>
  <c r="A17" i="29"/>
  <c r="A19" i="29"/>
  <c r="J9" i="29"/>
  <c r="I17" i="29"/>
  <c r="D4" i="29"/>
  <c r="Q113" i="27"/>
  <c r="Q115" i="27"/>
  <c r="M113" i="27"/>
  <c r="L115" i="27"/>
  <c r="A113" i="27"/>
  <c r="A115" i="27"/>
  <c r="G114" i="27"/>
  <c r="S114" i="27"/>
  <c r="W114" i="27"/>
  <c r="L113" i="27"/>
  <c r="D114" i="27"/>
  <c r="X113" i="27"/>
  <c r="X114" i="27"/>
  <c r="W113" i="27"/>
  <c r="V113" i="27"/>
  <c r="U113" i="27"/>
  <c r="T113" i="27"/>
  <c r="T114" i="27"/>
  <c r="S113" i="27"/>
  <c r="R113" i="27"/>
  <c r="P113" i="27"/>
  <c r="P115" i="27"/>
  <c r="O113" i="27"/>
  <c r="N113" i="27"/>
  <c r="K113" i="27"/>
  <c r="K115" i="27"/>
  <c r="I115" i="27"/>
  <c r="G113" i="27"/>
  <c r="F113" i="27"/>
  <c r="E113" i="27"/>
  <c r="E114" i="27"/>
  <c r="D113" i="27"/>
  <c r="C113" i="27"/>
  <c r="B113" i="27"/>
  <c r="I105" i="27"/>
  <c r="K75" i="27"/>
  <c r="L75" i="27"/>
  <c r="L77" i="27"/>
  <c r="M75" i="27"/>
  <c r="N75" i="27"/>
  <c r="N77" i="27"/>
  <c r="O75" i="27"/>
  <c r="O77" i="27"/>
  <c r="P75" i="27"/>
  <c r="P77" i="27"/>
  <c r="Q75" i="27"/>
  <c r="Q77" i="27"/>
  <c r="R75" i="27"/>
  <c r="R77" i="27"/>
  <c r="S75" i="27"/>
  <c r="K77" i="27"/>
  <c r="M77" i="27"/>
  <c r="S77" i="27"/>
  <c r="D81" i="27"/>
  <c r="AA94" i="27"/>
  <c r="AA96" i="27"/>
  <c r="Z94" i="27"/>
  <c r="Z96" i="27"/>
  <c r="H94" i="27"/>
  <c r="H96" i="27"/>
  <c r="E94" i="27"/>
  <c r="F94" i="27"/>
  <c r="I77" i="27"/>
  <c r="X75" i="27"/>
  <c r="X77" i="27"/>
  <c r="W75" i="27"/>
  <c r="W77" i="27"/>
  <c r="V75" i="27"/>
  <c r="V77" i="27"/>
  <c r="U75" i="27"/>
  <c r="T75" i="27"/>
  <c r="T77" i="27"/>
  <c r="G75" i="27"/>
  <c r="G77" i="27"/>
  <c r="F75" i="27"/>
  <c r="F77" i="27"/>
  <c r="E75" i="27"/>
  <c r="E77" i="27"/>
  <c r="D75" i="27"/>
  <c r="D77" i="27"/>
  <c r="C75" i="27"/>
  <c r="C77" i="27"/>
  <c r="B75" i="27"/>
  <c r="B77" i="27"/>
  <c r="A75" i="27"/>
  <c r="A77" i="27"/>
  <c r="I67" i="27"/>
  <c r="T58" i="29"/>
  <c r="X38" i="29"/>
  <c r="X37" i="29"/>
  <c r="H36" i="29"/>
  <c r="H37" i="29"/>
  <c r="H38" i="29"/>
  <c r="I18" i="29"/>
  <c r="I19" i="29"/>
  <c r="U38" i="29"/>
  <c r="G38" i="29"/>
  <c r="U115" i="27"/>
  <c r="N115" i="27"/>
  <c r="M115" i="27"/>
  <c r="V114" i="27"/>
  <c r="V115" i="27"/>
  <c r="R114" i="27"/>
  <c r="R115" i="27"/>
  <c r="F114" i="27"/>
  <c r="F115" i="27"/>
  <c r="U114" i="27"/>
  <c r="D115" i="27"/>
  <c r="B115" i="27"/>
  <c r="O115" i="27"/>
  <c r="S115" i="27"/>
  <c r="T115" i="27"/>
  <c r="X115" i="27"/>
  <c r="W115" i="27"/>
  <c r="C115" i="27"/>
  <c r="G115" i="27"/>
  <c r="E115" i="27"/>
  <c r="H113" i="27"/>
  <c r="H75" i="27"/>
  <c r="H76" i="27"/>
  <c r="H77" i="27"/>
  <c r="U76" i="27"/>
  <c r="U77" i="27"/>
  <c r="H114" i="27"/>
  <c r="H115" i="27"/>
  <c r="B94" i="27"/>
  <c r="C94" i="27"/>
  <c r="D94" i="27"/>
  <c r="J86" i="27"/>
  <c r="B96" i="27"/>
  <c r="C96" i="27"/>
  <c r="Y94" i="27"/>
  <c r="X94" i="27"/>
  <c r="W94" i="27"/>
  <c r="V94" i="27"/>
  <c r="U94" i="27"/>
  <c r="T94" i="27"/>
  <c r="S94" i="27"/>
  <c r="R94" i="27"/>
  <c r="Q94" i="27"/>
  <c r="P94" i="27"/>
  <c r="O94" i="27"/>
  <c r="O96" i="27"/>
  <c r="N94" i="27"/>
  <c r="N96" i="27"/>
  <c r="M94" i="27"/>
  <c r="L94" i="27"/>
  <c r="J96" i="27"/>
  <c r="G94" i="27"/>
  <c r="D96" i="27"/>
  <c r="A94" i="27"/>
  <c r="X56" i="27"/>
  <c r="X58" i="27"/>
  <c r="W56" i="27"/>
  <c r="W58" i="27"/>
  <c r="V56" i="27"/>
  <c r="V58" i="27"/>
  <c r="U56" i="27"/>
  <c r="U58" i="27"/>
  <c r="T56" i="27"/>
  <c r="T58" i="27"/>
  <c r="S56" i="27"/>
  <c r="S58" i="27"/>
  <c r="R56" i="27"/>
  <c r="R58" i="27"/>
  <c r="Q56" i="27"/>
  <c r="Q58" i="27"/>
  <c r="P56" i="27"/>
  <c r="P58" i="27"/>
  <c r="O56" i="27"/>
  <c r="O58" i="27"/>
  <c r="N56" i="27"/>
  <c r="N58" i="27"/>
  <c r="M56" i="27"/>
  <c r="M58" i="27"/>
  <c r="L56" i="27"/>
  <c r="L58" i="27"/>
  <c r="K56" i="27"/>
  <c r="K58" i="27"/>
  <c r="I58" i="27"/>
  <c r="G56" i="27"/>
  <c r="G58" i="27"/>
  <c r="F56" i="27"/>
  <c r="F58" i="27"/>
  <c r="E56" i="27"/>
  <c r="E58" i="27"/>
  <c r="D56" i="27"/>
  <c r="D58" i="27"/>
  <c r="C56" i="27"/>
  <c r="C58" i="27"/>
  <c r="B56" i="27"/>
  <c r="B58" i="27"/>
  <c r="A56" i="27"/>
  <c r="A58" i="27"/>
  <c r="I48" i="27"/>
  <c r="L36" i="27"/>
  <c r="L38" i="27"/>
  <c r="M36" i="27"/>
  <c r="N36" i="27"/>
  <c r="N38" i="27"/>
  <c r="O36" i="27"/>
  <c r="O38" i="27"/>
  <c r="P36" i="27"/>
  <c r="P38" i="27"/>
  <c r="Q36" i="27"/>
  <c r="R36" i="27"/>
  <c r="R38" i="27"/>
  <c r="S36" i="27"/>
  <c r="S38" i="27"/>
  <c r="T36" i="27"/>
  <c r="T38" i="27"/>
  <c r="U36" i="27"/>
  <c r="V36" i="27"/>
  <c r="V38" i="27"/>
  <c r="W36" i="27"/>
  <c r="X36" i="27"/>
  <c r="X38" i="27"/>
  <c r="B36" i="27"/>
  <c r="I28" i="27"/>
  <c r="K36" i="27"/>
  <c r="I38" i="27"/>
  <c r="G36" i="27"/>
  <c r="F36" i="27"/>
  <c r="F38" i="27"/>
  <c r="E36" i="27"/>
  <c r="E38" i="27"/>
  <c r="D36" i="27"/>
  <c r="C36" i="27"/>
  <c r="A36" i="27"/>
  <c r="A38" i="27"/>
  <c r="I19" i="27"/>
  <c r="X17" i="27"/>
  <c r="X19" i="27"/>
  <c r="W17" i="27"/>
  <c r="W19" i="27"/>
  <c r="V17" i="27"/>
  <c r="V19" i="27"/>
  <c r="U17" i="27"/>
  <c r="U19" i="27"/>
  <c r="T17" i="27"/>
  <c r="T19" i="27"/>
  <c r="S17" i="27"/>
  <c r="S19" i="27"/>
  <c r="R17" i="27"/>
  <c r="R19" i="27"/>
  <c r="Q17" i="27"/>
  <c r="Q19" i="27"/>
  <c r="P17" i="27"/>
  <c r="P19" i="27"/>
  <c r="O17" i="27"/>
  <c r="O19" i="27"/>
  <c r="N17" i="27"/>
  <c r="N19" i="27"/>
  <c r="M17" i="27"/>
  <c r="M19" i="27"/>
  <c r="L17" i="27"/>
  <c r="L19" i="27"/>
  <c r="K17" i="27"/>
  <c r="K19" i="27"/>
  <c r="G17" i="27"/>
  <c r="G19" i="27"/>
  <c r="F17" i="27"/>
  <c r="F19" i="27"/>
  <c r="E17" i="27"/>
  <c r="E19" i="27"/>
  <c r="D17" i="27"/>
  <c r="D19" i="27"/>
  <c r="C17" i="27"/>
  <c r="C19" i="27"/>
  <c r="B17" i="27"/>
  <c r="B19" i="27"/>
  <c r="A17" i="27"/>
  <c r="A19" i="27"/>
  <c r="I9" i="27"/>
  <c r="X74" i="26"/>
  <c r="X76" i="26"/>
  <c r="W74" i="26"/>
  <c r="V74" i="26"/>
  <c r="V76" i="26"/>
  <c r="U74" i="26"/>
  <c r="U76" i="26"/>
  <c r="T74" i="26"/>
  <c r="T76" i="26"/>
  <c r="S74" i="26"/>
  <c r="R74" i="26"/>
  <c r="R76" i="26"/>
  <c r="Q74" i="26"/>
  <c r="P74" i="26"/>
  <c r="P76" i="26"/>
  <c r="O74" i="26"/>
  <c r="N74" i="26"/>
  <c r="N76" i="26"/>
  <c r="M74" i="26"/>
  <c r="L74" i="26"/>
  <c r="L76" i="26"/>
  <c r="K74" i="26"/>
  <c r="I76" i="26"/>
  <c r="G74" i="26"/>
  <c r="F74" i="26"/>
  <c r="F76" i="26"/>
  <c r="E74" i="26"/>
  <c r="E76" i="26"/>
  <c r="D74" i="26"/>
  <c r="C74" i="26"/>
  <c r="B74" i="26"/>
  <c r="B76" i="26"/>
  <c r="A74" i="26"/>
  <c r="I66" i="26"/>
  <c r="I57" i="26"/>
  <c r="X55" i="26"/>
  <c r="X57" i="26"/>
  <c r="W55" i="26"/>
  <c r="W57" i="26"/>
  <c r="V55" i="26"/>
  <c r="V57" i="26"/>
  <c r="U55" i="26"/>
  <c r="U57" i="26"/>
  <c r="T55" i="26"/>
  <c r="T57" i="26"/>
  <c r="S55" i="26"/>
  <c r="S57" i="26"/>
  <c r="R55" i="26"/>
  <c r="R57" i="26"/>
  <c r="Q55" i="26"/>
  <c r="Q57" i="26"/>
  <c r="P55" i="26"/>
  <c r="P57" i="26"/>
  <c r="O55" i="26"/>
  <c r="O57" i="26"/>
  <c r="N55" i="26"/>
  <c r="N57" i="26"/>
  <c r="M55" i="26"/>
  <c r="M57" i="26"/>
  <c r="L55" i="26"/>
  <c r="L57" i="26"/>
  <c r="K55" i="26"/>
  <c r="K57" i="26"/>
  <c r="G55" i="26"/>
  <c r="G57" i="26"/>
  <c r="F55" i="26"/>
  <c r="F57" i="26"/>
  <c r="E55" i="26"/>
  <c r="E57" i="26"/>
  <c r="D55" i="26"/>
  <c r="D57" i="26"/>
  <c r="C55" i="26"/>
  <c r="C57" i="26"/>
  <c r="B55" i="26"/>
  <c r="B57" i="26"/>
  <c r="A55" i="26"/>
  <c r="A57" i="26"/>
  <c r="I47" i="26"/>
  <c r="A36" i="26"/>
  <c r="A38" i="26"/>
  <c r="X36" i="26"/>
  <c r="X38" i="26"/>
  <c r="W36" i="26"/>
  <c r="W38" i="26"/>
  <c r="V36" i="26"/>
  <c r="V38" i="26"/>
  <c r="U36" i="26"/>
  <c r="U38" i="26"/>
  <c r="T36" i="26"/>
  <c r="T38" i="26"/>
  <c r="S36" i="26"/>
  <c r="S38" i="26"/>
  <c r="R36" i="26"/>
  <c r="R38" i="26"/>
  <c r="Q36" i="26"/>
  <c r="Q38" i="26"/>
  <c r="P36" i="26"/>
  <c r="P38" i="26"/>
  <c r="O36" i="26"/>
  <c r="O38" i="26"/>
  <c r="N36" i="26"/>
  <c r="N38" i="26"/>
  <c r="M36" i="26"/>
  <c r="M38" i="26"/>
  <c r="L36" i="26"/>
  <c r="L38" i="26"/>
  <c r="K36" i="26"/>
  <c r="K38" i="26"/>
  <c r="I38" i="26"/>
  <c r="G36" i="26"/>
  <c r="G38" i="26"/>
  <c r="F36" i="26"/>
  <c r="F38" i="26"/>
  <c r="E36" i="26"/>
  <c r="E38" i="26"/>
  <c r="D36" i="26"/>
  <c r="D38" i="26"/>
  <c r="C36" i="26"/>
  <c r="C38" i="26"/>
  <c r="B36" i="26"/>
  <c r="B38" i="26"/>
  <c r="I28" i="26"/>
  <c r="I19" i="26"/>
  <c r="X17" i="26"/>
  <c r="X19" i="26"/>
  <c r="W17" i="26"/>
  <c r="W19" i="26"/>
  <c r="V17" i="26"/>
  <c r="V19" i="26"/>
  <c r="U17" i="26"/>
  <c r="U19" i="26"/>
  <c r="T17" i="26"/>
  <c r="T19" i="26"/>
  <c r="S17" i="26"/>
  <c r="S19" i="26"/>
  <c r="R17" i="26"/>
  <c r="R19" i="26"/>
  <c r="Q17" i="26"/>
  <c r="Q19" i="26"/>
  <c r="P17" i="26"/>
  <c r="P19" i="26"/>
  <c r="O17" i="26"/>
  <c r="O19" i="26"/>
  <c r="N17" i="26"/>
  <c r="N19" i="26"/>
  <c r="M17" i="26"/>
  <c r="M19" i="26"/>
  <c r="L17" i="26"/>
  <c r="L19" i="26"/>
  <c r="K17" i="26"/>
  <c r="K19" i="26"/>
  <c r="G17" i="26"/>
  <c r="G19" i="26"/>
  <c r="F17" i="26"/>
  <c r="F19" i="26"/>
  <c r="E17" i="26"/>
  <c r="E19" i="26"/>
  <c r="D17" i="26"/>
  <c r="D19" i="26"/>
  <c r="C17" i="26"/>
  <c r="C19" i="26"/>
  <c r="B17" i="26"/>
  <c r="B19" i="26"/>
  <c r="A17" i="26"/>
  <c r="A19" i="26"/>
  <c r="I9" i="26"/>
  <c r="I87" i="24"/>
  <c r="I94" i="27"/>
  <c r="I95" i="27"/>
  <c r="I96" i="27"/>
  <c r="W96" i="27"/>
  <c r="E96" i="27"/>
  <c r="R96" i="27"/>
  <c r="S96" i="27"/>
  <c r="T96" i="27"/>
  <c r="X96" i="27"/>
  <c r="V96" i="27"/>
  <c r="F96" i="27"/>
  <c r="P96" i="27"/>
  <c r="Y96" i="27"/>
  <c r="M96" i="27"/>
  <c r="Q96" i="27"/>
  <c r="U96" i="27"/>
  <c r="L96" i="27"/>
  <c r="G96" i="27"/>
  <c r="A96" i="27"/>
  <c r="H56" i="27"/>
  <c r="H57" i="27"/>
  <c r="H58" i="27"/>
  <c r="W38" i="27"/>
  <c r="B38" i="27"/>
  <c r="M38" i="27"/>
  <c r="Q38" i="27"/>
  <c r="U38" i="27"/>
  <c r="K38" i="27"/>
  <c r="C38" i="27"/>
  <c r="G38" i="27"/>
  <c r="D38" i="27"/>
  <c r="H36" i="27"/>
  <c r="H37" i="27"/>
  <c r="H38" i="27"/>
  <c r="H17" i="27"/>
  <c r="H18" i="27"/>
  <c r="D76" i="26"/>
  <c r="M76" i="26"/>
  <c r="Q76" i="26"/>
  <c r="O76" i="26"/>
  <c r="S76" i="26"/>
  <c r="W76" i="26"/>
  <c r="K76" i="26"/>
  <c r="C76" i="26"/>
  <c r="G76" i="26"/>
  <c r="A76" i="26"/>
  <c r="H74" i="26"/>
  <c r="H75" i="26"/>
  <c r="H76" i="26"/>
  <c r="H55" i="26"/>
  <c r="H56" i="26"/>
  <c r="H57" i="26"/>
  <c r="H36" i="26"/>
  <c r="H37" i="26"/>
  <c r="H38" i="26"/>
  <c r="H17" i="26"/>
  <c r="H18" i="26"/>
  <c r="H19" i="26"/>
  <c r="B95" i="24"/>
  <c r="C95" i="24"/>
  <c r="C97" i="24"/>
  <c r="D95" i="24"/>
  <c r="D97" i="24"/>
  <c r="E95" i="24"/>
  <c r="F95" i="24"/>
  <c r="G95" i="24"/>
  <c r="G97" i="24"/>
  <c r="L95" i="24"/>
  <c r="L97" i="24"/>
  <c r="M95" i="24"/>
  <c r="M97" i="24"/>
  <c r="N95" i="24"/>
  <c r="N97" i="24"/>
  <c r="O95" i="24"/>
  <c r="O97" i="24"/>
  <c r="X95" i="24"/>
  <c r="W95" i="24"/>
  <c r="W97" i="24"/>
  <c r="V95" i="24"/>
  <c r="V97" i="24"/>
  <c r="U95" i="24"/>
  <c r="T95" i="24"/>
  <c r="S95" i="24"/>
  <c r="S97" i="24"/>
  <c r="R95" i="24"/>
  <c r="R97" i="24"/>
  <c r="Q95" i="24"/>
  <c r="P95" i="24"/>
  <c r="K95" i="24"/>
  <c r="I97" i="24"/>
  <c r="A95" i="24"/>
  <c r="I78" i="24"/>
  <c r="X76" i="24"/>
  <c r="X78" i="24"/>
  <c r="W76" i="24"/>
  <c r="W78" i="24"/>
  <c r="V76" i="24"/>
  <c r="V78" i="24"/>
  <c r="U76" i="24"/>
  <c r="U78" i="24"/>
  <c r="T76" i="24"/>
  <c r="T78" i="24"/>
  <c r="S76" i="24"/>
  <c r="S78" i="24"/>
  <c r="R76" i="24"/>
  <c r="R78" i="24"/>
  <c r="Q76" i="24"/>
  <c r="Q78" i="24"/>
  <c r="P76" i="24"/>
  <c r="P78" i="24"/>
  <c r="O76" i="24"/>
  <c r="O78" i="24"/>
  <c r="N76" i="24"/>
  <c r="N78" i="24"/>
  <c r="M76" i="24"/>
  <c r="M78" i="24"/>
  <c r="L76" i="24"/>
  <c r="L78" i="24"/>
  <c r="K76" i="24"/>
  <c r="K78" i="24"/>
  <c r="G76" i="24"/>
  <c r="G78" i="24"/>
  <c r="F76" i="24"/>
  <c r="F78" i="24"/>
  <c r="E76" i="24"/>
  <c r="E78" i="24"/>
  <c r="D76" i="24"/>
  <c r="D78" i="24"/>
  <c r="C76" i="24"/>
  <c r="C78" i="24"/>
  <c r="B76" i="24"/>
  <c r="B78" i="24"/>
  <c r="A76" i="24"/>
  <c r="A78" i="24"/>
  <c r="I68" i="24"/>
  <c r="H77" i="24"/>
  <c r="C57" i="24"/>
  <c r="X57" i="24"/>
  <c r="X59" i="24"/>
  <c r="W57" i="24"/>
  <c r="W59" i="24"/>
  <c r="V57" i="24"/>
  <c r="V59" i="24"/>
  <c r="U57" i="24"/>
  <c r="U59" i="24"/>
  <c r="T57" i="24"/>
  <c r="T59" i="24"/>
  <c r="S57" i="24"/>
  <c r="S59" i="24"/>
  <c r="R57" i="24"/>
  <c r="R59" i="24"/>
  <c r="Q57" i="24"/>
  <c r="Q59" i="24"/>
  <c r="P57" i="24"/>
  <c r="P59" i="24"/>
  <c r="O57" i="24"/>
  <c r="O59" i="24"/>
  <c r="N57" i="24"/>
  <c r="N59" i="24"/>
  <c r="M57" i="24"/>
  <c r="M59" i="24"/>
  <c r="L57" i="24"/>
  <c r="L59" i="24"/>
  <c r="K57" i="24"/>
  <c r="K59" i="24"/>
  <c r="D57" i="24"/>
  <c r="D59" i="24"/>
  <c r="I59" i="24"/>
  <c r="G57" i="24"/>
  <c r="G59" i="24"/>
  <c r="F57" i="24"/>
  <c r="F59" i="24"/>
  <c r="E57" i="24"/>
  <c r="B57" i="24"/>
  <c r="B59" i="24"/>
  <c r="A57" i="24"/>
  <c r="A59" i="24"/>
  <c r="I49" i="24"/>
  <c r="I40" i="24"/>
  <c r="G38" i="24"/>
  <c r="G40" i="24"/>
  <c r="F38" i="24"/>
  <c r="F40" i="24"/>
  <c r="E38" i="24"/>
  <c r="E40" i="24"/>
  <c r="D38" i="24"/>
  <c r="D40" i="24"/>
  <c r="C38" i="24"/>
  <c r="C40" i="24"/>
  <c r="B38" i="24"/>
  <c r="B40" i="24"/>
  <c r="A38" i="24"/>
  <c r="A40" i="24"/>
  <c r="I30" i="24"/>
  <c r="H39" i="24"/>
  <c r="X38" i="24"/>
  <c r="X40" i="24"/>
  <c r="W38" i="24"/>
  <c r="W40" i="24"/>
  <c r="V38" i="24"/>
  <c r="V40" i="24"/>
  <c r="U38" i="24"/>
  <c r="U40" i="24"/>
  <c r="T38" i="24"/>
  <c r="T40" i="24"/>
  <c r="S38" i="24"/>
  <c r="S40" i="24"/>
  <c r="R38" i="24"/>
  <c r="R40" i="24"/>
  <c r="Q38" i="24"/>
  <c r="Q40" i="24"/>
  <c r="P38" i="24"/>
  <c r="P40" i="24"/>
  <c r="O38" i="24"/>
  <c r="O40" i="24"/>
  <c r="N38" i="24"/>
  <c r="N40" i="24"/>
  <c r="M38" i="24"/>
  <c r="M40" i="24"/>
  <c r="L38" i="24"/>
  <c r="L40" i="24"/>
  <c r="K38" i="24"/>
  <c r="K40" i="24"/>
  <c r="X17" i="24"/>
  <c r="X19" i="24"/>
  <c r="W17" i="24"/>
  <c r="W19" i="24"/>
  <c r="V17" i="24"/>
  <c r="V19" i="24"/>
  <c r="U17" i="24"/>
  <c r="U19" i="24"/>
  <c r="T17" i="24"/>
  <c r="T19" i="24"/>
  <c r="S17" i="24"/>
  <c r="S19" i="24"/>
  <c r="R17" i="24"/>
  <c r="R19" i="24"/>
  <c r="Q17" i="24"/>
  <c r="Q19" i="24"/>
  <c r="P17" i="24"/>
  <c r="P19" i="24"/>
  <c r="O17" i="24"/>
  <c r="O19" i="24"/>
  <c r="N17" i="24"/>
  <c r="N19" i="24"/>
  <c r="M17" i="24"/>
  <c r="M19" i="24"/>
  <c r="L17" i="24"/>
  <c r="L19" i="24"/>
  <c r="K17" i="24"/>
  <c r="K19" i="24"/>
  <c r="I19" i="24"/>
  <c r="G17" i="24"/>
  <c r="G19" i="24"/>
  <c r="F17" i="24"/>
  <c r="F19" i="24"/>
  <c r="E17" i="24"/>
  <c r="E19" i="24"/>
  <c r="D17" i="24"/>
  <c r="D19" i="24"/>
  <c r="C17" i="24"/>
  <c r="C19" i="24"/>
  <c r="B17" i="24"/>
  <c r="B19" i="24"/>
  <c r="A17" i="24"/>
  <c r="A19" i="24"/>
  <c r="I9" i="24"/>
  <c r="H18" i="24"/>
  <c r="L74" i="25"/>
  <c r="L76" i="25"/>
  <c r="M74" i="25"/>
  <c r="M76" i="25"/>
  <c r="N74" i="25"/>
  <c r="N76" i="25"/>
  <c r="O74" i="25"/>
  <c r="O76" i="25"/>
  <c r="P74" i="25"/>
  <c r="P76" i="25"/>
  <c r="Q74" i="25"/>
  <c r="Q76" i="25"/>
  <c r="R74" i="25"/>
  <c r="R76" i="25"/>
  <c r="S74" i="25"/>
  <c r="S76" i="25"/>
  <c r="T74" i="25"/>
  <c r="U74" i="25"/>
  <c r="U76" i="25"/>
  <c r="V74" i="25"/>
  <c r="W74" i="25"/>
  <c r="W76" i="25"/>
  <c r="X74" i="25"/>
  <c r="X76" i="25"/>
  <c r="T76" i="25"/>
  <c r="K74" i="25"/>
  <c r="K76" i="25"/>
  <c r="K55" i="25"/>
  <c r="B74" i="25"/>
  <c r="B76" i="25"/>
  <c r="C74" i="25"/>
  <c r="C76" i="25"/>
  <c r="D74" i="25"/>
  <c r="E74" i="25"/>
  <c r="E76" i="25"/>
  <c r="F74" i="25"/>
  <c r="F76" i="25"/>
  <c r="G74" i="25"/>
  <c r="A56" i="25"/>
  <c r="A74" i="25"/>
  <c r="A76" i="25"/>
  <c r="V76" i="25"/>
  <c r="I76" i="25"/>
  <c r="G76" i="25"/>
  <c r="D76" i="25"/>
  <c r="I66" i="25"/>
  <c r="X55" i="25"/>
  <c r="X57" i="25"/>
  <c r="W55" i="25"/>
  <c r="W57" i="25"/>
  <c r="V55" i="25"/>
  <c r="V57" i="25"/>
  <c r="U55" i="25"/>
  <c r="U57" i="25"/>
  <c r="T55" i="25"/>
  <c r="T57" i="25"/>
  <c r="S55" i="25"/>
  <c r="S57" i="25"/>
  <c r="R55" i="25"/>
  <c r="R57" i="25"/>
  <c r="Q55" i="25"/>
  <c r="Q57" i="25"/>
  <c r="P55" i="25"/>
  <c r="P57" i="25"/>
  <c r="O55" i="25"/>
  <c r="O57" i="25"/>
  <c r="N55" i="25"/>
  <c r="N57" i="25"/>
  <c r="M55" i="25"/>
  <c r="M57" i="25"/>
  <c r="L55" i="25"/>
  <c r="L57" i="25"/>
  <c r="K57" i="25"/>
  <c r="I57" i="25"/>
  <c r="G55" i="25"/>
  <c r="G57" i="25"/>
  <c r="F55" i="25"/>
  <c r="F57" i="25"/>
  <c r="E55" i="25"/>
  <c r="E57" i="25"/>
  <c r="D55" i="25"/>
  <c r="D57" i="25"/>
  <c r="C55" i="25"/>
  <c r="C57" i="25"/>
  <c r="B55" i="25"/>
  <c r="B57" i="25"/>
  <c r="A55" i="25"/>
  <c r="I47" i="25"/>
  <c r="X37" i="25"/>
  <c r="X36" i="25"/>
  <c r="W36" i="25"/>
  <c r="W38" i="25"/>
  <c r="V36" i="25"/>
  <c r="V38" i="25"/>
  <c r="U36" i="25"/>
  <c r="U38" i="25"/>
  <c r="T36" i="25"/>
  <c r="T38" i="25"/>
  <c r="S36" i="25"/>
  <c r="S38" i="25"/>
  <c r="R36" i="25"/>
  <c r="R38" i="25"/>
  <c r="Q36" i="25"/>
  <c r="Q38" i="25"/>
  <c r="P36" i="25"/>
  <c r="P38" i="25"/>
  <c r="O36" i="25"/>
  <c r="O38" i="25"/>
  <c r="N36" i="25"/>
  <c r="N38" i="25"/>
  <c r="M36" i="25"/>
  <c r="M38" i="25"/>
  <c r="L36" i="25"/>
  <c r="L38" i="25"/>
  <c r="K36" i="25"/>
  <c r="K38" i="25"/>
  <c r="I38" i="25"/>
  <c r="G36" i="25"/>
  <c r="G38" i="25"/>
  <c r="F36" i="25"/>
  <c r="F38" i="25"/>
  <c r="E36" i="25"/>
  <c r="E38" i="25"/>
  <c r="D36" i="25"/>
  <c r="D38" i="25"/>
  <c r="C36" i="25"/>
  <c r="C38" i="25"/>
  <c r="B36" i="25"/>
  <c r="B38" i="25"/>
  <c r="A36" i="25"/>
  <c r="A38" i="25"/>
  <c r="I28" i="25"/>
  <c r="H37" i="25"/>
  <c r="X17" i="25"/>
  <c r="X19" i="25"/>
  <c r="W17" i="25"/>
  <c r="W19" i="25"/>
  <c r="V17" i="25"/>
  <c r="V19" i="25"/>
  <c r="U17" i="25"/>
  <c r="U19" i="25"/>
  <c r="T17" i="25"/>
  <c r="T19" i="25"/>
  <c r="S17" i="25"/>
  <c r="S19" i="25"/>
  <c r="R17" i="25"/>
  <c r="R19" i="25"/>
  <c r="Q17" i="25"/>
  <c r="Q19" i="25"/>
  <c r="P17" i="25"/>
  <c r="P19" i="25"/>
  <c r="O17" i="25"/>
  <c r="O19" i="25"/>
  <c r="N17" i="25"/>
  <c r="N19" i="25"/>
  <c r="M17" i="25"/>
  <c r="M19" i="25"/>
  <c r="L17" i="25"/>
  <c r="L19" i="25"/>
  <c r="K17" i="25"/>
  <c r="K19" i="25"/>
  <c r="I19" i="25"/>
  <c r="G17" i="25"/>
  <c r="G19" i="25"/>
  <c r="F17" i="25"/>
  <c r="F19" i="25"/>
  <c r="E17" i="25"/>
  <c r="E19" i="25"/>
  <c r="D17" i="25"/>
  <c r="D19" i="25"/>
  <c r="C17" i="25"/>
  <c r="C19" i="25"/>
  <c r="B17" i="25"/>
  <c r="B19" i="25"/>
  <c r="A17" i="25"/>
  <c r="A19" i="25"/>
  <c r="I9" i="25"/>
  <c r="H18" i="25"/>
  <c r="F76" i="23"/>
  <c r="H19" i="27"/>
  <c r="H95" i="24"/>
  <c r="E97" i="24"/>
  <c r="B97" i="24"/>
  <c r="F97" i="24"/>
  <c r="A97" i="24"/>
  <c r="P97" i="24"/>
  <c r="T97" i="24"/>
  <c r="X97" i="24"/>
  <c r="Q97" i="24"/>
  <c r="U97" i="24"/>
  <c r="K97" i="24"/>
  <c r="H76" i="24"/>
  <c r="H78" i="24"/>
  <c r="C59" i="24"/>
  <c r="E59" i="24"/>
  <c r="H58" i="24"/>
  <c r="H57" i="24"/>
  <c r="H38" i="24"/>
  <c r="H40" i="24"/>
  <c r="H17" i="24"/>
  <c r="H19" i="24"/>
  <c r="H56" i="25"/>
  <c r="A57" i="25"/>
  <c r="H75" i="25"/>
  <c r="H74" i="25"/>
  <c r="H55" i="25"/>
  <c r="H57" i="25"/>
  <c r="X38" i="25"/>
  <c r="H36" i="25"/>
  <c r="H38" i="25"/>
  <c r="H17" i="25"/>
  <c r="H19" i="25"/>
  <c r="M95" i="19"/>
  <c r="N95" i="19"/>
  <c r="O95" i="19"/>
  <c r="P95" i="19"/>
  <c r="Q95" i="19"/>
  <c r="R95" i="19"/>
  <c r="S95" i="19"/>
  <c r="T95" i="19"/>
  <c r="U95" i="19"/>
  <c r="V95" i="19"/>
  <c r="W95" i="19"/>
  <c r="O93" i="19"/>
  <c r="O94" i="19"/>
  <c r="P93" i="19"/>
  <c r="Q93" i="19"/>
  <c r="R93" i="19"/>
  <c r="R94" i="19"/>
  <c r="S93" i="19"/>
  <c r="S94" i="19"/>
  <c r="T93" i="19"/>
  <c r="T94" i="19"/>
  <c r="U93" i="19"/>
  <c r="V93" i="19"/>
  <c r="V94" i="19"/>
  <c r="W93" i="19"/>
  <c r="W94" i="19"/>
  <c r="M93" i="19"/>
  <c r="N93" i="19"/>
  <c r="N94" i="19"/>
  <c r="L93" i="19"/>
  <c r="L95" i="19"/>
  <c r="B93" i="19"/>
  <c r="C93" i="19"/>
  <c r="D93" i="19"/>
  <c r="E93" i="19"/>
  <c r="F93" i="19"/>
  <c r="G93" i="19"/>
  <c r="A93" i="19"/>
  <c r="A95" i="19"/>
  <c r="K93" i="19"/>
  <c r="K95" i="19"/>
  <c r="Q94" i="19"/>
  <c r="U94" i="19"/>
  <c r="X94" i="19"/>
  <c r="X95" i="19"/>
  <c r="I86" i="19"/>
  <c r="X76" i="23"/>
  <c r="X78" i="23"/>
  <c r="W76" i="23"/>
  <c r="W78" i="23"/>
  <c r="V76" i="23"/>
  <c r="V78" i="23"/>
  <c r="U76" i="23"/>
  <c r="U78" i="23"/>
  <c r="T76" i="23"/>
  <c r="T78" i="23"/>
  <c r="S76" i="23"/>
  <c r="S78" i="23"/>
  <c r="R76" i="23"/>
  <c r="R78" i="23"/>
  <c r="Q76" i="23"/>
  <c r="Q78" i="23"/>
  <c r="P76" i="23"/>
  <c r="P78" i="23"/>
  <c r="O76" i="23"/>
  <c r="O78" i="23"/>
  <c r="N76" i="23"/>
  <c r="N78" i="23"/>
  <c r="M76" i="23"/>
  <c r="M78" i="23"/>
  <c r="L76" i="23"/>
  <c r="L78" i="23"/>
  <c r="K76" i="23"/>
  <c r="K78" i="23"/>
  <c r="I78" i="23"/>
  <c r="G76" i="23"/>
  <c r="G78" i="23"/>
  <c r="F78" i="23"/>
  <c r="E76" i="23"/>
  <c r="E78" i="23"/>
  <c r="D76" i="23"/>
  <c r="D78" i="23"/>
  <c r="C76" i="23"/>
  <c r="C78" i="23"/>
  <c r="B76" i="23"/>
  <c r="B78" i="23"/>
  <c r="A76" i="23"/>
  <c r="A78" i="23"/>
  <c r="I68" i="23"/>
  <c r="H77" i="23"/>
  <c r="H57" i="23"/>
  <c r="X57" i="23"/>
  <c r="X59" i="23"/>
  <c r="W57" i="23"/>
  <c r="W59" i="23"/>
  <c r="V57" i="23"/>
  <c r="V59" i="23"/>
  <c r="U57" i="23"/>
  <c r="U59" i="23"/>
  <c r="T57" i="23"/>
  <c r="S57" i="23"/>
  <c r="S59" i="23"/>
  <c r="R57" i="23"/>
  <c r="R59" i="23"/>
  <c r="Q57" i="23"/>
  <c r="Q59" i="23"/>
  <c r="P57" i="23"/>
  <c r="P59" i="23"/>
  <c r="O57" i="23"/>
  <c r="O59" i="23"/>
  <c r="N57" i="23"/>
  <c r="N59" i="23"/>
  <c r="M57" i="23"/>
  <c r="M59" i="23"/>
  <c r="L57" i="23"/>
  <c r="L59" i="23"/>
  <c r="K57" i="23"/>
  <c r="K59" i="23"/>
  <c r="I59" i="23"/>
  <c r="G57" i="23"/>
  <c r="G59" i="23"/>
  <c r="F57" i="23"/>
  <c r="F59" i="23"/>
  <c r="E57" i="23"/>
  <c r="D57" i="23"/>
  <c r="D59" i="23"/>
  <c r="C57" i="23"/>
  <c r="C59" i="23"/>
  <c r="B57" i="23"/>
  <c r="B59" i="23"/>
  <c r="A57" i="23"/>
  <c r="A59" i="23"/>
  <c r="I49" i="23"/>
  <c r="I29" i="23"/>
  <c r="Q37" i="23"/>
  <c r="Q39" i="23"/>
  <c r="X37" i="23"/>
  <c r="X39" i="23"/>
  <c r="W37" i="23"/>
  <c r="W39" i="23"/>
  <c r="V37" i="23"/>
  <c r="V39" i="23"/>
  <c r="U37" i="23"/>
  <c r="U39" i="23"/>
  <c r="T37" i="23"/>
  <c r="S37" i="23"/>
  <c r="S39" i="23"/>
  <c r="R37" i="23"/>
  <c r="R39" i="23"/>
  <c r="P37" i="23"/>
  <c r="P39" i="23"/>
  <c r="O37" i="23"/>
  <c r="O39" i="23"/>
  <c r="N37" i="23"/>
  <c r="N39" i="23"/>
  <c r="M37" i="23"/>
  <c r="M39" i="23"/>
  <c r="L37" i="23"/>
  <c r="L39" i="23"/>
  <c r="K37" i="23"/>
  <c r="K39" i="23"/>
  <c r="I39" i="23"/>
  <c r="G37" i="23"/>
  <c r="G39" i="23"/>
  <c r="F37" i="23"/>
  <c r="F39" i="23"/>
  <c r="E37" i="23"/>
  <c r="D37" i="23"/>
  <c r="D39" i="23"/>
  <c r="C37" i="23"/>
  <c r="C39" i="23"/>
  <c r="B37" i="23"/>
  <c r="B39" i="23"/>
  <c r="A37" i="23"/>
  <c r="A39" i="23"/>
  <c r="X17" i="23"/>
  <c r="X19" i="23"/>
  <c r="W17" i="23"/>
  <c r="W19" i="23"/>
  <c r="V17" i="23"/>
  <c r="V19" i="23"/>
  <c r="U17" i="23"/>
  <c r="U19" i="23"/>
  <c r="T17" i="23"/>
  <c r="S17" i="23"/>
  <c r="S19" i="23"/>
  <c r="R17" i="23"/>
  <c r="R19" i="23"/>
  <c r="Q17" i="23"/>
  <c r="Q19" i="23"/>
  <c r="P17" i="23"/>
  <c r="P19" i="23"/>
  <c r="O17" i="23"/>
  <c r="O19" i="23"/>
  <c r="N17" i="23"/>
  <c r="N19" i="23"/>
  <c r="M17" i="23"/>
  <c r="M19" i="23"/>
  <c r="L17" i="23"/>
  <c r="L19" i="23"/>
  <c r="K17" i="23"/>
  <c r="K19" i="23"/>
  <c r="I19" i="23"/>
  <c r="G17" i="23"/>
  <c r="G19" i="23"/>
  <c r="F17" i="23"/>
  <c r="F19" i="23"/>
  <c r="E17" i="23"/>
  <c r="D17" i="23"/>
  <c r="D19" i="23"/>
  <c r="C17" i="23"/>
  <c r="C19" i="23"/>
  <c r="B17" i="23"/>
  <c r="B19" i="23"/>
  <c r="A17" i="23"/>
  <c r="A19" i="23"/>
  <c r="I9" i="23"/>
  <c r="I129" i="21"/>
  <c r="H137" i="21"/>
  <c r="L137" i="21"/>
  <c r="B137" i="21"/>
  <c r="C137" i="21"/>
  <c r="D137" i="21"/>
  <c r="D139" i="21"/>
  <c r="E137" i="21"/>
  <c r="F137" i="21"/>
  <c r="G137" i="21"/>
  <c r="X137" i="21"/>
  <c r="X139" i="21"/>
  <c r="W137" i="21"/>
  <c r="W139" i="21"/>
  <c r="V137" i="21"/>
  <c r="V139" i="21"/>
  <c r="U137" i="21"/>
  <c r="T137" i="21"/>
  <c r="T138" i="21"/>
  <c r="S137" i="21"/>
  <c r="R137" i="21"/>
  <c r="R139" i="21"/>
  <c r="Q137" i="21"/>
  <c r="P137" i="21"/>
  <c r="P139" i="21"/>
  <c r="O137" i="21"/>
  <c r="O139" i="21"/>
  <c r="N137" i="21"/>
  <c r="N139" i="21"/>
  <c r="M137" i="21"/>
  <c r="K137" i="21"/>
  <c r="K139" i="21"/>
  <c r="I139" i="21"/>
  <c r="F139" i="21"/>
  <c r="A137" i="21"/>
  <c r="A139" i="21"/>
  <c r="I109" i="21"/>
  <c r="H96" i="24"/>
  <c r="H97" i="24"/>
  <c r="H59" i="24"/>
  <c r="H76" i="25"/>
  <c r="H76" i="23"/>
  <c r="H78" i="23"/>
  <c r="P94" i="19"/>
  <c r="H95" i="19"/>
  <c r="H94" i="19"/>
  <c r="T59" i="23"/>
  <c r="H58" i="23"/>
  <c r="H17" i="23"/>
  <c r="H37" i="23"/>
  <c r="T39" i="23"/>
  <c r="E39" i="23"/>
  <c r="H38" i="23"/>
  <c r="T18" i="23"/>
  <c r="T19" i="23"/>
  <c r="E18" i="23"/>
  <c r="E19" i="23"/>
  <c r="G139" i="21"/>
  <c r="E138" i="21"/>
  <c r="E139" i="21"/>
  <c r="U139" i="21"/>
  <c r="M139" i="21"/>
  <c r="Q139" i="21"/>
  <c r="L139" i="21"/>
  <c r="S139" i="21"/>
  <c r="C139" i="21"/>
  <c r="B139" i="21"/>
  <c r="H138" i="21"/>
  <c r="T139" i="21"/>
  <c r="A117" i="21"/>
  <c r="A119" i="21"/>
  <c r="T118" i="21"/>
  <c r="X117" i="21"/>
  <c r="X119" i="21"/>
  <c r="W117" i="21"/>
  <c r="W119" i="21"/>
  <c r="V117" i="21"/>
  <c r="V119" i="21"/>
  <c r="U117" i="21"/>
  <c r="U119" i="21"/>
  <c r="T117" i="21"/>
  <c r="T119" i="21"/>
  <c r="S117" i="21"/>
  <c r="R117" i="21"/>
  <c r="R119" i="21"/>
  <c r="Q117" i="21"/>
  <c r="Q119" i="21"/>
  <c r="P117" i="21"/>
  <c r="P119" i="21"/>
  <c r="O117" i="21"/>
  <c r="N117" i="21"/>
  <c r="N119" i="21"/>
  <c r="M117" i="21"/>
  <c r="M119" i="21"/>
  <c r="L117" i="21"/>
  <c r="L119" i="21"/>
  <c r="K117" i="21"/>
  <c r="K119" i="21"/>
  <c r="I119" i="21"/>
  <c r="G117" i="21"/>
  <c r="F117" i="21"/>
  <c r="E117" i="21"/>
  <c r="E119" i="21"/>
  <c r="D117" i="21"/>
  <c r="D119" i="21"/>
  <c r="C117" i="21"/>
  <c r="C119" i="21"/>
  <c r="B117" i="21"/>
  <c r="I89" i="21"/>
  <c r="H98" i="21"/>
  <c r="X97" i="21"/>
  <c r="X99" i="21"/>
  <c r="W97" i="21"/>
  <c r="W99" i="21"/>
  <c r="V97" i="21"/>
  <c r="V99" i="21"/>
  <c r="U97" i="21"/>
  <c r="U99" i="21"/>
  <c r="T97" i="21"/>
  <c r="T99" i="21"/>
  <c r="S97" i="21"/>
  <c r="S99" i="21"/>
  <c r="R97" i="21"/>
  <c r="R99" i="21"/>
  <c r="Q97" i="21"/>
  <c r="Q99" i="21"/>
  <c r="P97" i="21"/>
  <c r="P99" i="21"/>
  <c r="O97" i="21"/>
  <c r="O99" i="21"/>
  <c r="N97" i="21"/>
  <c r="N99" i="21"/>
  <c r="M97" i="21"/>
  <c r="M99" i="21"/>
  <c r="L97" i="21"/>
  <c r="L99" i="21"/>
  <c r="K97" i="21"/>
  <c r="K99" i="21"/>
  <c r="I99" i="21"/>
  <c r="G97" i="21"/>
  <c r="G99" i="21"/>
  <c r="F97" i="21"/>
  <c r="F99" i="21"/>
  <c r="E97" i="21"/>
  <c r="E99" i="21"/>
  <c r="D97" i="21"/>
  <c r="D99" i="21"/>
  <c r="C97" i="21"/>
  <c r="C99" i="21"/>
  <c r="B97" i="21"/>
  <c r="B99" i="21"/>
  <c r="A99" i="21"/>
  <c r="I50" i="21"/>
  <c r="I69" i="21"/>
  <c r="H78" i="21"/>
  <c r="W77" i="21"/>
  <c r="W79" i="21"/>
  <c r="X77" i="21"/>
  <c r="L77" i="21"/>
  <c r="L79" i="21"/>
  <c r="M77" i="21"/>
  <c r="M79" i="21"/>
  <c r="N77" i="21"/>
  <c r="N79" i="21"/>
  <c r="O77" i="21"/>
  <c r="O79" i="21"/>
  <c r="P77" i="21"/>
  <c r="Q77" i="21"/>
  <c r="Q79" i="21"/>
  <c r="R77" i="21"/>
  <c r="R79" i="21"/>
  <c r="S77" i="21"/>
  <c r="S79" i="21"/>
  <c r="T77" i="21"/>
  <c r="U77" i="21"/>
  <c r="U79" i="21"/>
  <c r="V77" i="21"/>
  <c r="V79" i="21"/>
  <c r="K77" i="21"/>
  <c r="K79" i="21"/>
  <c r="B77" i="21"/>
  <c r="B79" i="21"/>
  <c r="C77" i="21"/>
  <c r="C79" i="21"/>
  <c r="D77" i="21"/>
  <c r="D79" i="21"/>
  <c r="E77" i="21"/>
  <c r="E79" i="21"/>
  <c r="F77" i="21"/>
  <c r="F79" i="21"/>
  <c r="G77" i="21"/>
  <c r="G79" i="21"/>
  <c r="A77" i="21"/>
  <c r="A79" i="21"/>
  <c r="X79" i="21"/>
  <c r="T79" i="21"/>
  <c r="P79" i="21"/>
  <c r="I79" i="21"/>
  <c r="X58" i="21"/>
  <c r="X60" i="21"/>
  <c r="W58" i="21"/>
  <c r="W60" i="21"/>
  <c r="V58" i="21"/>
  <c r="V60" i="21"/>
  <c r="U58" i="21"/>
  <c r="U60" i="21"/>
  <c r="T58" i="21"/>
  <c r="T60" i="21"/>
  <c r="S58" i="21"/>
  <c r="S60" i="21"/>
  <c r="R58" i="21"/>
  <c r="R60" i="21"/>
  <c r="Q58" i="21"/>
  <c r="Q60" i="21"/>
  <c r="P58" i="21"/>
  <c r="P60" i="21"/>
  <c r="O58" i="21"/>
  <c r="O60" i="21"/>
  <c r="N58" i="21"/>
  <c r="N60" i="21"/>
  <c r="M58" i="21"/>
  <c r="M60" i="21"/>
  <c r="L58" i="21"/>
  <c r="L60" i="21"/>
  <c r="K58" i="21"/>
  <c r="K60" i="21"/>
  <c r="I60" i="21"/>
  <c r="G58" i="21"/>
  <c r="G60" i="21"/>
  <c r="F58" i="21"/>
  <c r="F60" i="21"/>
  <c r="E58" i="21"/>
  <c r="E60" i="21"/>
  <c r="D58" i="21"/>
  <c r="D60" i="21"/>
  <c r="C58" i="21"/>
  <c r="C60" i="21"/>
  <c r="B58" i="21"/>
  <c r="B60" i="21"/>
  <c r="A58" i="21"/>
  <c r="A60" i="21"/>
  <c r="I39" i="21"/>
  <c r="I29" i="21"/>
  <c r="H38" i="21"/>
  <c r="I18" i="21"/>
  <c r="I8" i="21"/>
  <c r="H59" i="23"/>
  <c r="E59" i="23"/>
  <c r="H18" i="23"/>
  <c r="H19" i="23"/>
  <c r="H39" i="23"/>
  <c r="H139" i="21"/>
  <c r="G119" i="21"/>
  <c r="S118" i="21"/>
  <c r="S119" i="21"/>
  <c r="O119" i="21"/>
  <c r="F119" i="21"/>
  <c r="H118" i="21"/>
  <c r="B119" i="21"/>
  <c r="H117" i="21"/>
  <c r="H97" i="21"/>
  <c r="H99" i="21"/>
  <c r="H77" i="21"/>
  <c r="H79" i="21"/>
  <c r="A37" i="21"/>
  <c r="A39" i="21"/>
  <c r="H119" i="21"/>
  <c r="X37" i="21"/>
  <c r="X39" i="21"/>
  <c r="W37" i="21"/>
  <c r="W39" i="21"/>
  <c r="V37" i="21"/>
  <c r="V39" i="21"/>
  <c r="U37" i="21"/>
  <c r="U39" i="21"/>
  <c r="T37" i="21"/>
  <c r="T39" i="21"/>
  <c r="S37" i="21"/>
  <c r="S39" i="21"/>
  <c r="R37" i="21"/>
  <c r="R39" i="21"/>
  <c r="Q37" i="21"/>
  <c r="Q39" i="21"/>
  <c r="P37" i="21"/>
  <c r="P39" i="21"/>
  <c r="O37" i="21"/>
  <c r="O39" i="21"/>
  <c r="N37" i="21"/>
  <c r="N39" i="21"/>
  <c r="M37" i="21"/>
  <c r="M39" i="21"/>
  <c r="L37" i="21"/>
  <c r="L39" i="21"/>
  <c r="K37" i="21"/>
  <c r="K39" i="21"/>
  <c r="G37" i="21"/>
  <c r="G39" i="21"/>
  <c r="F37" i="21"/>
  <c r="F39" i="21"/>
  <c r="E37" i="21"/>
  <c r="E39" i="21"/>
  <c r="D37" i="21"/>
  <c r="D39" i="21"/>
  <c r="C37" i="21"/>
  <c r="C39" i="21"/>
  <c r="B37" i="21"/>
  <c r="B39" i="21"/>
  <c r="P16" i="21"/>
  <c r="P18" i="21"/>
  <c r="X16" i="21"/>
  <c r="X18" i="21"/>
  <c r="W16" i="21"/>
  <c r="W18" i="21"/>
  <c r="V16" i="21"/>
  <c r="V18" i="21"/>
  <c r="U16" i="21"/>
  <c r="U18" i="21"/>
  <c r="T16" i="21"/>
  <c r="T18" i="21"/>
  <c r="S16" i="21"/>
  <c r="S18" i="21"/>
  <c r="R16" i="21"/>
  <c r="R18" i="21"/>
  <c r="Q16" i="21"/>
  <c r="Q18" i="21"/>
  <c r="O16" i="21"/>
  <c r="O18" i="21"/>
  <c r="N16" i="21"/>
  <c r="N18" i="21"/>
  <c r="M16" i="21"/>
  <c r="M18" i="21"/>
  <c r="L16" i="21"/>
  <c r="L18" i="21"/>
  <c r="K16" i="21"/>
  <c r="K18" i="21"/>
  <c r="G16" i="21"/>
  <c r="G18" i="21"/>
  <c r="F16" i="21"/>
  <c r="F18" i="21"/>
  <c r="E16" i="21"/>
  <c r="E18" i="21"/>
  <c r="D16" i="21"/>
  <c r="D18" i="21"/>
  <c r="C16" i="21"/>
  <c r="C18" i="21"/>
  <c r="B16" i="21"/>
  <c r="B18" i="21"/>
  <c r="A16" i="21"/>
  <c r="A18" i="21"/>
  <c r="U74" i="22"/>
  <c r="U76" i="22"/>
  <c r="X57" i="22"/>
  <c r="X55" i="22"/>
  <c r="I27" i="22"/>
  <c r="H37" i="21"/>
  <c r="H39" i="21"/>
  <c r="H16" i="21"/>
  <c r="H17" i="21"/>
  <c r="N36" i="22"/>
  <c r="M36" i="22"/>
  <c r="E35" i="22"/>
  <c r="H18" i="21"/>
  <c r="P37" i="22"/>
  <c r="G75" i="20"/>
  <c r="K16" i="22"/>
  <c r="K18" i="22"/>
  <c r="A16" i="22"/>
  <c r="A18" i="22"/>
  <c r="M16" i="22"/>
  <c r="M18" i="22"/>
  <c r="X74" i="22"/>
  <c r="X76" i="22"/>
  <c r="W74" i="22"/>
  <c r="W76" i="22"/>
  <c r="V74" i="22"/>
  <c r="V76" i="22"/>
  <c r="T74" i="22"/>
  <c r="T76" i="22"/>
  <c r="S74" i="22"/>
  <c r="S76" i="22"/>
  <c r="R74" i="22"/>
  <c r="R76" i="22"/>
  <c r="Q74" i="22"/>
  <c r="Q76" i="22"/>
  <c r="P74" i="22"/>
  <c r="P76" i="22"/>
  <c r="O74" i="22"/>
  <c r="O76" i="22"/>
  <c r="N74" i="22"/>
  <c r="N76" i="22"/>
  <c r="M74" i="22"/>
  <c r="M76" i="22"/>
  <c r="L74" i="22"/>
  <c r="L76" i="22"/>
  <c r="K74" i="22"/>
  <c r="K76" i="22"/>
  <c r="G74" i="22"/>
  <c r="G76" i="22"/>
  <c r="F74" i="22"/>
  <c r="F76" i="22"/>
  <c r="E74" i="22"/>
  <c r="E76" i="22"/>
  <c r="D74" i="22"/>
  <c r="D76" i="22"/>
  <c r="C74" i="22"/>
  <c r="C76" i="22"/>
  <c r="B74" i="22"/>
  <c r="B76" i="22"/>
  <c r="A74" i="22"/>
  <c r="A76" i="22"/>
  <c r="I66" i="22"/>
  <c r="H75" i="22"/>
  <c r="E56" i="22"/>
  <c r="A56" i="22"/>
  <c r="W55" i="22"/>
  <c r="W57" i="22"/>
  <c r="V55" i="22"/>
  <c r="V57" i="22"/>
  <c r="U55" i="22"/>
  <c r="U57" i="22"/>
  <c r="T55" i="22"/>
  <c r="S55" i="22"/>
  <c r="S57" i="22"/>
  <c r="R55" i="22"/>
  <c r="R57" i="22"/>
  <c r="Q55" i="22"/>
  <c r="Q57" i="22"/>
  <c r="P55" i="22"/>
  <c r="P57" i="22"/>
  <c r="O55" i="22"/>
  <c r="O57" i="22"/>
  <c r="N55" i="22"/>
  <c r="N57" i="22"/>
  <c r="M55" i="22"/>
  <c r="M57" i="22"/>
  <c r="L55" i="22"/>
  <c r="L57" i="22"/>
  <c r="K55" i="22"/>
  <c r="K57" i="22"/>
  <c r="G54" i="22"/>
  <c r="G56" i="22"/>
  <c r="F54" i="22"/>
  <c r="F56" i="22"/>
  <c r="E54" i="22"/>
  <c r="D54" i="22"/>
  <c r="D56" i="22"/>
  <c r="C54" i="22"/>
  <c r="C56" i="22"/>
  <c r="B54" i="22"/>
  <c r="B56" i="22"/>
  <c r="A54" i="22"/>
  <c r="I46" i="22"/>
  <c r="X35" i="22"/>
  <c r="X37" i="22"/>
  <c r="W35" i="22"/>
  <c r="W37" i="22"/>
  <c r="V35" i="22"/>
  <c r="V37" i="22"/>
  <c r="U35" i="22"/>
  <c r="U37" i="22"/>
  <c r="T35" i="22"/>
  <c r="T37" i="22"/>
  <c r="S35" i="22"/>
  <c r="S37" i="22"/>
  <c r="R35" i="22"/>
  <c r="R37" i="22"/>
  <c r="Q35" i="22"/>
  <c r="Q37" i="22"/>
  <c r="O35" i="22"/>
  <c r="O37" i="22"/>
  <c r="N35" i="22"/>
  <c r="N37" i="22"/>
  <c r="M35" i="22"/>
  <c r="M37" i="22"/>
  <c r="L35" i="22"/>
  <c r="L37" i="22"/>
  <c r="K35" i="22"/>
  <c r="K37" i="22"/>
  <c r="G35" i="22"/>
  <c r="G37" i="22"/>
  <c r="F35" i="22"/>
  <c r="F37" i="22"/>
  <c r="E37" i="22"/>
  <c r="D35" i="22"/>
  <c r="D37" i="22"/>
  <c r="C35" i="22"/>
  <c r="C37" i="22"/>
  <c r="B35" i="22"/>
  <c r="B37" i="22"/>
  <c r="A35" i="22"/>
  <c r="A37" i="22"/>
  <c r="H36" i="22"/>
  <c r="X16" i="22"/>
  <c r="X18" i="22"/>
  <c r="W16" i="22"/>
  <c r="W18" i="22"/>
  <c r="V16" i="22"/>
  <c r="V18" i="22"/>
  <c r="U16" i="22"/>
  <c r="U18" i="22"/>
  <c r="T16" i="22"/>
  <c r="T18" i="22"/>
  <c r="S16" i="22"/>
  <c r="S18" i="22"/>
  <c r="R16" i="22"/>
  <c r="R18" i="22"/>
  <c r="Q16" i="22"/>
  <c r="Q18" i="22"/>
  <c r="P16" i="22"/>
  <c r="P18" i="22"/>
  <c r="O16" i="22"/>
  <c r="O18" i="22"/>
  <c r="N16" i="22"/>
  <c r="N18" i="22"/>
  <c r="L16" i="22"/>
  <c r="L18" i="22"/>
  <c r="G16" i="22"/>
  <c r="G18" i="22"/>
  <c r="F16" i="22"/>
  <c r="F18" i="22"/>
  <c r="E16" i="22"/>
  <c r="E18" i="22"/>
  <c r="D16" i="22"/>
  <c r="D18" i="22"/>
  <c r="C16" i="22"/>
  <c r="C18" i="22"/>
  <c r="B16" i="22"/>
  <c r="B18" i="22"/>
  <c r="I8" i="22"/>
  <c r="H17" i="22"/>
  <c r="I66" i="20"/>
  <c r="H75" i="20"/>
  <c r="K74" i="20"/>
  <c r="K76" i="20"/>
  <c r="X74" i="20"/>
  <c r="X76" i="20"/>
  <c r="W74" i="20"/>
  <c r="W76" i="20"/>
  <c r="V74" i="20"/>
  <c r="V76" i="20"/>
  <c r="U74" i="20"/>
  <c r="U76" i="20"/>
  <c r="T74" i="20"/>
  <c r="S74" i="20"/>
  <c r="S76" i="20"/>
  <c r="R74" i="20"/>
  <c r="R76" i="20"/>
  <c r="Q74" i="20"/>
  <c r="Q76" i="20"/>
  <c r="P74" i="20"/>
  <c r="P76" i="20"/>
  <c r="O74" i="20"/>
  <c r="O76" i="20"/>
  <c r="N74" i="20"/>
  <c r="N76" i="20"/>
  <c r="M74" i="20"/>
  <c r="M76" i="20"/>
  <c r="L74" i="20"/>
  <c r="L76" i="20"/>
  <c r="G74" i="20"/>
  <c r="F74" i="20"/>
  <c r="F76" i="20"/>
  <c r="E74" i="20"/>
  <c r="E76" i="20"/>
  <c r="D74" i="20"/>
  <c r="D76" i="20"/>
  <c r="C74" i="20"/>
  <c r="C76" i="20"/>
  <c r="B74" i="20"/>
  <c r="B76" i="20"/>
  <c r="A74" i="20"/>
  <c r="A76" i="20"/>
  <c r="E37" i="20"/>
  <c r="T56" i="20"/>
  <c r="L55" i="20"/>
  <c r="M55" i="20"/>
  <c r="N55" i="20"/>
  <c r="N57" i="20"/>
  <c r="O55" i="20"/>
  <c r="O57" i="20"/>
  <c r="P55" i="20"/>
  <c r="Q55" i="20"/>
  <c r="T57" i="20"/>
  <c r="X55" i="20"/>
  <c r="X57" i="20"/>
  <c r="W55" i="20"/>
  <c r="W57" i="20"/>
  <c r="V55" i="20"/>
  <c r="U55" i="20"/>
  <c r="U57" i="20"/>
  <c r="T55" i="20"/>
  <c r="S55" i="20"/>
  <c r="S57" i="20"/>
  <c r="R55" i="20"/>
  <c r="R57" i="20"/>
  <c r="K55" i="20"/>
  <c r="K57" i="20"/>
  <c r="G54" i="20"/>
  <c r="G56" i="20"/>
  <c r="F54" i="20"/>
  <c r="F56" i="20"/>
  <c r="E54" i="20"/>
  <c r="D54" i="20"/>
  <c r="D56" i="20"/>
  <c r="C54" i="20"/>
  <c r="B54" i="20"/>
  <c r="B56" i="20"/>
  <c r="A54" i="20"/>
  <c r="A56" i="20"/>
  <c r="I46" i="20"/>
  <c r="H55" i="20"/>
  <c r="B17" i="20"/>
  <c r="G76" i="20"/>
  <c r="H74" i="22"/>
  <c r="T57" i="22"/>
  <c r="H54" i="22"/>
  <c r="H35" i="22"/>
  <c r="H55" i="22"/>
  <c r="H16" i="22"/>
  <c r="H18" i="22"/>
  <c r="T76" i="20"/>
  <c r="H74" i="20"/>
  <c r="H76" i="20"/>
  <c r="V57" i="20"/>
  <c r="L57" i="20"/>
  <c r="P57" i="20"/>
  <c r="Q57" i="20"/>
  <c r="M57" i="20"/>
  <c r="E56" i="20"/>
  <c r="C56" i="20"/>
  <c r="H54" i="20"/>
  <c r="I27" i="20"/>
  <c r="H36" i="20"/>
  <c r="A35" i="20"/>
  <c r="A37" i="20"/>
  <c r="B35" i="20"/>
  <c r="B37" i="20"/>
  <c r="C35" i="20"/>
  <c r="C37" i="20"/>
  <c r="D35" i="20"/>
  <c r="D37" i="20"/>
  <c r="E35" i="20"/>
  <c r="F35" i="20"/>
  <c r="F37" i="20"/>
  <c r="G35" i="20"/>
  <c r="G37" i="20"/>
  <c r="K35" i="20"/>
  <c r="K37" i="20"/>
  <c r="L35" i="20"/>
  <c r="L37" i="20"/>
  <c r="M35" i="20"/>
  <c r="M37" i="20"/>
  <c r="N35" i="20"/>
  <c r="N37" i="20"/>
  <c r="O35" i="20"/>
  <c r="O37" i="20"/>
  <c r="P35" i="20"/>
  <c r="P37" i="20"/>
  <c r="Q35" i="20"/>
  <c r="Q37" i="20"/>
  <c r="R35" i="20"/>
  <c r="R37" i="20"/>
  <c r="S35" i="20"/>
  <c r="S37" i="20"/>
  <c r="T35" i="20"/>
  <c r="T37" i="20"/>
  <c r="U35" i="20"/>
  <c r="U37" i="20"/>
  <c r="V35" i="20"/>
  <c r="V37" i="20"/>
  <c r="W35" i="20"/>
  <c r="W37" i="20"/>
  <c r="X35" i="20"/>
  <c r="X37" i="20"/>
  <c r="X16" i="20"/>
  <c r="X18" i="20"/>
  <c r="W16" i="20"/>
  <c r="W18" i="20"/>
  <c r="V16" i="20"/>
  <c r="V18" i="20"/>
  <c r="U16" i="20"/>
  <c r="U18" i="20"/>
  <c r="T16" i="20"/>
  <c r="T18" i="20"/>
  <c r="S16" i="20"/>
  <c r="S18" i="20"/>
  <c r="R16" i="20"/>
  <c r="R18" i="20"/>
  <c r="Q16" i="20"/>
  <c r="Q18" i="20"/>
  <c r="P16" i="20"/>
  <c r="P18" i="20"/>
  <c r="O16" i="20"/>
  <c r="O18" i="20"/>
  <c r="N16" i="20"/>
  <c r="N18" i="20"/>
  <c r="M16" i="20"/>
  <c r="M18" i="20"/>
  <c r="L16" i="20"/>
  <c r="L18" i="20"/>
  <c r="K16" i="20"/>
  <c r="K18" i="20"/>
  <c r="G16" i="20"/>
  <c r="G18" i="20"/>
  <c r="F16" i="20"/>
  <c r="F18" i="20"/>
  <c r="E16" i="20"/>
  <c r="E18" i="20"/>
  <c r="D16" i="20"/>
  <c r="D18" i="20"/>
  <c r="C16" i="20"/>
  <c r="C18" i="20"/>
  <c r="B16" i="20"/>
  <c r="B18" i="20"/>
  <c r="A16" i="20"/>
  <c r="A18" i="20"/>
  <c r="I8" i="20"/>
  <c r="H17" i="20"/>
  <c r="H56" i="22"/>
  <c r="H76" i="22"/>
  <c r="H37" i="22"/>
  <c r="H56" i="20"/>
  <c r="H35" i="20"/>
  <c r="H37" i="20"/>
  <c r="H16" i="20"/>
  <c r="H18" i="20"/>
  <c r="Q75" i="19"/>
  <c r="Q77" i="19"/>
  <c r="I67" i="19"/>
  <c r="X75" i="19"/>
  <c r="W75" i="19"/>
  <c r="V75" i="19"/>
  <c r="U75" i="19"/>
  <c r="U77" i="19"/>
  <c r="T75" i="19"/>
  <c r="S75" i="19"/>
  <c r="R75" i="19"/>
  <c r="P75" i="19"/>
  <c r="O75" i="19"/>
  <c r="N75" i="19"/>
  <c r="N77" i="19"/>
  <c r="M75" i="19"/>
  <c r="L75" i="19"/>
  <c r="K75" i="19"/>
  <c r="G75" i="19"/>
  <c r="F75" i="19"/>
  <c r="E75" i="19"/>
  <c r="D75" i="19"/>
  <c r="C75" i="19"/>
  <c r="B75" i="19"/>
  <c r="I48" i="19"/>
  <c r="I28" i="19"/>
  <c r="L56" i="19"/>
  <c r="M56" i="19"/>
  <c r="N56" i="19"/>
  <c r="O56" i="19"/>
  <c r="P56" i="19"/>
  <c r="Q56" i="19"/>
  <c r="R56" i="19"/>
  <c r="S56" i="19"/>
  <c r="B56" i="19"/>
  <c r="C56" i="19"/>
  <c r="D56" i="19"/>
  <c r="E56" i="19"/>
  <c r="F56" i="19"/>
  <c r="G56" i="19"/>
  <c r="X77" i="19"/>
  <c r="W77" i="19"/>
  <c r="F77" i="19"/>
  <c r="C77" i="19"/>
  <c r="G77" i="19"/>
  <c r="A77" i="19"/>
  <c r="E77" i="19"/>
  <c r="D77" i="19"/>
  <c r="L77" i="19"/>
  <c r="M77" i="19"/>
  <c r="K77" i="19"/>
  <c r="V77" i="19"/>
  <c r="T77" i="19"/>
  <c r="S77" i="19"/>
  <c r="R77" i="19"/>
  <c r="P77" i="19"/>
  <c r="O77" i="19"/>
  <c r="B77" i="19"/>
  <c r="H75" i="19"/>
  <c r="X56" i="19"/>
  <c r="X58" i="19"/>
  <c r="W56" i="19"/>
  <c r="V56" i="19"/>
  <c r="U56" i="19"/>
  <c r="T56" i="19"/>
  <c r="T58" i="19"/>
  <c r="S58" i="19"/>
  <c r="R58" i="19"/>
  <c r="Q58" i="19"/>
  <c r="P58" i="19"/>
  <c r="O58" i="19"/>
  <c r="N58" i="19"/>
  <c r="M58" i="19"/>
  <c r="L58" i="19"/>
  <c r="K56" i="19"/>
  <c r="K58" i="19"/>
  <c r="H57" i="19"/>
  <c r="G58" i="19"/>
  <c r="F58" i="19"/>
  <c r="E58" i="19"/>
  <c r="D58" i="19"/>
  <c r="C58" i="19"/>
  <c r="B58" i="19"/>
  <c r="A56" i="19"/>
  <c r="A58" i="19"/>
  <c r="A23" i="19"/>
  <c r="H76" i="19"/>
  <c r="H77" i="19"/>
  <c r="V58" i="19"/>
  <c r="W58" i="19"/>
  <c r="U58" i="19"/>
  <c r="H56" i="19"/>
  <c r="H58" i="19"/>
  <c r="W36" i="19"/>
  <c r="W38" i="19"/>
  <c r="X36" i="19"/>
  <c r="X38" i="19"/>
  <c r="X17" i="19"/>
  <c r="X19" i="19"/>
  <c r="U36" i="19"/>
  <c r="U38" i="19"/>
  <c r="V36" i="19"/>
  <c r="V38" i="19"/>
  <c r="T36" i="19"/>
  <c r="T38" i="19"/>
  <c r="S36" i="19"/>
  <c r="S38" i="19"/>
  <c r="R36" i="19"/>
  <c r="R38" i="19"/>
  <c r="Q36" i="19"/>
  <c r="Q38" i="19"/>
  <c r="P36" i="19"/>
  <c r="P38" i="19"/>
  <c r="O36" i="19"/>
  <c r="O38" i="19"/>
  <c r="N36" i="19"/>
  <c r="N38" i="19"/>
  <c r="M36" i="19"/>
  <c r="M38" i="19"/>
  <c r="L36" i="19"/>
  <c r="L38" i="19"/>
  <c r="K36" i="19"/>
  <c r="K38" i="19"/>
  <c r="G36" i="19"/>
  <c r="G38" i="19"/>
  <c r="F36" i="19"/>
  <c r="F38" i="19"/>
  <c r="E36" i="19"/>
  <c r="E38" i="19"/>
  <c r="D36" i="19"/>
  <c r="D38" i="19"/>
  <c r="C36" i="19"/>
  <c r="C38" i="19"/>
  <c r="B36" i="19"/>
  <c r="B38" i="19"/>
  <c r="A36" i="19"/>
  <c r="A38" i="19"/>
  <c r="H37" i="19"/>
  <c r="T19" i="19"/>
  <c r="F19" i="19"/>
  <c r="E19" i="19"/>
  <c r="W17" i="19"/>
  <c r="W19" i="19"/>
  <c r="V17" i="19"/>
  <c r="V19" i="19"/>
  <c r="U17" i="19"/>
  <c r="U19" i="19"/>
  <c r="T17" i="19"/>
  <c r="S17" i="19"/>
  <c r="S19" i="19"/>
  <c r="R17" i="19"/>
  <c r="R19" i="19"/>
  <c r="Q17" i="19"/>
  <c r="Q19" i="19"/>
  <c r="P17" i="19"/>
  <c r="P19" i="19"/>
  <c r="O17" i="19"/>
  <c r="O19" i="19"/>
  <c r="N17" i="19"/>
  <c r="N19" i="19"/>
  <c r="M17" i="19"/>
  <c r="M19" i="19"/>
  <c r="L17" i="19"/>
  <c r="L19" i="19"/>
  <c r="K17" i="19"/>
  <c r="K19" i="19"/>
  <c r="G17" i="19"/>
  <c r="G19" i="19"/>
  <c r="F17" i="19"/>
  <c r="E17" i="19"/>
  <c r="D17" i="19"/>
  <c r="D19" i="19"/>
  <c r="C17" i="19"/>
  <c r="C19" i="19"/>
  <c r="B17" i="19"/>
  <c r="B19" i="19"/>
  <c r="A17" i="19"/>
  <c r="A19" i="19"/>
  <c r="I9" i="19"/>
  <c r="H18" i="19"/>
  <c r="I108" i="18"/>
  <c r="H36" i="19"/>
  <c r="H38" i="19"/>
  <c r="H17" i="19"/>
  <c r="B116" i="18"/>
  <c r="C116" i="18"/>
  <c r="C118" i="18"/>
  <c r="D116" i="18"/>
  <c r="D118" i="18"/>
  <c r="E116" i="18"/>
  <c r="E118" i="18"/>
  <c r="F116" i="18"/>
  <c r="G116" i="18"/>
  <c r="G118" i="18"/>
  <c r="A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Y109" i="18"/>
  <c r="Y97" i="18"/>
  <c r="Y96" i="18"/>
  <c r="X96" i="18"/>
  <c r="X98" i="18"/>
  <c r="W96" i="18"/>
  <c r="W98" i="18"/>
  <c r="V96" i="18"/>
  <c r="V98" i="18"/>
  <c r="U96" i="18"/>
  <c r="U98" i="18"/>
  <c r="T96" i="18"/>
  <c r="T98" i="18"/>
  <c r="S96" i="18"/>
  <c r="S98" i="18"/>
  <c r="R96" i="18"/>
  <c r="R98" i="18"/>
  <c r="Q96" i="18"/>
  <c r="Q98" i="18"/>
  <c r="P96" i="18"/>
  <c r="P98" i="18"/>
  <c r="O96" i="18"/>
  <c r="O98" i="18"/>
  <c r="N96" i="18"/>
  <c r="N98" i="18"/>
  <c r="M96" i="18"/>
  <c r="M98" i="18"/>
  <c r="L96" i="18"/>
  <c r="L98" i="18"/>
  <c r="K96" i="18"/>
  <c r="K98" i="18"/>
  <c r="G96" i="18"/>
  <c r="G98" i="18"/>
  <c r="F96" i="18"/>
  <c r="F98" i="18"/>
  <c r="E96" i="18"/>
  <c r="E98" i="18"/>
  <c r="D96" i="18"/>
  <c r="D98" i="18"/>
  <c r="C96" i="18"/>
  <c r="C98" i="18"/>
  <c r="B96" i="18"/>
  <c r="B98" i="18"/>
  <c r="A96" i="18"/>
  <c r="A98" i="18"/>
  <c r="Y89" i="18"/>
  <c r="I88" i="18"/>
  <c r="H97" i="18"/>
  <c r="F77" i="18"/>
  <c r="C58" i="18"/>
  <c r="Y77" i="18"/>
  <c r="Y76" i="18"/>
  <c r="X76" i="18"/>
  <c r="X78" i="18"/>
  <c r="W76" i="18"/>
  <c r="W78" i="18"/>
  <c r="V76" i="18"/>
  <c r="V78" i="18"/>
  <c r="U76" i="18"/>
  <c r="U78" i="18"/>
  <c r="T76" i="18"/>
  <c r="T78" i="18"/>
  <c r="S76" i="18"/>
  <c r="S78" i="18"/>
  <c r="R76" i="18"/>
  <c r="R78" i="18"/>
  <c r="Q76" i="18"/>
  <c r="Q78" i="18"/>
  <c r="P76" i="18"/>
  <c r="P78" i="18"/>
  <c r="O76" i="18"/>
  <c r="O78" i="18"/>
  <c r="N76" i="18"/>
  <c r="N78" i="18"/>
  <c r="M76" i="18"/>
  <c r="M78" i="18"/>
  <c r="L76" i="18"/>
  <c r="L78" i="18"/>
  <c r="K76" i="18"/>
  <c r="K78" i="18"/>
  <c r="G76" i="18"/>
  <c r="G78" i="18"/>
  <c r="F76" i="18"/>
  <c r="E76" i="18"/>
  <c r="E78" i="18"/>
  <c r="D76" i="18"/>
  <c r="D78" i="18"/>
  <c r="C76" i="18"/>
  <c r="C78" i="18"/>
  <c r="B76" i="18"/>
  <c r="B78" i="18"/>
  <c r="A76" i="18"/>
  <c r="A78" i="18"/>
  <c r="Y69" i="18"/>
  <c r="I68" i="18"/>
  <c r="E59" i="18"/>
  <c r="Y58" i="18"/>
  <c r="Y57" i="18"/>
  <c r="X57" i="18"/>
  <c r="X59" i="18"/>
  <c r="W57" i="18"/>
  <c r="W59" i="18"/>
  <c r="V57" i="18"/>
  <c r="V59" i="18"/>
  <c r="U57" i="18"/>
  <c r="U59" i="18"/>
  <c r="T57" i="18"/>
  <c r="T59" i="18"/>
  <c r="S57" i="18"/>
  <c r="S59" i="18"/>
  <c r="R57" i="18"/>
  <c r="R59" i="18"/>
  <c r="Q57" i="18"/>
  <c r="Q59" i="18"/>
  <c r="P57" i="18"/>
  <c r="P59" i="18"/>
  <c r="O57" i="18"/>
  <c r="O59" i="18"/>
  <c r="N57" i="18"/>
  <c r="N59" i="18"/>
  <c r="M57" i="18"/>
  <c r="M59" i="18"/>
  <c r="L57" i="18"/>
  <c r="L59" i="18"/>
  <c r="K57" i="18"/>
  <c r="K59" i="18"/>
  <c r="G57" i="18"/>
  <c r="G59" i="18"/>
  <c r="F57" i="18"/>
  <c r="F59" i="18"/>
  <c r="E57" i="18"/>
  <c r="D57" i="18"/>
  <c r="D59" i="18"/>
  <c r="C57" i="18"/>
  <c r="B57" i="18"/>
  <c r="B59" i="18"/>
  <c r="A57" i="18"/>
  <c r="A59" i="18"/>
  <c r="Y50" i="18"/>
  <c r="I49" i="18"/>
  <c r="I27" i="18"/>
  <c r="Y36" i="18"/>
  <c r="Y35" i="18"/>
  <c r="X35" i="18"/>
  <c r="X37" i="18"/>
  <c r="W35" i="18"/>
  <c r="W37" i="18"/>
  <c r="V35" i="18"/>
  <c r="V37" i="18"/>
  <c r="U35" i="18"/>
  <c r="U37" i="18"/>
  <c r="T35" i="18"/>
  <c r="T37" i="18"/>
  <c r="S35" i="18"/>
  <c r="S37" i="18"/>
  <c r="R35" i="18"/>
  <c r="R37" i="18"/>
  <c r="Q35" i="18"/>
  <c r="Q37" i="18"/>
  <c r="P35" i="18"/>
  <c r="P37" i="18"/>
  <c r="O35" i="18"/>
  <c r="O37" i="18"/>
  <c r="N35" i="18"/>
  <c r="N37" i="18"/>
  <c r="M35" i="18"/>
  <c r="M37" i="18"/>
  <c r="L35" i="18"/>
  <c r="L37" i="18"/>
  <c r="K35" i="18"/>
  <c r="K37" i="18"/>
  <c r="Y28" i="18"/>
  <c r="E37" i="18"/>
  <c r="G35" i="18"/>
  <c r="G37" i="18"/>
  <c r="F35" i="18"/>
  <c r="F37" i="18"/>
  <c r="E35" i="18"/>
  <c r="D35" i="18"/>
  <c r="D37" i="18"/>
  <c r="C35" i="18"/>
  <c r="C37" i="18"/>
  <c r="B35" i="18"/>
  <c r="B37" i="18"/>
  <c r="A35" i="18"/>
  <c r="A37" i="18"/>
  <c r="Y17" i="18"/>
  <c r="Y16" i="18"/>
  <c r="X16" i="18"/>
  <c r="X18" i="18"/>
  <c r="W16" i="18"/>
  <c r="W18" i="18"/>
  <c r="V16" i="18"/>
  <c r="V18" i="18"/>
  <c r="U16" i="18"/>
  <c r="U18" i="18"/>
  <c r="T16" i="18"/>
  <c r="T18" i="18"/>
  <c r="S16" i="18"/>
  <c r="S18" i="18"/>
  <c r="R16" i="18"/>
  <c r="R18" i="18"/>
  <c r="Q16" i="18"/>
  <c r="Q18" i="18"/>
  <c r="P16" i="18"/>
  <c r="P18" i="18"/>
  <c r="O16" i="18"/>
  <c r="O18" i="18"/>
  <c r="N16" i="18"/>
  <c r="N18" i="18"/>
  <c r="M16" i="18"/>
  <c r="M18" i="18"/>
  <c r="L16" i="18"/>
  <c r="L18" i="18"/>
  <c r="K16" i="18"/>
  <c r="K18" i="18"/>
  <c r="G16" i="18"/>
  <c r="G18" i="18"/>
  <c r="F16" i="18"/>
  <c r="F18" i="18"/>
  <c r="E16" i="18"/>
  <c r="E18" i="18"/>
  <c r="D16" i="18"/>
  <c r="D18" i="18"/>
  <c r="C16" i="18"/>
  <c r="C18" i="18"/>
  <c r="B16" i="18"/>
  <c r="B18" i="18"/>
  <c r="A16" i="18"/>
  <c r="A18" i="18"/>
  <c r="Y9" i="18"/>
  <c r="I8" i="18"/>
  <c r="U74" i="17"/>
  <c r="U76" i="17"/>
  <c r="F74" i="17"/>
  <c r="F76" i="17"/>
  <c r="G74" i="17"/>
  <c r="G76" i="17"/>
  <c r="B118" i="18"/>
  <c r="F118" i="18"/>
  <c r="H117" i="18"/>
  <c r="A118" i="18"/>
  <c r="H116" i="18"/>
  <c r="Y117" i="18"/>
  <c r="N118" i="18"/>
  <c r="R118" i="18"/>
  <c r="Q118" i="18"/>
  <c r="M118" i="18"/>
  <c r="O118" i="18"/>
  <c r="S118" i="18"/>
  <c r="W118" i="18"/>
  <c r="U118" i="18"/>
  <c r="V118" i="18"/>
  <c r="X118" i="18"/>
  <c r="L118" i="18"/>
  <c r="P118" i="18"/>
  <c r="T118" i="18"/>
  <c r="K118" i="18"/>
  <c r="F78" i="18"/>
  <c r="H35" i="18"/>
  <c r="H96" i="18"/>
  <c r="H58" i="18"/>
  <c r="C59" i="18"/>
  <c r="H76" i="18"/>
  <c r="H77" i="18"/>
  <c r="H57" i="18"/>
  <c r="H36" i="18"/>
  <c r="H16" i="18"/>
  <c r="H17" i="18"/>
  <c r="W74" i="17"/>
  <c r="W76" i="17"/>
  <c r="B55" i="17"/>
  <c r="I28" i="17"/>
  <c r="Y116" i="18"/>
  <c r="Y75" i="17"/>
  <c r="Y74" i="17"/>
  <c r="X74" i="17"/>
  <c r="X76" i="17"/>
  <c r="V74" i="17"/>
  <c r="V76" i="17"/>
  <c r="T74" i="17"/>
  <c r="T76" i="17"/>
  <c r="S74" i="17"/>
  <c r="S76" i="17"/>
  <c r="R74" i="17"/>
  <c r="R76" i="17"/>
  <c r="Q74" i="17"/>
  <c r="Q76" i="17"/>
  <c r="P74" i="17"/>
  <c r="P76" i="17"/>
  <c r="O74" i="17"/>
  <c r="O76" i="17"/>
  <c r="N74" i="17"/>
  <c r="N76" i="17"/>
  <c r="M74" i="17"/>
  <c r="M76" i="17"/>
  <c r="L74" i="17"/>
  <c r="L76" i="17"/>
  <c r="K74" i="17"/>
  <c r="K76" i="17"/>
  <c r="Y67" i="17"/>
  <c r="E74" i="17"/>
  <c r="E76" i="17"/>
  <c r="D74" i="17"/>
  <c r="D76" i="17"/>
  <c r="C74" i="17"/>
  <c r="C76" i="17"/>
  <c r="B74" i="17"/>
  <c r="B76" i="17"/>
  <c r="A74" i="17"/>
  <c r="A76" i="17"/>
  <c r="I66" i="17"/>
  <c r="H75" i="17"/>
  <c r="Y56" i="17"/>
  <c r="Y55" i="17"/>
  <c r="X55" i="17"/>
  <c r="X57" i="17"/>
  <c r="W55" i="17"/>
  <c r="W57" i="17"/>
  <c r="V55" i="17"/>
  <c r="V57" i="17"/>
  <c r="U55" i="17"/>
  <c r="U57" i="17"/>
  <c r="T55" i="17"/>
  <c r="T57" i="17"/>
  <c r="S55" i="17"/>
  <c r="S57" i="17"/>
  <c r="R55" i="17"/>
  <c r="R57" i="17"/>
  <c r="Q55" i="17"/>
  <c r="Q57" i="17"/>
  <c r="P55" i="17"/>
  <c r="P57" i="17"/>
  <c r="O55" i="17"/>
  <c r="O57" i="17"/>
  <c r="N55" i="17"/>
  <c r="N57" i="17"/>
  <c r="M55" i="17"/>
  <c r="M57" i="17"/>
  <c r="L55" i="17"/>
  <c r="L57" i="17"/>
  <c r="K55" i="17"/>
  <c r="K57" i="17"/>
  <c r="Y48" i="17"/>
  <c r="G55" i="17"/>
  <c r="G57" i="17"/>
  <c r="F55" i="17"/>
  <c r="F57" i="17"/>
  <c r="E55" i="17"/>
  <c r="E57" i="17"/>
  <c r="D55" i="17"/>
  <c r="D57" i="17"/>
  <c r="C55" i="17"/>
  <c r="C57" i="17"/>
  <c r="B57" i="17"/>
  <c r="A55" i="17"/>
  <c r="A57" i="17"/>
  <c r="I47" i="17"/>
  <c r="H56" i="17"/>
  <c r="Y37" i="17"/>
  <c r="Y36" i="17"/>
  <c r="X36" i="17"/>
  <c r="X38" i="17"/>
  <c r="W36" i="17"/>
  <c r="W38" i="17"/>
  <c r="V36" i="17"/>
  <c r="V38" i="17"/>
  <c r="U36" i="17"/>
  <c r="U38" i="17"/>
  <c r="T36" i="17"/>
  <c r="T38" i="17"/>
  <c r="S36" i="17"/>
  <c r="S38" i="17"/>
  <c r="R36" i="17"/>
  <c r="R38" i="17"/>
  <c r="Q36" i="17"/>
  <c r="Q38" i="17"/>
  <c r="P36" i="17"/>
  <c r="P38" i="17"/>
  <c r="O36" i="17"/>
  <c r="O38" i="17"/>
  <c r="N36" i="17"/>
  <c r="N38" i="17"/>
  <c r="M36" i="17"/>
  <c r="M38" i="17"/>
  <c r="L36" i="17"/>
  <c r="L38" i="17"/>
  <c r="K36" i="17"/>
  <c r="K38" i="17"/>
  <c r="Y29" i="17"/>
  <c r="G36" i="17"/>
  <c r="F36" i="17"/>
  <c r="F38" i="17"/>
  <c r="E36" i="17"/>
  <c r="E38" i="17"/>
  <c r="D36" i="17"/>
  <c r="D38" i="17"/>
  <c r="C36" i="17"/>
  <c r="C38" i="17"/>
  <c r="B36" i="17"/>
  <c r="B38" i="17"/>
  <c r="A36" i="17"/>
  <c r="A38" i="17"/>
  <c r="H37" i="17"/>
  <c r="Y18" i="17"/>
  <c r="Y17" i="17"/>
  <c r="X17" i="17"/>
  <c r="X19" i="17"/>
  <c r="W17" i="17"/>
  <c r="W19" i="17"/>
  <c r="V17" i="17"/>
  <c r="V19" i="17"/>
  <c r="U17" i="17"/>
  <c r="U19" i="17"/>
  <c r="T17" i="17"/>
  <c r="T19" i="17"/>
  <c r="S17" i="17"/>
  <c r="S19" i="17"/>
  <c r="R17" i="17"/>
  <c r="R19" i="17"/>
  <c r="Q17" i="17"/>
  <c r="Q19" i="17"/>
  <c r="P17" i="17"/>
  <c r="P19" i="17"/>
  <c r="O17" i="17"/>
  <c r="O19" i="17"/>
  <c r="N17" i="17"/>
  <c r="N19" i="17"/>
  <c r="M17" i="17"/>
  <c r="M19" i="17"/>
  <c r="L17" i="17"/>
  <c r="L19" i="17"/>
  <c r="K17" i="17"/>
  <c r="K19" i="17"/>
  <c r="Y10" i="17"/>
  <c r="G17" i="17"/>
  <c r="G19" i="17"/>
  <c r="F17" i="17"/>
  <c r="F19" i="17"/>
  <c r="E17" i="17"/>
  <c r="E19" i="17"/>
  <c r="D17" i="17"/>
  <c r="D19" i="17"/>
  <c r="C17" i="17"/>
  <c r="C19" i="17"/>
  <c r="B17" i="17"/>
  <c r="B19" i="17"/>
  <c r="A17" i="17"/>
  <c r="A19" i="17"/>
  <c r="I9" i="17"/>
  <c r="Y95" i="16"/>
  <c r="Y94" i="16"/>
  <c r="X94" i="16"/>
  <c r="X96" i="16"/>
  <c r="W94" i="16"/>
  <c r="W96" i="16"/>
  <c r="V94" i="16"/>
  <c r="V96" i="16"/>
  <c r="U94" i="16"/>
  <c r="U96" i="16"/>
  <c r="T94" i="16"/>
  <c r="T96" i="16"/>
  <c r="S94" i="16"/>
  <c r="S96" i="16"/>
  <c r="R94" i="16"/>
  <c r="R96" i="16"/>
  <c r="Q94" i="16"/>
  <c r="Q96" i="16"/>
  <c r="P94" i="16"/>
  <c r="P96" i="16"/>
  <c r="O94" i="16"/>
  <c r="O96" i="16"/>
  <c r="N94" i="16"/>
  <c r="N96" i="16"/>
  <c r="M94" i="16"/>
  <c r="M96" i="16"/>
  <c r="L94" i="16"/>
  <c r="L96" i="16"/>
  <c r="K94" i="16"/>
  <c r="K96" i="16"/>
  <c r="Y87" i="16"/>
  <c r="G94" i="16"/>
  <c r="G96" i="16"/>
  <c r="F94" i="16"/>
  <c r="F96" i="16"/>
  <c r="E94" i="16"/>
  <c r="E96" i="16"/>
  <c r="D94" i="16"/>
  <c r="D96" i="16"/>
  <c r="C94" i="16"/>
  <c r="C96" i="16"/>
  <c r="B94" i="16"/>
  <c r="B96" i="16"/>
  <c r="A94" i="16"/>
  <c r="A96" i="16"/>
  <c r="I86" i="16"/>
  <c r="H95" i="16"/>
  <c r="C74" i="16"/>
  <c r="C76" i="16"/>
  <c r="Y75" i="16"/>
  <c r="Y74" i="16"/>
  <c r="X74" i="16"/>
  <c r="X76" i="16"/>
  <c r="W74" i="16"/>
  <c r="W76" i="16"/>
  <c r="V74" i="16"/>
  <c r="V76" i="16"/>
  <c r="U74" i="16"/>
  <c r="U76" i="16"/>
  <c r="T74" i="16"/>
  <c r="T76" i="16"/>
  <c r="S74" i="16"/>
  <c r="S76" i="16"/>
  <c r="R74" i="16"/>
  <c r="R76" i="16"/>
  <c r="Q74" i="16"/>
  <c r="Q76" i="16"/>
  <c r="P74" i="16"/>
  <c r="P76" i="16"/>
  <c r="O74" i="16"/>
  <c r="O76" i="16"/>
  <c r="N74" i="16"/>
  <c r="N76" i="16"/>
  <c r="M74" i="16"/>
  <c r="M76" i="16"/>
  <c r="L74" i="16"/>
  <c r="L76" i="16"/>
  <c r="K74" i="16"/>
  <c r="K76" i="16"/>
  <c r="G74" i="16"/>
  <c r="G76" i="16"/>
  <c r="F74" i="16"/>
  <c r="F76" i="16"/>
  <c r="E74" i="16"/>
  <c r="E76" i="16"/>
  <c r="D74" i="16"/>
  <c r="D76" i="16"/>
  <c r="B74" i="16"/>
  <c r="B76" i="16"/>
  <c r="A74" i="16"/>
  <c r="A76" i="16"/>
  <c r="Y67" i="16"/>
  <c r="I66" i="16"/>
  <c r="Y56" i="16"/>
  <c r="Y55" i="16"/>
  <c r="X55" i="16"/>
  <c r="X57" i="16"/>
  <c r="W55" i="16"/>
  <c r="W57" i="16"/>
  <c r="V55" i="16"/>
  <c r="V57" i="16"/>
  <c r="U55" i="16"/>
  <c r="U57" i="16"/>
  <c r="T55" i="16"/>
  <c r="T57" i="16"/>
  <c r="S55" i="16"/>
  <c r="S57" i="16"/>
  <c r="R55" i="16"/>
  <c r="R57" i="16"/>
  <c r="Q55" i="16"/>
  <c r="Q57" i="16"/>
  <c r="P55" i="16"/>
  <c r="P57" i="16"/>
  <c r="O55" i="16"/>
  <c r="O57" i="16"/>
  <c r="N55" i="16"/>
  <c r="N57" i="16"/>
  <c r="M55" i="16"/>
  <c r="M57" i="16"/>
  <c r="L55" i="16"/>
  <c r="L57" i="16"/>
  <c r="K55" i="16"/>
  <c r="K57" i="16"/>
  <c r="G55" i="16"/>
  <c r="G57" i="16"/>
  <c r="F55" i="16"/>
  <c r="F57" i="16"/>
  <c r="E55" i="16"/>
  <c r="E57" i="16"/>
  <c r="D55" i="16"/>
  <c r="D57" i="16"/>
  <c r="C55" i="16"/>
  <c r="C57" i="16"/>
  <c r="B55" i="16"/>
  <c r="B57" i="16"/>
  <c r="A55" i="16"/>
  <c r="A57" i="16"/>
  <c r="Y48" i="16"/>
  <c r="I47" i="16"/>
  <c r="X36" i="16"/>
  <c r="X38" i="16"/>
  <c r="W36" i="16"/>
  <c r="W38" i="16"/>
  <c r="V36" i="16"/>
  <c r="V38" i="16"/>
  <c r="U36" i="16"/>
  <c r="U38" i="16"/>
  <c r="T36" i="16"/>
  <c r="T38" i="16"/>
  <c r="S36" i="16"/>
  <c r="S38" i="16"/>
  <c r="R36" i="16"/>
  <c r="Q36" i="16"/>
  <c r="P36" i="16"/>
  <c r="O36" i="16"/>
  <c r="N36" i="16"/>
  <c r="M36" i="16"/>
  <c r="L36" i="16"/>
  <c r="K36" i="16"/>
  <c r="G36" i="16"/>
  <c r="G38" i="16"/>
  <c r="F36" i="16"/>
  <c r="F38" i="16"/>
  <c r="E36" i="16"/>
  <c r="E38" i="16"/>
  <c r="D36" i="16"/>
  <c r="D38" i="16"/>
  <c r="C36" i="16"/>
  <c r="C38" i="16"/>
  <c r="B36" i="16"/>
  <c r="B38" i="16"/>
  <c r="A36" i="16"/>
  <c r="A38" i="16"/>
  <c r="Y29" i="16"/>
  <c r="I28" i="16"/>
  <c r="H37" i="16"/>
  <c r="W22" i="14"/>
  <c r="X17" i="16"/>
  <c r="X19" i="16"/>
  <c r="W17" i="16"/>
  <c r="V17" i="16"/>
  <c r="U17" i="16"/>
  <c r="T17" i="16"/>
  <c r="T19" i="16"/>
  <c r="S17" i="16"/>
  <c r="S19" i="16"/>
  <c r="R17" i="16"/>
  <c r="R19" i="16"/>
  <c r="Q17" i="16"/>
  <c r="Q19" i="16"/>
  <c r="P17" i="16"/>
  <c r="P19" i="16"/>
  <c r="O17" i="16"/>
  <c r="O19" i="16"/>
  <c r="N17" i="16"/>
  <c r="N19" i="16"/>
  <c r="M17" i="16"/>
  <c r="M19" i="16"/>
  <c r="L17" i="16"/>
  <c r="L19" i="16"/>
  <c r="K17" i="16"/>
  <c r="K19" i="16"/>
  <c r="Y10" i="16"/>
  <c r="G17" i="16"/>
  <c r="G19" i="16"/>
  <c r="F17" i="16"/>
  <c r="F19" i="16"/>
  <c r="E17" i="16"/>
  <c r="E19" i="16"/>
  <c r="D17" i="16"/>
  <c r="D19" i="16"/>
  <c r="C17" i="16"/>
  <c r="C19" i="16"/>
  <c r="B17" i="16"/>
  <c r="B19" i="16"/>
  <c r="A17" i="16"/>
  <c r="A19" i="16"/>
  <c r="I9" i="16"/>
  <c r="H18" i="16"/>
  <c r="H74" i="17"/>
  <c r="H55" i="17"/>
  <c r="G38" i="17"/>
  <c r="H36" i="17"/>
  <c r="H17" i="17"/>
  <c r="H18" i="17"/>
  <c r="H94" i="16"/>
  <c r="H74" i="16"/>
  <c r="Y18" i="16"/>
  <c r="Y17" i="16"/>
  <c r="W19" i="16"/>
  <c r="V19" i="16"/>
  <c r="U19" i="16"/>
  <c r="R38" i="16"/>
  <c r="Q38" i="16"/>
  <c r="P38" i="16"/>
  <c r="Y37" i="16"/>
  <c r="O38" i="16"/>
  <c r="N38" i="16"/>
  <c r="M38" i="16"/>
  <c r="Y36" i="16"/>
  <c r="L38" i="16"/>
  <c r="K38" i="16"/>
  <c r="H55" i="16"/>
  <c r="H36" i="16"/>
  <c r="H75" i="16"/>
  <c r="H56" i="16"/>
  <c r="H17" i="16"/>
  <c r="Z74" i="14"/>
  <c r="Z73" i="14"/>
  <c r="Y73" i="14"/>
  <c r="Y75" i="14"/>
  <c r="X73" i="14"/>
  <c r="X75" i="14"/>
  <c r="W73" i="14"/>
  <c r="W75" i="14"/>
  <c r="V73" i="14"/>
  <c r="V75" i="14"/>
  <c r="U73" i="14"/>
  <c r="U75" i="14"/>
  <c r="T73" i="14"/>
  <c r="T75" i="14"/>
  <c r="S73" i="14"/>
  <c r="S75" i="14"/>
  <c r="R73" i="14"/>
  <c r="R75" i="14"/>
  <c r="Q73" i="14"/>
  <c r="Q75" i="14"/>
  <c r="P73" i="14"/>
  <c r="P75" i="14"/>
  <c r="O73" i="14"/>
  <c r="O75" i="14"/>
  <c r="N73" i="14"/>
  <c r="N75" i="14"/>
  <c r="M73" i="14"/>
  <c r="M75" i="14"/>
  <c r="L73" i="14"/>
  <c r="L75" i="14"/>
  <c r="Z66" i="14"/>
  <c r="I46" i="14"/>
  <c r="H55" i="14"/>
  <c r="Z55" i="14"/>
  <c r="Z54" i="14"/>
  <c r="Y54" i="14"/>
  <c r="Y56" i="14"/>
  <c r="X54" i="14"/>
  <c r="X56" i="14"/>
  <c r="W54" i="14"/>
  <c r="W56" i="14"/>
  <c r="V54" i="14"/>
  <c r="V56" i="14"/>
  <c r="U54" i="14"/>
  <c r="U56" i="14"/>
  <c r="T54" i="14"/>
  <c r="T56" i="14"/>
  <c r="S54" i="14"/>
  <c r="S56" i="14"/>
  <c r="R54" i="14"/>
  <c r="R56" i="14"/>
  <c r="Q54" i="14"/>
  <c r="Q56" i="14"/>
  <c r="P54" i="14"/>
  <c r="P56" i="14"/>
  <c r="O54" i="14"/>
  <c r="O56" i="14"/>
  <c r="N54" i="14"/>
  <c r="N56" i="14"/>
  <c r="M54" i="14"/>
  <c r="M56" i="14"/>
  <c r="L54" i="14"/>
  <c r="L56" i="14"/>
  <c r="Z47" i="14"/>
  <c r="I27" i="14"/>
  <c r="H36" i="14"/>
  <c r="Z36" i="14"/>
  <c r="Z35" i="14"/>
  <c r="Y35" i="14"/>
  <c r="Y37" i="14"/>
  <c r="X35" i="14"/>
  <c r="X37" i="14"/>
  <c r="W35" i="14"/>
  <c r="W37" i="14"/>
  <c r="V35" i="14"/>
  <c r="V37" i="14"/>
  <c r="U35" i="14"/>
  <c r="U37" i="14"/>
  <c r="T35" i="14"/>
  <c r="T37" i="14"/>
  <c r="S35" i="14"/>
  <c r="S37" i="14"/>
  <c r="R35" i="14"/>
  <c r="R37" i="14"/>
  <c r="Q35" i="14"/>
  <c r="Q37" i="14"/>
  <c r="P35" i="14"/>
  <c r="P37" i="14"/>
  <c r="O35" i="14"/>
  <c r="O37" i="14"/>
  <c r="N35" i="14"/>
  <c r="N37" i="14"/>
  <c r="M35" i="14"/>
  <c r="M37" i="14"/>
  <c r="L35" i="14"/>
  <c r="L37" i="14"/>
  <c r="Z28" i="14"/>
  <c r="I8" i="14"/>
  <c r="H17" i="14"/>
  <c r="Z17" i="14"/>
  <c r="Z16" i="14"/>
  <c r="Y16" i="14"/>
  <c r="Y18" i="14"/>
  <c r="X16" i="14"/>
  <c r="X18" i="14"/>
  <c r="W16" i="14"/>
  <c r="W18" i="14"/>
  <c r="V16" i="14"/>
  <c r="V18" i="14"/>
  <c r="U16" i="14"/>
  <c r="U18" i="14"/>
  <c r="T16" i="14"/>
  <c r="T18" i="14"/>
  <c r="S16" i="14"/>
  <c r="S18" i="14"/>
  <c r="R16" i="14"/>
  <c r="R18" i="14"/>
  <c r="Q16" i="14"/>
  <c r="Q18" i="14"/>
  <c r="P16" i="14"/>
  <c r="P18" i="14"/>
  <c r="O16" i="14"/>
  <c r="N16" i="14"/>
  <c r="N18" i="14"/>
  <c r="M16" i="14"/>
  <c r="M18" i="14"/>
  <c r="L16" i="14"/>
  <c r="L18" i="14"/>
  <c r="Z9" i="14"/>
  <c r="I84" i="13"/>
  <c r="H93" i="13"/>
  <c r="I65" i="13"/>
  <c r="H74" i="13"/>
  <c r="Z93" i="13"/>
  <c r="Z92" i="13"/>
  <c r="Y92" i="13"/>
  <c r="Y94" i="13"/>
  <c r="X92" i="13"/>
  <c r="X94" i="13"/>
  <c r="W92" i="13"/>
  <c r="W94" i="13"/>
  <c r="V92" i="13"/>
  <c r="V94" i="13"/>
  <c r="U92" i="13"/>
  <c r="U94" i="13"/>
  <c r="T92" i="13"/>
  <c r="T94" i="13"/>
  <c r="S92" i="13"/>
  <c r="S94" i="13"/>
  <c r="R92" i="13"/>
  <c r="R94" i="13"/>
  <c r="Q92" i="13"/>
  <c r="Q94" i="13"/>
  <c r="P92" i="13"/>
  <c r="P94" i="13"/>
  <c r="O92" i="13"/>
  <c r="N92" i="13"/>
  <c r="N94" i="13"/>
  <c r="M92" i="13"/>
  <c r="M94" i="13"/>
  <c r="L92" i="13"/>
  <c r="L94" i="13"/>
  <c r="Z85" i="13"/>
  <c r="Z74" i="13"/>
  <c r="Z73" i="13"/>
  <c r="Y73" i="13"/>
  <c r="Y75" i="13"/>
  <c r="X73" i="13"/>
  <c r="X75" i="13"/>
  <c r="W73" i="13"/>
  <c r="W75" i="13"/>
  <c r="V73" i="13"/>
  <c r="V75" i="13"/>
  <c r="U73" i="13"/>
  <c r="U75" i="13"/>
  <c r="T73" i="13"/>
  <c r="T75" i="13"/>
  <c r="S73" i="13"/>
  <c r="S75" i="13"/>
  <c r="R73" i="13"/>
  <c r="R75" i="13"/>
  <c r="Q73" i="13"/>
  <c r="Q75" i="13"/>
  <c r="P73" i="13"/>
  <c r="P75" i="13"/>
  <c r="O73" i="13"/>
  <c r="O75" i="13"/>
  <c r="N73" i="13"/>
  <c r="N75" i="13"/>
  <c r="M73" i="13"/>
  <c r="M75" i="13"/>
  <c r="L73" i="13"/>
  <c r="L75" i="13"/>
  <c r="Z66" i="13"/>
  <c r="I46" i="13"/>
  <c r="H55" i="13"/>
  <c r="Z55" i="13"/>
  <c r="Z54" i="13"/>
  <c r="Y54" i="13"/>
  <c r="Y56" i="13"/>
  <c r="X54" i="13"/>
  <c r="X56" i="13"/>
  <c r="W54" i="13"/>
  <c r="W56" i="13"/>
  <c r="V54" i="13"/>
  <c r="V56" i="13"/>
  <c r="U54" i="13"/>
  <c r="U56" i="13"/>
  <c r="T54" i="13"/>
  <c r="T56" i="13"/>
  <c r="S54" i="13"/>
  <c r="S56" i="13"/>
  <c r="R54" i="13"/>
  <c r="R56" i="13"/>
  <c r="Q54" i="13"/>
  <c r="Q56" i="13"/>
  <c r="P54" i="13"/>
  <c r="P56" i="13"/>
  <c r="O54" i="13"/>
  <c r="O56" i="13"/>
  <c r="N54" i="13"/>
  <c r="N56" i="13"/>
  <c r="M54" i="13"/>
  <c r="M56" i="13"/>
  <c r="L54" i="13"/>
  <c r="L56" i="13"/>
  <c r="Z47" i="13"/>
  <c r="I27" i="13"/>
  <c r="Z36" i="13"/>
  <c r="Z35" i="13"/>
  <c r="Y35" i="13"/>
  <c r="Y37" i="13"/>
  <c r="X35" i="13"/>
  <c r="X37" i="13"/>
  <c r="W35" i="13"/>
  <c r="W37" i="13"/>
  <c r="V35" i="13"/>
  <c r="V37" i="13"/>
  <c r="U35" i="13"/>
  <c r="U37" i="13"/>
  <c r="T35" i="13"/>
  <c r="T37" i="13"/>
  <c r="S35" i="13"/>
  <c r="S37" i="13"/>
  <c r="R35" i="13"/>
  <c r="R37" i="13"/>
  <c r="Q35" i="13"/>
  <c r="Q37" i="13"/>
  <c r="P35" i="13"/>
  <c r="P37" i="13"/>
  <c r="O35" i="13"/>
  <c r="O37" i="13"/>
  <c r="N35" i="13"/>
  <c r="N37" i="13"/>
  <c r="M35" i="13"/>
  <c r="M37" i="13"/>
  <c r="L35" i="13"/>
  <c r="L37" i="13"/>
  <c r="Z28" i="13"/>
  <c r="I8" i="13"/>
  <c r="H17" i="13"/>
  <c r="Z17" i="13"/>
  <c r="Z16" i="13"/>
  <c r="Y16" i="13"/>
  <c r="Y18" i="13"/>
  <c r="X16" i="13"/>
  <c r="X18" i="13"/>
  <c r="W16" i="13"/>
  <c r="W18" i="13"/>
  <c r="V16" i="13"/>
  <c r="V18" i="13"/>
  <c r="U16" i="13"/>
  <c r="U18" i="13"/>
  <c r="T16" i="13"/>
  <c r="T18" i="13"/>
  <c r="S16" i="13"/>
  <c r="S18" i="13"/>
  <c r="R16" i="13"/>
  <c r="R18" i="13"/>
  <c r="Q16" i="13"/>
  <c r="Q18" i="13"/>
  <c r="P16" i="13"/>
  <c r="P18" i="13"/>
  <c r="O16" i="13"/>
  <c r="O18" i="13"/>
  <c r="N16" i="13"/>
  <c r="N18" i="13"/>
  <c r="M16" i="13"/>
  <c r="M18" i="13"/>
  <c r="L16" i="13"/>
  <c r="L18" i="13"/>
  <c r="Z9" i="13"/>
  <c r="I65" i="12"/>
  <c r="H74" i="12"/>
  <c r="Y74" i="12"/>
  <c r="Y73" i="12"/>
  <c r="X73" i="12"/>
  <c r="X75" i="12"/>
  <c r="W73" i="12"/>
  <c r="W75" i="12"/>
  <c r="V73" i="12"/>
  <c r="V75" i="12"/>
  <c r="U73" i="12"/>
  <c r="U75" i="12"/>
  <c r="T73" i="12"/>
  <c r="T75" i="12"/>
  <c r="S73" i="12"/>
  <c r="S75" i="12"/>
  <c r="R73" i="12"/>
  <c r="R75" i="12"/>
  <c r="Q73" i="12"/>
  <c r="Q75" i="12"/>
  <c r="P73" i="12"/>
  <c r="P75" i="12"/>
  <c r="O73" i="12"/>
  <c r="O75" i="12"/>
  <c r="N73" i="12"/>
  <c r="N75" i="12"/>
  <c r="M73" i="12"/>
  <c r="M75" i="12"/>
  <c r="L73" i="12"/>
  <c r="L75" i="12"/>
  <c r="K73" i="12"/>
  <c r="K75" i="12"/>
  <c r="Y66" i="12"/>
  <c r="I46" i="12"/>
  <c r="H55" i="12"/>
  <c r="H36" i="13"/>
  <c r="Y55" i="12"/>
  <c r="Y54" i="12"/>
  <c r="X54" i="12"/>
  <c r="X56" i="12"/>
  <c r="W54" i="12"/>
  <c r="W56" i="12"/>
  <c r="V54" i="12"/>
  <c r="V56" i="12"/>
  <c r="U54" i="12"/>
  <c r="U56" i="12"/>
  <c r="T54" i="12"/>
  <c r="T56" i="12"/>
  <c r="S54" i="12"/>
  <c r="S56" i="12"/>
  <c r="R54" i="12"/>
  <c r="R56" i="12"/>
  <c r="Q54" i="12"/>
  <c r="Q56" i="12"/>
  <c r="P54" i="12"/>
  <c r="P56" i="12"/>
  <c r="O54" i="12"/>
  <c r="O56" i="12"/>
  <c r="N54" i="12"/>
  <c r="N56" i="12"/>
  <c r="M54" i="12"/>
  <c r="M56" i="12"/>
  <c r="L54" i="12"/>
  <c r="L56" i="12"/>
  <c r="K54" i="12"/>
  <c r="K56" i="12"/>
  <c r="Y47" i="12"/>
  <c r="Y36" i="12"/>
  <c r="Y35" i="12"/>
  <c r="X35" i="12"/>
  <c r="X37" i="12"/>
  <c r="W35" i="12"/>
  <c r="W37" i="12"/>
  <c r="V35" i="12"/>
  <c r="V37" i="12"/>
  <c r="U35" i="12"/>
  <c r="U37" i="12"/>
  <c r="T35" i="12"/>
  <c r="T37" i="12"/>
  <c r="S35" i="12"/>
  <c r="S37" i="12"/>
  <c r="R35" i="12"/>
  <c r="R37" i="12"/>
  <c r="Q35" i="12"/>
  <c r="Q37" i="12"/>
  <c r="P35" i="12"/>
  <c r="P37" i="12"/>
  <c r="O35" i="12"/>
  <c r="O37" i="12"/>
  <c r="N35" i="12"/>
  <c r="N37" i="12"/>
  <c r="M35" i="12"/>
  <c r="M37" i="12"/>
  <c r="L35" i="12"/>
  <c r="L37" i="12"/>
  <c r="K35" i="12"/>
  <c r="K37" i="12"/>
  <c r="Y28" i="12"/>
  <c r="X16" i="12"/>
  <c r="X18" i="12"/>
  <c r="W16" i="12"/>
  <c r="W18" i="12"/>
  <c r="V16" i="12"/>
  <c r="V18" i="12"/>
  <c r="U16" i="12"/>
  <c r="U18" i="12"/>
  <c r="T16" i="12"/>
  <c r="T18" i="12"/>
  <c r="S16" i="12"/>
  <c r="S18" i="12"/>
  <c r="R16" i="12"/>
  <c r="R18" i="12"/>
  <c r="Q16" i="12"/>
  <c r="Q18" i="12"/>
  <c r="P16" i="12"/>
  <c r="P18" i="12"/>
  <c r="O16" i="12"/>
  <c r="O18" i="12"/>
  <c r="N16" i="12"/>
  <c r="N18" i="12"/>
  <c r="M16" i="12"/>
  <c r="M18" i="12"/>
  <c r="L16" i="12"/>
  <c r="L18" i="12"/>
  <c r="K16" i="12"/>
  <c r="K18" i="12"/>
  <c r="G16" i="12"/>
  <c r="G18" i="12"/>
  <c r="F16" i="12"/>
  <c r="F18" i="12"/>
  <c r="E16" i="12"/>
  <c r="E18" i="12"/>
  <c r="D16" i="12"/>
  <c r="D18" i="12"/>
  <c r="C16" i="12"/>
  <c r="C18" i="12"/>
  <c r="B16" i="12"/>
  <c r="B18" i="12"/>
  <c r="A16" i="12"/>
  <c r="A18" i="12"/>
  <c r="I8" i="12"/>
  <c r="H17" i="12"/>
  <c r="H16" i="12"/>
  <c r="I84" i="11"/>
  <c r="H93" i="11"/>
  <c r="K92" i="11"/>
  <c r="K94" i="11"/>
  <c r="X92" i="11"/>
  <c r="X94" i="11"/>
  <c r="W92" i="11"/>
  <c r="W94" i="11"/>
  <c r="V92" i="11"/>
  <c r="V94" i="11"/>
  <c r="U92" i="11"/>
  <c r="U94" i="11"/>
  <c r="T92" i="11"/>
  <c r="T94" i="11"/>
  <c r="S92" i="11"/>
  <c r="S94" i="11"/>
  <c r="R92" i="11"/>
  <c r="R94" i="11"/>
  <c r="Q92" i="11"/>
  <c r="Q94" i="11"/>
  <c r="P92" i="11"/>
  <c r="P94" i="11"/>
  <c r="O92" i="11"/>
  <c r="O94" i="11"/>
  <c r="N92" i="11"/>
  <c r="N94" i="11"/>
  <c r="M92" i="11"/>
  <c r="M94" i="11"/>
  <c r="L92" i="11"/>
  <c r="L94" i="11"/>
  <c r="Y74" i="11"/>
  <c r="Y73" i="11"/>
  <c r="X73" i="11"/>
  <c r="X75" i="11"/>
  <c r="W73" i="11"/>
  <c r="W75" i="11"/>
  <c r="V73" i="11"/>
  <c r="V75" i="11"/>
  <c r="U73" i="11"/>
  <c r="U75" i="11"/>
  <c r="T73" i="11"/>
  <c r="T75" i="11"/>
  <c r="S73" i="11"/>
  <c r="S75" i="11"/>
  <c r="R73" i="11"/>
  <c r="R75" i="11"/>
  <c r="Q73" i="11"/>
  <c r="Q75" i="11"/>
  <c r="P73" i="11"/>
  <c r="P75" i="11"/>
  <c r="O73" i="11"/>
  <c r="O75" i="11"/>
  <c r="N73" i="11"/>
  <c r="N75" i="11"/>
  <c r="M73" i="11"/>
  <c r="M75" i="11"/>
  <c r="L73" i="11"/>
  <c r="L75" i="11"/>
  <c r="K73" i="11"/>
  <c r="K75" i="11"/>
  <c r="Y66" i="11"/>
  <c r="G54" i="11"/>
  <c r="G56" i="11"/>
  <c r="K54" i="11"/>
  <c r="K56" i="11"/>
  <c r="Y55" i="11"/>
  <c r="Y54" i="11"/>
  <c r="X54" i="11"/>
  <c r="X56" i="11"/>
  <c r="W54" i="11"/>
  <c r="W56" i="11"/>
  <c r="V54" i="11"/>
  <c r="V56" i="11"/>
  <c r="U54" i="11"/>
  <c r="U56" i="11"/>
  <c r="T54" i="11"/>
  <c r="T56" i="11"/>
  <c r="S54" i="11"/>
  <c r="S56" i="11"/>
  <c r="R54" i="11"/>
  <c r="R56" i="11"/>
  <c r="Q54" i="11"/>
  <c r="Q56" i="11"/>
  <c r="P54" i="11"/>
  <c r="P56" i="11"/>
  <c r="O54" i="11"/>
  <c r="O56" i="11"/>
  <c r="N54" i="11"/>
  <c r="N56" i="11"/>
  <c r="M54" i="11"/>
  <c r="M56" i="11"/>
  <c r="L54" i="11"/>
  <c r="L56" i="11"/>
  <c r="Y47" i="11"/>
  <c r="Y36" i="11"/>
  <c r="Y35" i="11"/>
  <c r="X35" i="11"/>
  <c r="X37" i="11"/>
  <c r="W35" i="11"/>
  <c r="W37" i="11"/>
  <c r="V35" i="11"/>
  <c r="V37" i="11"/>
  <c r="U35" i="11"/>
  <c r="U37" i="11"/>
  <c r="T35" i="11"/>
  <c r="T37" i="11"/>
  <c r="S35" i="11"/>
  <c r="R35" i="11"/>
  <c r="R37" i="11"/>
  <c r="Q35" i="11"/>
  <c r="Q37" i="11"/>
  <c r="P35" i="11"/>
  <c r="P37" i="11"/>
  <c r="O35" i="11"/>
  <c r="O37" i="11"/>
  <c r="N35" i="11"/>
  <c r="N37" i="11"/>
  <c r="M35" i="11"/>
  <c r="M37" i="11"/>
  <c r="L35" i="11"/>
  <c r="L37" i="11"/>
  <c r="K35" i="11"/>
  <c r="K37" i="11"/>
  <c r="Y28" i="11"/>
  <c r="G73" i="10"/>
  <c r="A16" i="11"/>
  <c r="A18" i="11"/>
  <c r="I8" i="11"/>
  <c r="H17" i="11"/>
  <c r="Y17" i="11"/>
  <c r="Y16" i="11"/>
  <c r="X16" i="11"/>
  <c r="X18" i="11"/>
  <c r="W16" i="11"/>
  <c r="W18" i="11"/>
  <c r="V16" i="11"/>
  <c r="V18" i="11"/>
  <c r="U16" i="11"/>
  <c r="U18" i="11"/>
  <c r="T16" i="11"/>
  <c r="T18" i="11"/>
  <c r="S16" i="11"/>
  <c r="S18" i="11"/>
  <c r="R16" i="11"/>
  <c r="R18" i="11"/>
  <c r="Q16" i="11"/>
  <c r="Q18" i="11"/>
  <c r="P16" i="11"/>
  <c r="P18" i="11"/>
  <c r="O16" i="11"/>
  <c r="O18" i="11"/>
  <c r="N16" i="11"/>
  <c r="N18" i="11"/>
  <c r="M16" i="11"/>
  <c r="M18" i="11"/>
  <c r="L16" i="11"/>
  <c r="L18" i="11"/>
  <c r="K16" i="11"/>
  <c r="K18" i="11"/>
  <c r="G16" i="11"/>
  <c r="G18" i="11"/>
  <c r="F16" i="11"/>
  <c r="F18" i="11"/>
  <c r="E16" i="11"/>
  <c r="E18" i="11"/>
  <c r="D16" i="11"/>
  <c r="D18" i="11"/>
  <c r="C16" i="11"/>
  <c r="C18" i="11"/>
  <c r="B16" i="11"/>
  <c r="B18" i="11"/>
  <c r="Y9" i="11"/>
  <c r="Y74" i="10"/>
  <c r="Y73" i="10"/>
  <c r="X73" i="10"/>
  <c r="X75" i="10"/>
  <c r="W73" i="10"/>
  <c r="W75" i="10"/>
  <c r="V73" i="10"/>
  <c r="V75" i="10"/>
  <c r="U73" i="10"/>
  <c r="U75" i="10"/>
  <c r="T73" i="10"/>
  <c r="T75" i="10"/>
  <c r="S73" i="10"/>
  <c r="S75" i="10"/>
  <c r="R73" i="10"/>
  <c r="R75" i="10"/>
  <c r="Q73" i="10"/>
  <c r="Q75" i="10"/>
  <c r="P73" i="10"/>
  <c r="P75" i="10"/>
  <c r="O73" i="10"/>
  <c r="O75" i="10"/>
  <c r="N73" i="10"/>
  <c r="N75" i="10"/>
  <c r="M73" i="10"/>
  <c r="M75" i="10"/>
  <c r="L73" i="10"/>
  <c r="L75" i="10"/>
  <c r="K73" i="10"/>
  <c r="K75" i="10"/>
  <c r="Y66" i="10"/>
  <c r="G36" i="10"/>
  <c r="Y55" i="10"/>
  <c r="Y54" i="10"/>
  <c r="X54" i="10"/>
  <c r="X56" i="10"/>
  <c r="W54" i="10"/>
  <c r="W56" i="10"/>
  <c r="V54" i="10"/>
  <c r="V56" i="10"/>
  <c r="U54" i="10"/>
  <c r="U56" i="10"/>
  <c r="T54" i="10"/>
  <c r="T56" i="10"/>
  <c r="S54" i="10"/>
  <c r="S56" i="10"/>
  <c r="R54" i="10"/>
  <c r="R56" i="10"/>
  <c r="Q54" i="10"/>
  <c r="Q56" i="10"/>
  <c r="P54" i="10"/>
  <c r="P56" i="10"/>
  <c r="O54" i="10"/>
  <c r="O56" i="10"/>
  <c r="N54" i="10"/>
  <c r="N56" i="10"/>
  <c r="M54" i="10"/>
  <c r="M56" i="10"/>
  <c r="L54" i="10"/>
  <c r="L56" i="10"/>
  <c r="K54" i="10"/>
  <c r="K56" i="10"/>
  <c r="Y47" i="10"/>
  <c r="A36" i="10"/>
  <c r="Y36" i="10"/>
  <c r="Y35" i="10"/>
  <c r="X35" i="10"/>
  <c r="X37" i="10"/>
  <c r="W35" i="10"/>
  <c r="W37" i="10"/>
  <c r="V35" i="10"/>
  <c r="V37" i="10"/>
  <c r="U35" i="10"/>
  <c r="U37" i="10"/>
  <c r="T35" i="10"/>
  <c r="T37" i="10"/>
  <c r="S35" i="10"/>
  <c r="S37" i="10"/>
  <c r="R35" i="10"/>
  <c r="R37" i="10"/>
  <c r="Q35" i="10"/>
  <c r="Q37" i="10"/>
  <c r="P35" i="10"/>
  <c r="P37" i="10"/>
  <c r="O35" i="10"/>
  <c r="O37" i="10"/>
  <c r="N35" i="10"/>
  <c r="N37" i="10"/>
  <c r="M35" i="10"/>
  <c r="M37" i="10"/>
  <c r="L35" i="10"/>
  <c r="L37" i="10"/>
  <c r="K35" i="10"/>
  <c r="K37" i="10"/>
  <c r="Y28" i="10"/>
  <c r="Y17" i="9"/>
  <c r="Y16" i="9"/>
  <c r="A16" i="10"/>
  <c r="Y17" i="10"/>
  <c r="Y16" i="10"/>
  <c r="X16" i="10"/>
  <c r="X18" i="10"/>
  <c r="W16" i="10"/>
  <c r="W18" i="10"/>
  <c r="V16" i="10"/>
  <c r="V18" i="10"/>
  <c r="U16" i="10"/>
  <c r="U18" i="10"/>
  <c r="T16" i="10"/>
  <c r="T18" i="10"/>
  <c r="S16" i="10"/>
  <c r="S18" i="10"/>
  <c r="R16" i="10"/>
  <c r="R18" i="10"/>
  <c r="Q16" i="10"/>
  <c r="Q18" i="10"/>
  <c r="P16" i="10"/>
  <c r="P18" i="10"/>
  <c r="O16" i="10"/>
  <c r="O18" i="10"/>
  <c r="N16" i="10"/>
  <c r="N18" i="10"/>
  <c r="M16" i="10"/>
  <c r="M18" i="10"/>
  <c r="L16" i="10"/>
  <c r="L18" i="10"/>
  <c r="K16" i="10"/>
  <c r="K18" i="10"/>
  <c r="Y9" i="10"/>
  <c r="M73" i="8"/>
  <c r="Y93" i="9"/>
  <c r="AA42" i="9"/>
  <c r="Y92" i="9"/>
  <c r="AA41" i="9"/>
  <c r="X92" i="9"/>
  <c r="X94" i="9"/>
  <c r="W92" i="9"/>
  <c r="W94" i="9"/>
  <c r="V92" i="9"/>
  <c r="V94" i="9"/>
  <c r="U92" i="9"/>
  <c r="U94" i="9"/>
  <c r="T92" i="9"/>
  <c r="T94" i="9"/>
  <c r="S92" i="9"/>
  <c r="S94" i="9"/>
  <c r="R92" i="9"/>
  <c r="R94" i="9"/>
  <c r="Q92" i="9"/>
  <c r="Q94" i="9"/>
  <c r="P92" i="9"/>
  <c r="P94" i="9"/>
  <c r="O92" i="9"/>
  <c r="O94" i="9"/>
  <c r="N92" i="9"/>
  <c r="N94" i="9"/>
  <c r="M92" i="9"/>
  <c r="M94" i="9"/>
  <c r="L92" i="9"/>
  <c r="L94" i="9"/>
  <c r="K92" i="9"/>
  <c r="K94" i="9"/>
  <c r="Y85" i="9"/>
  <c r="R54" i="9"/>
  <c r="R56" i="9"/>
  <c r="G35" i="9"/>
  <c r="G37" i="9"/>
  <c r="U35" i="9"/>
  <c r="Y36" i="9"/>
  <c r="AA36" i="9"/>
  <c r="D16" i="9"/>
  <c r="H16" i="11"/>
  <c r="D35" i="9"/>
  <c r="D37" i="9"/>
  <c r="M75" i="8"/>
  <c r="Y74" i="9"/>
  <c r="AA40" i="9"/>
  <c r="Y73" i="9"/>
  <c r="AA39" i="9"/>
  <c r="X73" i="9"/>
  <c r="X75" i="9"/>
  <c r="W73" i="9"/>
  <c r="W75" i="9"/>
  <c r="V73" i="9"/>
  <c r="V75" i="9"/>
  <c r="U73" i="9"/>
  <c r="U75" i="9"/>
  <c r="T73" i="9"/>
  <c r="T75" i="9"/>
  <c r="S73" i="9"/>
  <c r="S75" i="9"/>
  <c r="R73" i="9"/>
  <c r="R75" i="9"/>
  <c r="Q73" i="9"/>
  <c r="Q75" i="9"/>
  <c r="P73" i="9"/>
  <c r="P75" i="9"/>
  <c r="O73" i="9"/>
  <c r="O75" i="9"/>
  <c r="N73" i="9"/>
  <c r="N75" i="9"/>
  <c r="M73" i="9"/>
  <c r="M75" i="9"/>
  <c r="L73" i="9"/>
  <c r="L75" i="9"/>
  <c r="K73" i="9"/>
  <c r="K75" i="9"/>
  <c r="G73" i="9"/>
  <c r="G75" i="9"/>
  <c r="F73" i="9"/>
  <c r="F75" i="9"/>
  <c r="E73" i="9"/>
  <c r="E75" i="9"/>
  <c r="D73" i="9"/>
  <c r="D75" i="9"/>
  <c r="C73" i="9"/>
  <c r="C75" i="9"/>
  <c r="B73" i="9"/>
  <c r="B75" i="9"/>
  <c r="A73" i="9"/>
  <c r="A75" i="9"/>
  <c r="Y66" i="9"/>
  <c r="I65" i="9"/>
  <c r="H74" i="9"/>
  <c r="Y55" i="9"/>
  <c r="AA38" i="9"/>
  <c r="Y54" i="9"/>
  <c r="AA37" i="9"/>
  <c r="X54" i="9"/>
  <c r="X56" i="9"/>
  <c r="W54" i="9"/>
  <c r="W56" i="9"/>
  <c r="V54" i="9"/>
  <c r="V56" i="9"/>
  <c r="U54" i="9"/>
  <c r="U56" i="9"/>
  <c r="T54" i="9"/>
  <c r="T56" i="9"/>
  <c r="S54" i="9"/>
  <c r="S56" i="9"/>
  <c r="Q54" i="9"/>
  <c r="Q56" i="9"/>
  <c r="P54" i="9"/>
  <c r="P56" i="9"/>
  <c r="O54" i="9"/>
  <c r="O56" i="9"/>
  <c r="N54" i="9"/>
  <c r="N56" i="9"/>
  <c r="M54" i="9"/>
  <c r="M56" i="9"/>
  <c r="L54" i="9"/>
  <c r="L56" i="9"/>
  <c r="K54" i="9"/>
  <c r="K56" i="9"/>
  <c r="G54" i="9"/>
  <c r="G56" i="9"/>
  <c r="F54" i="9"/>
  <c r="F56" i="9"/>
  <c r="E54" i="9"/>
  <c r="E56" i="9"/>
  <c r="D54" i="9"/>
  <c r="D56" i="9"/>
  <c r="C54" i="9"/>
  <c r="C56" i="9"/>
  <c r="B54" i="9"/>
  <c r="B56" i="9"/>
  <c r="A54" i="9"/>
  <c r="A56" i="9"/>
  <c r="Y47" i="9"/>
  <c r="I46" i="9"/>
  <c r="Y35" i="9"/>
  <c r="AA35" i="9"/>
  <c r="X35" i="9"/>
  <c r="X37" i="9"/>
  <c r="W35" i="9"/>
  <c r="W37" i="9"/>
  <c r="V35" i="9"/>
  <c r="V37" i="9"/>
  <c r="U37" i="9"/>
  <c r="T35" i="9"/>
  <c r="T37" i="9"/>
  <c r="S35" i="9"/>
  <c r="S37" i="9"/>
  <c r="R35" i="9"/>
  <c r="R37" i="9"/>
  <c r="Q35" i="9"/>
  <c r="Q37" i="9"/>
  <c r="P35" i="9"/>
  <c r="P37" i="9"/>
  <c r="O35" i="9"/>
  <c r="O37" i="9"/>
  <c r="N35" i="9"/>
  <c r="N37" i="9"/>
  <c r="M35" i="9"/>
  <c r="M37" i="9"/>
  <c r="L35" i="9"/>
  <c r="L37" i="9"/>
  <c r="K35" i="9"/>
  <c r="K37" i="9"/>
  <c r="F35" i="9"/>
  <c r="F37" i="9"/>
  <c r="E35" i="9"/>
  <c r="E37" i="9"/>
  <c r="C35" i="9"/>
  <c r="C37" i="9"/>
  <c r="B35" i="9"/>
  <c r="B37" i="9"/>
  <c r="A35" i="9"/>
  <c r="A37" i="9"/>
  <c r="Y28" i="9"/>
  <c r="I27" i="9"/>
  <c r="H36" i="9"/>
  <c r="X16" i="9"/>
  <c r="X18" i="9"/>
  <c r="W16" i="9"/>
  <c r="W18" i="9"/>
  <c r="V16" i="9"/>
  <c r="V18" i="9"/>
  <c r="U16" i="9"/>
  <c r="U18" i="9"/>
  <c r="T16" i="9"/>
  <c r="T18" i="9"/>
  <c r="S16" i="9"/>
  <c r="S18" i="9"/>
  <c r="R16" i="9"/>
  <c r="R18" i="9"/>
  <c r="Q16" i="9"/>
  <c r="Q18" i="9"/>
  <c r="P16" i="9"/>
  <c r="P18" i="9"/>
  <c r="O16" i="9"/>
  <c r="O18" i="9"/>
  <c r="N16" i="9"/>
  <c r="N18" i="9"/>
  <c r="M16" i="9"/>
  <c r="M18" i="9"/>
  <c r="L16" i="9"/>
  <c r="L18" i="9"/>
  <c r="K16" i="9"/>
  <c r="K18" i="9"/>
  <c r="G16" i="9"/>
  <c r="G18" i="9"/>
  <c r="F16" i="9"/>
  <c r="F18" i="9"/>
  <c r="E16" i="9"/>
  <c r="E18" i="9"/>
  <c r="D18" i="9"/>
  <c r="C16" i="9"/>
  <c r="C18" i="9"/>
  <c r="B16" i="9"/>
  <c r="B18" i="9"/>
  <c r="A16" i="9"/>
  <c r="Y9" i="9"/>
  <c r="I8" i="9"/>
  <c r="H17" i="9"/>
  <c r="W54" i="8"/>
  <c r="X54" i="8"/>
  <c r="W56" i="8"/>
  <c r="AA43" i="9"/>
  <c r="H54" i="9"/>
  <c r="H73" i="9"/>
  <c r="H16" i="9"/>
  <c r="H55" i="9"/>
  <c r="H35" i="9"/>
  <c r="A18" i="9"/>
  <c r="O54" i="8"/>
  <c r="O56" i="8"/>
  <c r="Y74" i="8"/>
  <c r="Y73" i="8"/>
  <c r="X73" i="8"/>
  <c r="X75" i="8"/>
  <c r="W73" i="8"/>
  <c r="W75" i="8"/>
  <c r="V73" i="8"/>
  <c r="V75" i="8"/>
  <c r="U73" i="8"/>
  <c r="U75" i="8"/>
  <c r="T73" i="8"/>
  <c r="T75" i="8"/>
  <c r="S73" i="8"/>
  <c r="S75" i="8"/>
  <c r="R73" i="8"/>
  <c r="R75" i="8"/>
  <c r="Q73" i="8"/>
  <c r="Q75" i="8"/>
  <c r="P73" i="8"/>
  <c r="P75" i="8"/>
  <c r="O73" i="8"/>
  <c r="O75" i="8"/>
  <c r="N73" i="8"/>
  <c r="N75" i="8"/>
  <c r="L73" i="8"/>
  <c r="L75" i="8"/>
  <c r="K73" i="8"/>
  <c r="K75" i="8"/>
  <c r="G73" i="8"/>
  <c r="G75" i="8"/>
  <c r="F73" i="8"/>
  <c r="F75" i="8"/>
  <c r="E73" i="8"/>
  <c r="E75" i="8"/>
  <c r="D73" i="8"/>
  <c r="D75" i="8"/>
  <c r="C73" i="8"/>
  <c r="C75" i="8"/>
  <c r="B73" i="8"/>
  <c r="B75" i="8"/>
  <c r="A73" i="8"/>
  <c r="A75" i="8"/>
  <c r="Y66" i="8"/>
  <c r="I65" i="8"/>
  <c r="H74" i="8"/>
  <c r="Y55" i="8"/>
  <c r="Y54" i="8"/>
  <c r="X56" i="8"/>
  <c r="V54" i="8"/>
  <c r="V56" i="8"/>
  <c r="U54" i="8"/>
  <c r="U56" i="8"/>
  <c r="T54" i="8"/>
  <c r="T56" i="8"/>
  <c r="S54" i="8"/>
  <c r="S56" i="8"/>
  <c r="R54" i="8"/>
  <c r="R56" i="8"/>
  <c r="Q54" i="8"/>
  <c r="Q56" i="8"/>
  <c r="P54" i="8"/>
  <c r="P56" i="8"/>
  <c r="N54" i="8"/>
  <c r="N56" i="8"/>
  <c r="M54" i="8"/>
  <c r="M56" i="8"/>
  <c r="L54" i="8"/>
  <c r="L56" i="8"/>
  <c r="K54" i="8"/>
  <c r="K56" i="8"/>
  <c r="G54" i="8"/>
  <c r="G56" i="8"/>
  <c r="F54" i="8"/>
  <c r="F56" i="8"/>
  <c r="E54" i="8"/>
  <c r="E56" i="8"/>
  <c r="D54" i="8"/>
  <c r="D56" i="8"/>
  <c r="C54" i="8"/>
  <c r="C56" i="8"/>
  <c r="B54" i="8"/>
  <c r="B56" i="8"/>
  <c r="A54" i="8"/>
  <c r="A56" i="8"/>
  <c r="Y47" i="8"/>
  <c r="I46" i="8"/>
  <c r="Y36" i="8"/>
  <c r="Y35" i="8"/>
  <c r="X35" i="8"/>
  <c r="X37" i="8"/>
  <c r="W35" i="8"/>
  <c r="W37" i="8"/>
  <c r="V35" i="8"/>
  <c r="V37" i="8"/>
  <c r="U35" i="8"/>
  <c r="U37" i="8"/>
  <c r="T35" i="8"/>
  <c r="T37" i="8"/>
  <c r="S35" i="8"/>
  <c r="S37" i="8"/>
  <c r="R35" i="8"/>
  <c r="R37" i="8"/>
  <c r="Q35" i="8"/>
  <c r="Q37" i="8"/>
  <c r="P35" i="8"/>
  <c r="P37" i="8"/>
  <c r="O35" i="8"/>
  <c r="O37" i="8"/>
  <c r="N35" i="8"/>
  <c r="N37" i="8"/>
  <c r="M35" i="8"/>
  <c r="M37" i="8"/>
  <c r="L35" i="8"/>
  <c r="L37" i="8"/>
  <c r="K35" i="8"/>
  <c r="K37" i="8"/>
  <c r="G35" i="8"/>
  <c r="G37" i="8"/>
  <c r="F35" i="8"/>
  <c r="F37" i="8"/>
  <c r="E35" i="8"/>
  <c r="E37" i="8"/>
  <c r="D35" i="8"/>
  <c r="D37" i="8"/>
  <c r="C35" i="8"/>
  <c r="C37" i="8"/>
  <c r="B35" i="8"/>
  <c r="B37" i="8"/>
  <c r="A35" i="8"/>
  <c r="A37" i="8"/>
  <c r="Y28" i="8"/>
  <c r="I27" i="8"/>
  <c r="H36" i="8"/>
  <c r="Y17" i="8"/>
  <c r="Y16" i="8"/>
  <c r="X16" i="8"/>
  <c r="X18" i="8"/>
  <c r="W16" i="8"/>
  <c r="W18" i="8"/>
  <c r="V16" i="8"/>
  <c r="V18" i="8"/>
  <c r="U16" i="8"/>
  <c r="U18" i="8"/>
  <c r="T16" i="8"/>
  <c r="T18" i="8"/>
  <c r="S16" i="8"/>
  <c r="S18" i="8"/>
  <c r="R16" i="8"/>
  <c r="R18" i="8"/>
  <c r="Q16" i="8"/>
  <c r="Q18" i="8"/>
  <c r="P16" i="8"/>
  <c r="P18" i="8"/>
  <c r="O16" i="8"/>
  <c r="O18" i="8"/>
  <c r="N16" i="8"/>
  <c r="N18" i="8"/>
  <c r="M16" i="8"/>
  <c r="M18" i="8"/>
  <c r="L16" i="8"/>
  <c r="L18" i="8"/>
  <c r="K16" i="8"/>
  <c r="K18" i="8"/>
  <c r="G16" i="8"/>
  <c r="G18" i="8"/>
  <c r="F16" i="8"/>
  <c r="F18" i="8"/>
  <c r="E16" i="8"/>
  <c r="E18" i="8"/>
  <c r="D16" i="8"/>
  <c r="D18" i="8"/>
  <c r="C16" i="8"/>
  <c r="C18" i="8"/>
  <c r="B16" i="8"/>
  <c r="B18" i="8"/>
  <c r="A16" i="8"/>
  <c r="A18" i="8"/>
  <c r="Y9" i="8"/>
  <c r="I8" i="8"/>
  <c r="Y76" i="7"/>
  <c r="Y75" i="7"/>
  <c r="X75" i="7"/>
  <c r="X77" i="7"/>
  <c r="W75" i="7"/>
  <c r="W77" i="7"/>
  <c r="V75" i="7"/>
  <c r="V77" i="7"/>
  <c r="U75" i="7"/>
  <c r="U77" i="7"/>
  <c r="T75" i="7"/>
  <c r="T77" i="7"/>
  <c r="S75" i="7"/>
  <c r="S77" i="7"/>
  <c r="R75" i="7"/>
  <c r="R77" i="7"/>
  <c r="Q75" i="7"/>
  <c r="Q77" i="7"/>
  <c r="P75" i="7"/>
  <c r="P77" i="7"/>
  <c r="O75" i="7"/>
  <c r="O77" i="7"/>
  <c r="N75" i="7"/>
  <c r="N77" i="7"/>
  <c r="M75" i="7"/>
  <c r="M77" i="7"/>
  <c r="L75" i="7"/>
  <c r="L77" i="7"/>
  <c r="K75" i="7"/>
  <c r="K77" i="7"/>
  <c r="Y68" i="7"/>
  <c r="I28" i="7"/>
  <c r="H37" i="7"/>
  <c r="I48" i="7"/>
  <c r="H57" i="7"/>
  <c r="Y37" i="7"/>
  <c r="Y57" i="7"/>
  <c r="Y56" i="7"/>
  <c r="X56" i="7"/>
  <c r="X58" i="7"/>
  <c r="W56" i="7"/>
  <c r="W58" i="7"/>
  <c r="V56" i="7"/>
  <c r="V58" i="7"/>
  <c r="U56" i="7"/>
  <c r="U58" i="7"/>
  <c r="T56" i="7"/>
  <c r="T58" i="7"/>
  <c r="S56" i="7"/>
  <c r="S58" i="7"/>
  <c r="R56" i="7"/>
  <c r="R58" i="7"/>
  <c r="Q56" i="7"/>
  <c r="Q58" i="7"/>
  <c r="P56" i="7"/>
  <c r="P58" i="7"/>
  <c r="O56" i="7"/>
  <c r="O58" i="7"/>
  <c r="N56" i="7"/>
  <c r="N58" i="7"/>
  <c r="M56" i="7"/>
  <c r="M58" i="7"/>
  <c r="L56" i="7"/>
  <c r="L58" i="7"/>
  <c r="K56" i="7"/>
  <c r="K58" i="7"/>
  <c r="Y48" i="7"/>
  <c r="G56" i="7"/>
  <c r="G58" i="7"/>
  <c r="F56" i="7"/>
  <c r="F58" i="7"/>
  <c r="E56" i="7"/>
  <c r="E58" i="7"/>
  <c r="D56" i="7"/>
  <c r="D58" i="7"/>
  <c r="C56" i="7"/>
  <c r="C58" i="7"/>
  <c r="B56" i="7"/>
  <c r="A56" i="7"/>
  <c r="A58" i="7"/>
  <c r="W36" i="7"/>
  <c r="W38" i="7"/>
  <c r="X36" i="7"/>
  <c r="X38" i="7"/>
  <c r="V36" i="7"/>
  <c r="V38" i="7"/>
  <c r="Y36" i="7"/>
  <c r="Y28" i="7"/>
  <c r="U36" i="7"/>
  <c r="U38" i="7"/>
  <c r="T36" i="7"/>
  <c r="T38" i="7"/>
  <c r="S36" i="7"/>
  <c r="S38" i="7"/>
  <c r="R36" i="7"/>
  <c r="R38" i="7"/>
  <c r="Q36" i="7"/>
  <c r="Q38" i="7"/>
  <c r="P36" i="7"/>
  <c r="P38" i="7"/>
  <c r="O36" i="7"/>
  <c r="O38" i="7"/>
  <c r="N36" i="7"/>
  <c r="N38" i="7"/>
  <c r="M36" i="7"/>
  <c r="M38" i="7"/>
  <c r="L36" i="7"/>
  <c r="L38" i="7"/>
  <c r="K36" i="7"/>
  <c r="K38" i="7"/>
  <c r="I10" i="7"/>
  <c r="H17" i="7"/>
  <c r="Y17" i="7"/>
  <c r="Y16" i="7"/>
  <c r="X16" i="7"/>
  <c r="X18" i="7"/>
  <c r="W16" i="7"/>
  <c r="W18" i="7"/>
  <c r="V16" i="7"/>
  <c r="V18" i="7"/>
  <c r="U16" i="7"/>
  <c r="U18" i="7"/>
  <c r="T16" i="7"/>
  <c r="T18" i="7"/>
  <c r="S16" i="7"/>
  <c r="S18" i="7"/>
  <c r="R16" i="7"/>
  <c r="R18" i="7"/>
  <c r="Q16" i="7"/>
  <c r="Q18" i="7"/>
  <c r="P16" i="7"/>
  <c r="P18" i="7"/>
  <c r="O16" i="7"/>
  <c r="O18" i="7"/>
  <c r="N16" i="7"/>
  <c r="N18" i="7"/>
  <c r="M16" i="7"/>
  <c r="M18" i="7"/>
  <c r="L16" i="7"/>
  <c r="L18" i="7"/>
  <c r="K16" i="7"/>
  <c r="K18" i="7"/>
  <c r="Y8" i="7"/>
  <c r="I84" i="6"/>
  <c r="H93" i="6"/>
  <c r="Z93" i="6"/>
  <c r="Z92" i="6"/>
  <c r="Y92" i="6"/>
  <c r="Y94" i="6"/>
  <c r="X92" i="6"/>
  <c r="X94" i="6"/>
  <c r="W92" i="6"/>
  <c r="W94" i="6"/>
  <c r="V92" i="6"/>
  <c r="V94" i="6"/>
  <c r="U92" i="6"/>
  <c r="U94" i="6"/>
  <c r="T92" i="6"/>
  <c r="T94" i="6"/>
  <c r="S92" i="6"/>
  <c r="S94" i="6"/>
  <c r="R92" i="6"/>
  <c r="R94" i="6"/>
  <c r="Q92" i="6"/>
  <c r="Q94" i="6"/>
  <c r="P92" i="6"/>
  <c r="P94" i="6"/>
  <c r="O92" i="6"/>
  <c r="O94" i="6"/>
  <c r="N92" i="6"/>
  <c r="N94" i="6"/>
  <c r="M92" i="6"/>
  <c r="M94" i="6"/>
  <c r="L92" i="6"/>
  <c r="L94" i="6"/>
  <c r="Z84" i="6"/>
  <c r="I65" i="6"/>
  <c r="H74" i="6"/>
  <c r="H17" i="8"/>
  <c r="H16" i="8"/>
  <c r="H54" i="8"/>
  <c r="H73" i="8"/>
  <c r="H55" i="8"/>
  <c r="H35" i="8"/>
  <c r="H56" i="7"/>
  <c r="B58" i="7"/>
  <c r="A54" i="6"/>
  <c r="I46" i="6"/>
  <c r="H55" i="6"/>
  <c r="Z17" i="6"/>
  <c r="Z55" i="6"/>
  <c r="Z54" i="6"/>
  <c r="Y54" i="6"/>
  <c r="Y56" i="6"/>
  <c r="X54" i="6"/>
  <c r="X56" i="6"/>
  <c r="W54" i="6"/>
  <c r="W56" i="6"/>
  <c r="V54" i="6"/>
  <c r="V56" i="6"/>
  <c r="U54" i="6"/>
  <c r="U56" i="6"/>
  <c r="T54" i="6"/>
  <c r="T56" i="6"/>
  <c r="S54" i="6"/>
  <c r="S56" i="6"/>
  <c r="R54" i="6"/>
  <c r="R56" i="6"/>
  <c r="Q54" i="6"/>
  <c r="Q56" i="6"/>
  <c r="P54" i="6"/>
  <c r="P56" i="6"/>
  <c r="O54" i="6"/>
  <c r="O56" i="6"/>
  <c r="N54" i="6"/>
  <c r="N56" i="6"/>
  <c r="M54" i="6"/>
  <c r="M56" i="6"/>
  <c r="L54" i="6"/>
  <c r="L56" i="6"/>
  <c r="Z46" i="6"/>
  <c r="Y16" i="6"/>
  <c r="Y18" i="6"/>
  <c r="X16" i="6"/>
  <c r="X18" i="6"/>
  <c r="W16" i="6"/>
  <c r="W18" i="6"/>
  <c r="V16" i="6"/>
  <c r="V18" i="6"/>
  <c r="U16" i="6"/>
  <c r="U18" i="6"/>
  <c r="T16" i="6"/>
  <c r="T18" i="6"/>
  <c r="S16" i="6"/>
  <c r="S18" i="6"/>
  <c r="R16" i="6"/>
  <c r="R18" i="6"/>
  <c r="Q16" i="6"/>
  <c r="Q18" i="6"/>
  <c r="P16" i="6"/>
  <c r="P18" i="6"/>
  <c r="O16" i="6"/>
  <c r="O18" i="6"/>
  <c r="N16" i="6"/>
  <c r="N18" i="6"/>
  <c r="M16" i="6"/>
  <c r="M18" i="6"/>
  <c r="L16" i="6"/>
  <c r="L18" i="6"/>
  <c r="Z8" i="6"/>
  <c r="I27" i="6"/>
  <c r="H36" i="6"/>
  <c r="Z27" i="6"/>
  <c r="A35" i="6"/>
  <c r="A37" i="6"/>
  <c r="B35" i="6"/>
  <c r="B37" i="6"/>
  <c r="C35" i="6"/>
  <c r="C37" i="6"/>
  <c r="D35" i="6"/>
  <c r="D37" i="6"/>
  <c r="E35" i="6"/>
  <c r="E37" i="6"/>
  <c r="F35" i="6"/>
  <c r="F37" i="6"/>
  <c r="G35" i="6"/>
  <c r="G37" i="6"/>
  <c r="L35" i="6"/>
  <c r="L37" i="6"/>
  <c r="M35" i="6"/>
  <c r="M37" i="6"/>
  <c r="N35" i="6"/>
  <c r="N37" i="6"/>
  <c r="O35" i="6"/>
  <c r="O37" i="6"/>
  <c r="P35" i="6"/>
  <c r="P37" i="6"/>
  <c r="Q35" i="6"/>
  <c r="Q37" i="6"/>
  <c r="R35" i="6"/>
  <c r="R37" i="6"/>
  <c r="S35" i="6"/>
  <c r="S37" i="6"/>
  <c r="T35" i="6"/>
  <c r="T37" i="6"/>
  <c r="U35" i="6"/>
  <c r="U37" i="6"/>
  <c r="V35" i="6"/>
  <c r="V37" i="6"/>
  <c r="W35" i="6"/>
  <c r="W37" i="6"/>
  <c r="X35" i="6"/>
  <c r="X37" i="6"/>
  <c r="Y35" i="6"/>
  <c r="Y37" i="6"/>
  <c r="Z36" i="6"/>
  <c r="Z93" i="5"/>
  <c r="N92" i="5"/>
  <c r="O92" i="5"/>
  <c r="O94" i="5"/>
  <c r="P92" i="5"/>
  <c r="P94" i="5"/>
  <c r="Q92" i="5"/>
  <c r="Q94" i="5"/>
  <c r="R92" i="5"/>
  <c r="S92" i="5"/>
  <c r="S94" i="5"/>
  <c r="T92" i="5"/>
  <c r="T94" i="5"/>
  <c r="U92" i="5"/>
  <c r="U94" i="5"/>
  <c r="V92" i="5"/>
  <c r="W92" i="5"/>
  <c r="W94" i="5"/>
  <c r="X92" i="5"/>
  <c r="Y92" i="5"/>
  <c r="Y94" i="5"/>
  <c r="M92" i="5"/>
  <c r="L92" i="5"/>
  <c r="A92" i="5"/>
  <c r="A94" i="5"/>
  <c r="B92" i="5"/>
  <c r="B94" i="5"/>
  <c r="Z84" i="5"/>
  <c r="G92" i="5"/>
  <c r="G94" i="5"/>
  <c r="F92" i="5"/>
  <c r="F94" i="5"/>
  <c r="E92" i="5"/>
  <c r="E94" i="5"/>
  <c r="D92" i="5"/>
  <c r="D94" i="5"/>
  <c r="C92" i="5"/>
  <c r="C94" i="5"/>
  <c r="I84" i="5"/>
  <c r="H93" i="5"/>
  <c r="A73" i="5"/>
  <c r="I28" i="5"/>
  <c r="H36" i="5"/>
  <c r="Z16" i="6"/>
  <c r="H35" i="6"/>
  <c r="Z35" i="6"/>
  <c r="Z92" i="5"/>
  <c r="L94" i="5"/>
  <c r="R94" i="5"/>
  <c r="V94" i="5"/>
  <c r="N94" i="5"/>
  <c r="X94" i="5"/>
  <c r="M94" i="5"/>
  <c r="H92" i="5"/>
  <c r="A90" i="2"/>
  <c r="B90" i="2"/>
  <c r="B92" i="2"/>
  <c r="C90" i="2"/>
  <c r="C92" i="2"/>
  <c r="D90" i="2"/>
  <c r="D92" i="2"/>
  <c r="E90" i="2"/>
  <c r="E92" i="2"/>
  <c r="I90" i="2"/>
  <c r="I92" i="2"/>
  <c r="J90" i="2"/>
  <c r="J92" i="2"/>
  <c r="K90" i="2"/>
  <c r="K92" i="2"/>
  <c r="L90" i="2"/>
  <c r="L92" i="2"/>
  <c r="M90" i="2"/>
  <c r="M92" i="2"/>
  <c r="N90" i="2"/>
  <c r="N92" i="2"/>
  <c r="P90" i="2"/>
  <c r="Q90" i="2"/>
  <c r="A113" i="2"/>
  <c r="B113" i="2"/>
  <c r="B115" i="2"/>
  <c r="C113" i="2"/>
  <c r="C115" i="2"/>
  <c r="D113" i="2"/>
  <c r="D115" i="2"/>
  <c r="E113" i="2"/>
  <c r="E115" i="2"/>
  <c r="I113" i="2"/>
  <c r="I115" i="2"/>
  <c r="J113" i="2"/>
  <c r="J115" i="2"/>
  <c r="K113" i="2"/>
  <c r="K115" i="2"/>
  <c r="L113" i="2"/>
  <c r="L115" i="2"/>
  <c r="M113" i="2"/>
  <c r="M115" i="2"/>
  <c r="N113" i="2"/>
  <c r="N115" i="2"/>
  <c r="O113" i="2"/>
  <c r="O115" i="2"/>
  <c r="F114" i="2"/>
  <c r="F90" i="2"/>
  <c r="F92" i="2"/>
  <c r="F93" i="2"/>
  <c r="F113" i="2"/>
  <c r="F115" i="2"/>
  <c r="F117" i="2"/>
  <c r="A92" i="2"/>
  <c r="P113" i="2"/>
  <c r="P116" i="2"/>
  <c r="A115" i="2"/>
  <c r="O90" i="2"/>
  <c r="O92" i="2"/>
  <c r="Z74" i="6"/>
  <c r="Z73" i="6"/>
  <c r="Y73" i="6"/>
  <c r="Y75" i="6"/>
  <c r="X73" i="6"/>
  <c r="X75" i="6"/>
  <c r="W73" i="6"/>
  <c r="W75" i="6"/>
  <c r="V73" i="6"/>
  <c r="V75" i="6"/>
  <c r="U73" i="6"/>
  <c r="U75" i="6"/>
  <c r="T73" i="6"/>
  <c r="T75" i="6"/>
  <c r="S73" i="6"/>
  <c r="S75" i="6"/>
  <c r="R73" i="6"/>
  <c r="R75" i="6"/>
  <c r="Q73" i="6"/>
  <c r="Q75" i="6"/>
  <c r="P73" i="6"/>
  <c r="P75" i="6"/>
  <c r="O73" i="6"/>
  <c r="O75" i="6"/>
  <c r="N73" i="6"/>
  <c r="N75" i="6"/>
  <c r="M73" i="6"/>
  <c r="M75" i="6"/>
  <c r="L73" i="6"/>
  <c r="L75" i="6"/>
  <c r="Z65" i="6"/>
  <c r="L73" i="5"/>
  <c r="L75" i="5"/>
  <c r="M73" i="5"/>
  <c r="M75" i="5"/>
  <c r="N73" i="5"/>
  <c r="N75" i="5"/>
  <c r="O73" i="5"/>
  <c r="O75" i="5"/>
  <c r="P73" i="5"/>
  <c r="P75" i="5"/>
  <c r="Q73" i="5"/>
  <c r="Q75" i="5"/>
  <c r="R73" i="5"/>
  <c r="R75" i="5"/>
  <c r="S73" i="5"/>
  <c r="S75" i="5"/>
  <c r="T73" i="5"/>
  <c r="T75" i="5"/>
  <c r="U73" i="5"/>
  <c r="U75" i="5"/>
  <c r="V73" i="5"/>
  <c r="V75" i="5"/>
  <c r="W73" i="5"/>
  <c r="W75" i="5"/>
  <c r="X73" i="5"/>
  <c r="X75" i="5"/>
  <c r="Y73" i="5"/>
  <c r="Y75" i="5"/>
  <c r="Z73" i="5"/>
  <c r="Z74" i="5"/>
  <c r="Z65" i="5"/>
  <c r="L54" i="5"/>
  <c r="L56" i="5"/>
  <c r="M54" i="5"/>
  <c r="M56" i="5"/>
  <c r="N54" i="5"/>
  <c r="N56" i="5"/>
  <c r="O54" i="5"/>
  <c r="O56" i="5"/>
  <c r="P54" i="5"/>
  <c r="P56" i="5"/>
  <c r="Q54" i="5"/>
  <c r="Q56" i="5"/>
  <c r="R54" i="5"/>
  <c r="R56" i="5"/>
  <c r="S54" i="5"/>
  <c r="S56" i="5"/>
  <c r="T54" i="5"/>
  <c r="T56" i="5"/>
  <c r="U54" i="5"/>
  <c r="U56" i="5"/>
  <c r="V54" i="5"/>
  <c r="V56" i="5"/>
  <c r="W54" i="5"/>
  <c r="W56" i="5"/>
  <c r="X54" i="5"/>
  <c r="X56" i="5"/>
  <c r="Y54" i="5"/>
  <c r="Y56" i="5"/>
  <c r="Z54" i="5"/>
  <c r="Z55" i="5"/>
  <c r="Z46" i="5"/>
  <c r="L35" i="5"/>
  <c r="L37" i="5"/>
  <c r="M35" i="5"/>
  <c r="M37" i="5"/>
  <c r="N35" i="5"/>
  <c r="N37" i="5"/>
  <c r="O35" i="5"/>
  <c r="O37" i="5"/>
  <c r="P35" i="5"/>
  <c r="P37" i="5"/>
  <c r="Q35" i="5"/>
  <c r="Q37" i="5"/>
  <c r="R35" i="5"/>
  <c r="R37" i="5"/>
  <c r="S35" i="5"/>
  <c r="S37" i="5"/>
  <c r="T35" i="5"/>
  <c r="T37" i="5"/>
  <c r="U35" i="5"/>
  <c r="U37" i="5"/>
  <c r="V35" i="5"/>
  <c r="V37" i="5"/>
  <c r="W35" i="5"/>
  <c r="W37" i="5"/>
  <c r="X35" i="5"/>
  <c r="X37" i="5"/>
  <c r="Y35" i="5"/>
  <c r="Y37" i="5"/>
  <c r="Z35" i="5"/>
  <c r="Z36" i="5"/>
  <c r="Z27" i="5"/>
  <c r="L16" i="5"/>
  <c r="L18" i="5"/>
  <c r="M16" i="5"/>
  <c r="M18" i="5"/>
  <c r="N16" i="5"/>
  <c r="N18" i="5"/>
  <c r="O16" i="5"/>
  <c r="O18" i="5"/>
  <c r="P16" i="5"/>
  <c r="P18" i="5"/>
  <c r="Q16" i="5"/>
  <c r="Q18" i="5"/>
  <c r="R16" i="5"/>
  <c r="R18" i="5"/>
  <c r="S16" i="5"/>
  <c r="S18" i="5"/>
  <c r="T16" i="5"/>
  <c r="T18" i="5"/>
  <c r="U16" i="5"/>
  <c r="U18" i="5"/>
  <c r="V16" i="5"/>
  <c r="V18" i="5"/>
  <c r="W16" i="5"/>
  <c r="W18" i="5"/>
  <c r="X16" i="5"/>
  <c r="X18" i="5"/>
  <c r="Y16" i="5"/>
  <c r="Y18" i="5"/>
  <c r="Z16" i="5"/>
  <c r="Z17" i="5"/>
  <c r="Z8" i="5"/>
  <c r="L78" i="4"/>
  <c r="L80" i="4"/>
  <c r="M78" i="4"/>
  <c r="M80" i="4"/>
  <c r="N78" i="4"/>
  <c r="N80" i="4"/>
  <c r="O78" i="4"/>
  <c r="O80" i="4"/>
  <c r="P78" i="4"/>
  <c r="P80" i="4"/>
  <c r="Q78" i="4"/>
  <c r="Q80" i="4"/>
  <c r="R78" i="4"/>
  <c r="R80" i="4"/>
  <c r="S78" i="4"/>
  <c r="S80" i="4"/>
  <c r="T78" i="4"/>
  <c r="T80" i="4"/>
  <c r="U78" i="4"/>
  <c r="U80" i="4"/>
  <c r="V78" i="4"/>
  <c r="V80" i="4"/>
  <c r="W78" i="4"/>
  <c r="W80" i="4"/>
  <c r="X78" i="4"/>
  <c r="X80" i="4"/>
  <c r="Y78" i="4"/>
  <c r="Y80" i="4"/>
  <c r="Z78" i="4"/>
  <c r="E15" i="1"/>
  <c r="Z79" i="4"/>
  <c r="F15" i="1"/>
  <c r="Z70" i="4"/>
  <c r="C60" i="4"/>
  <c r="Z60" i="4"/>
  <c r="F14" i="1"/>
  <c r="Z59" i="4"/>
  <c r="E14" i="1"/>
  <c r="Y59" i="4"/>
  <c r="Y61" i="4"/>
  <c r="X59" i="4"/>
  <c r="X61" i="4"/>
  <c r="W59" i="4"/>
  <c r="W61" i="4"/>
  <c r="V59" i="4"/>
  <c r="V61" i="4"/>
  <c r="U59" i="4"/>
  <c r="U61" i="4"/>
  <c r="T59" i="4"/>
  <c r="T61" i="4"/>
  <c r="S59" i="4"/>
  <c r="S61" i="4"/>
  <c r="R59" i="4"/>
  <c r="R61" i="4"/>
  <c r="Q59" i="4"/>
  <c r="Q61" i="4"/>
  <c r="P59" i="4"/>
  <c r="P61" i="4"/>
  <c r="O59" i="4"/>
  <c r="O61" i="4"/>
  <c r="N59" i="4"/>
  <c r="N61" i="4"/>
  <c r="M59" i="4"/>
  <c r="M61" i="4"/>
  <c r="L59" i="4"/>
  <c r="L61" i="4"/>
  <c r="Z51" i="4"/>
  <c r="Z40" i="4"/>
  <c r="E13" i="1"/>
  <c r="Z41" i="4"/>
  <c r="F13" i="1"/>
  <c r="Y40" i="4"/>
  <c r="M40" i="4"/>
  <c r="M42" i="4"/>
  <c r="N40" i="4"/>
  <c r="N42" i="4"/>
  <c r="O40" i="4"/>
  <c r="O42" i="4"/>
  <c r="P40" i="4"/>
  <c r="P42" i="4"/>
  <c r="Q40" i="4"/>
  <c r="Q42" i="4"/>
  <c r="R40" i="4"/>
  <c r="R42" i="4"/>
  <c r="S40" i="4"/>
  <c r="S42" i="4"/>
  <c r="T40" i="4"/>
  <c r="T42" i="4"/>
  <c r="U40" i="4"/>
  <c r="U42" i="4"/>
  <c r="V40" i="4"/>
  <c r="V42" i="4"/>
  <c r="W40" i="4"/>
  <c r="W42" i="4"/>
  <c r="X40" i="4"/>
  <c r="X42" i="4"/>
  <c r="L40" i="4"/>
  <c r="L42" i="4"/>
  <c r="Z29" i="4"/>
  <c r="A40" i="4"/>
  <c r="B40" i="4"/>
  <c r="F16" i="1"/>
  <c r="E16" i="1"/>
  <c r="Y42" i="4"/>
  <c r="I14" i="4"/>
  <c r="H19" i="4"/>
  <c r="I80" i="3"/>
  <c r="I65" i="3"/>
  <c r="G92" i="3"/>
  <c r="E73" i="3"/>
  <c r="F73" i="3"/>
  <c r="D73" i="3"/>
  <c r="B73" i="3"/>
  <c r="B75" i="3"/>
  <c r="V57" i="3"/>
  <c r="G54" i="3"/>
  <c r="E54" i="3"/>
  <c r="E56" i="3"/>
  <c r="F54" i="3"/>
  <c r="F56" i="3"/>
  <c r="I25" i="3"/>
  <c r="H17" i="3"/>
  <c r="I6" i="3"/>
  <c r="H93" i="14"/>
  <c r="G92" i="14"/>
  <c r="G94" i="14"/>
  <c r="F92" i="14"/>
  <c r="F94" i="14"/>
  <c r="E92" i="14"/>
  <c r="E94" i="14"/>
  <c r="D92" i="14"/>
  <c r="D94" i="14"/>
  <c r="C92" i="14"/>
  <c r="C94" i="14"/>
  <c r="B92" i="14"/>
  <c r="B94" i="14"/>
  <c r="A92" i="14"/>
  <c r="A94" i="14"/>
  <c r="I84" i="14"/>
  <c r="G73" i="14"/>
  <c r="G75" i="14"/>
  <c r="F73" i="14"/>
  <c r="F75" i="14"/>
  <c r="E73" i="14"/>
  <c r="E75" i="14"/>
  <c r="D73" i="14"/>
  <c r="D75" i="14"/>
  <c r="C73" i="14"/>
  <c r="C75" i="14"/>
  <c r="B73" i="14"/>
  <c r="B75" i="14"/>
  <c r="A73" i="14"/>
  <c r="A75" i="14"/>
  <c r="I65" i="14"/>
  <c r="H74" i="14"/>
  <c r="G54" i="14"/>
  <c r="G56" i="14"/>
  <c r="F54" i="14"/>
  <c r="F56" i="14"/>
  <c r="E54" i="14"/>
  <c r="E56" i="14"/>
  <c r="D54" i="14"/>
  <c r="D56" i="14"/>
  <c r="C54" i="14"/>
  <c r="C56" i="14"/>
  <c r="B54" i="14"/>
  <c r="B56" i="14"/>
  <c r="A54" i="14"/>
  <c r="G35" i="14"/>
  <c r="G37" i="14"/>
  <c r="F35" i="14"/>
  <c r="F37" i="14"/>
  <c r="E35" i="14"/>
  <c r="E37" i="14"/>
  <c r="D35" i="14"/>
  <c r="D37" i="14"/>
  <c r="C35" i="14"/>
  <c r="C37" i="14"/>
  <c r="B35" i="14"/>
  <c r="B37" i="14"/>
  <c r="A35" i="14"/>
  <c r="A37" i="14"/>
  <c r="G16" i="14"/>
  <c r="G18" i="14"/>
  <c r="F16" i="14"/>
  <c r="F18" i="14"/>
  <c r="E16" i="14"/>
  <c r="E18" i="14"/>
  <c r="D16" i="14"/>
  <c r="D18" i="14"/>
  <c r="C16" i="14"/>
  <c r="C18" i="14"/>
  <c r="B16" i="14"/>
  <c r="B18" i="14"/>
  <c r="A16" i="14"/>
  <c r="G92" i="13"/>
  <c r="G94" i="13"/>
  <c r="F92" i="13"/>
  <c r="F94" i="13"/>
  <c r="E92" i="13"/>
  <c r="E94" i="13"/>
  <c r="D92" i="13"/>
  <c r="D94" i="13"/>
  <c r="C92" i="13"/>
  <c r="C94" i="13"/>
  <c r="B92" i="13"/>
  <c r="B94" i="13"/>
  <c r="A92" i="13"/>
  <c r="A94" i="13"/>
  <c r="G73" i="13"/>
  <c r="F73" i="13"/>
  <c r="F75" i="13"/>
  <c r="E73" i="13"/>
  <c r="E75" i="13"/>
  <c r="D73" i="13"/>
  <c r="D75" i="13"/>
  <c r="C73" i="13"/>
  <c r="C75" i="13"/>
  <c r="B73" i="13"/>
  <c r="B75" i="13"/>
  <c r="A73" i="13"/>
  <c r="A75" i="13"/>
  <c r="G54" i="13"/>
  <c r="G56" i="13"/>
  <c r="F54" i="13"/>
  <c r="F56" i="13"/>
  <c r="E54" i="13"/>
  <c r="E56" i="13"/>
  <c r="D54" i="13"/>
  <c r="C54" i="13"/>
  <c r="C56" i="13"/>
  <c r="B54" i="13"/>
  <c r="B56" i="13"/>
  <c r="A54" i="13"/>
  <c r="A56" i="13"/>
  <c r="G35" i="13"/>
  <c r="G37" i="13"/>
  <c r="F35" i="13"/>
  <c r="F37" i="13"/>
  <c r="E35" i="13"/>
  <c r="E37" i="13"/>
  <c r="D35" i="13"/>
  <c r="D37" i="13"/>
  <c r="C35" i="13"/>
  <c r="C37" i="13"/>
  <c r="B35" i="13"/>
  <c r="B37" i="13"/>
  <c r="A35" i="13"/>
  <c r="G16" i="13"/>
  <c r="G18" i="13"/>
  <c r="F16" i="13"/>
  <c r="F18" i="13"/>
  <c r="E16" i="13"/>
  <c r="E18" i="13"/>
  <c r="D16" i="13"/>
  <c r="D18" i="13"/>
  <c r="C16" i="13"/>
  <c r="C18" i="13"/>
  <c r="B16" i="13"/>
  <c r="B18" i="13"/>
  <c r="A16" i="13"/>
  <c r="A18" i="13"/>
  <c r="H93" i="12"/>
  <c r="G92" i="12"/>
  <c r="G94" i="12"/>
  <c r="F92" i="12"/>
  <c r="F94" i="12"/>
  <c r="E92" i="12"/>
  <c r="E94" i="12"/>
  <c r="D92" i="12"/>
  <c r="D94" i="12"/>
  <c r="C92" i="12"/>
  <c r="C94" i="12"/>
  <c r="B92" i="12"/>
  <c r="B94" i="12"/>
  <c r="A92" i="12"/>
  <c r="A94" i="12"/>
  <c r="I84" i="12"/>
  <c r="G73" i="12"/>
  <c r="G75" i="12"/>
  <c r="F73" i="12"/>
  <c r="F75" i="12"/>
  <c r="E73" i="12"/>
  <c r="E75" i="12"/>
  <c r="D73" i="12"/>
  <c r="D75" i="12"/>
  <c r="C73" i="12"/>
  <c r="C75" i="12"/>
  <c r="B73" i="12"/>
  <c r="B75" i="12"/>
  <c r="A73" i="12"/>
  <c r="A75" i="12"/>
  <c r="G54" i="12"/>
  <c r="G56" i="12"/>
  <c r="F54" i="12"/>
  <c r="F56" i="12"/>
  <c r="E54" i="12"/>
  <c r="E56" i="12"/>
  <c r="D54" i="12"/>
  <c r="D56" i="12"/>
  <c r="C54" i="12"/>
  <c r="C56" i="12"/>
  <c r="B54" i="12"/>
  <c r="B56" i="12"/>
  <c r="A54" i="12"/>
  <c r="A56" i="12"/>
  <c r="G35" i="12"/>
  <c r="G37" i="12"/>
  <c r="F35" i="12"/>
  <c r="F37" i="12"/>
  <c r="E35" i="12"/>
  <c r="E37" i="12"/>
  <c r="D35" i="12"/>
  <c r="D37" i="12"/>
  <c r="C35" i="12"/>
  <c r="C37" i="12"/>
  <c r="B35" i="12"/>
  <c r="B37" i="12"/>
  <c r="A35" i="12"/>
  <c r="A37" i="12"/>
  <c r="I27" i="12"/>
  <c r="H36" i="12"/>
  <c r="G92" i="11"/>
  <c r="G94" i="11"/>
  <c r="F92" i="11"/>
  <c r="F94" i="11"/>
  <c r="E92" i="11"/>
  <c r="E94" i="11"/>
  <c r="D92" i="11"/>
  <c r="D94" i="11"/>
  <c r="C92" i="11"/>
  <c r="C94" i="11"/>
  <c r="B92" i="11"/>
  <c r="B94" i="11"/>
  <c r="A92" i="11"/>
  <c r="A94" i="11"/>
  <c r="G73" i="11"/>
  <c r="G75" i="11"/>
  <c r="F73" i="11"/>
  <c r="F75" i="11"/>
  <c r="E73" i="11"/>
  <c r="E75" i="11"/>
  <c r="D73" i="11"/>
  <c r="D75" i="11"/>
  <c r="C73" i="11"/>
  <c r="C75" i="11"/>
  <c r="B73" i="11"/>
  <c r="B75" i="11"/>
  <c r="A73" i="11"/>
  <c r="A75" i="11"/>
  <c r="I65" i="11"/>
  <c r="H74" i="11"/>
  <c r="F54" i="11"/>
  <c r="F56" i="11"/>
  <c r="E54" i="11"/>
  <c r="E56" i="11"/>
  <c r="D54" i="11"/>
  <c r="D56" i="11"/>
  <c r="C54" i="11"/>
  <c r="C56" i="11"/>
  <c r="B54" i="11"/>
  <c r="B56" i="11"/>
  <c r="A54" i="11"/>
  <c r="A56" i="11"/>
  <c r="I46" i="11"/>
  <c r="H55" i="11"/>
  <c r="G35" i="11"/>
  <c r="G37" i="11"/>
  <c r="F35" i="11"/>
  <c r="F37" i="11"/>
  <c r="E35" i="11"/>
  <c r="E37" i="11"/>
  <c r="D35" i="11"/>
  <c r="D37" i="11"/>
  <c r="C35" i="11"/>
  <c r="C37" i="11"/>
  <c r="B35" i="11"/>
  <c r="B37" i="11"/>
  <c r="A35" i="11"/>
  <c r="A37" i="11"/>
  <c r="I27" i="11"/>
  <c r="H36" i="11"/>
  <c r="G75" i="10"/>
  <c r="F73" i="10"/>
  <c r="F75" i="10"/>
  <c r="E73" i="10"/>
  <c r="E75" i="10"/>
  <c r="D73" i="10"/>
  <c r="D75" i="10"/>
  <c r="C73" i="10"/>
  <c r="C75" i="10"/>
  <c r="B73" i="10"/>
  <c r="B75" i="10"/>
  <c r="A73" i="10"/>
  <c r="A75" i="10"/>
  <c r="I65" i="10"/>
  <c r="G54" i="10"/>
  <c r="G56" i="10"/>
  <c r="F54" i="10"/>
  <c r="F56" i="10"/>
  <c r="E54" i="10"/>
  <c r="E56" i="10"/>
  <c r="D54" i="10"/>
  <c r="D56" i="10"/>
  <c r="C54" i="10"/>
  <c r="C56" i="10"/>
  <c r="B54" i="10"/>
  <c r="B56" i="10"/>
  <c r="A54" i="10"/>
  <c r="A56" i="10"/>
  <c r="I46" i="10"/>
  <c r="H55" i="10"/>
  <c r="G35" i="10"/>
  <c r="G37" i="10"/>
  <c r="F35" i="10"/>
  <c r="F37" i="10"/>
  <c r="E35" i="10"/>
  <c r="E37" i="10"/>
  <c r="D35" i="10"/>
  <c r="D37" i="10"/>
  <c r="C35" i="10"/>
  <c r="C37" i="10"/>
  <c r="B35" i="10"/>
  <c r="B37" i="10"/>
  <c r="A35" i="10"/>
  <c r="I27" i="10"/>
  <c r="H36" i="10"/>
  <c r="G16" i="10"/>
  <c r="G18" i="10"/>
  <c r="F16" i="10"/>
  <c r="F18" i="10"/>
  <c r="E16" i="10"/>
  <c r="E18" i="10"/>
  <c r="D16" i="10"/>
  <c r="D18" i="10"/>
  <c r="C16" i="10"/>
  <c r="C18" i="10"/>
  <c r="B16" i="10"/>
  <c r="B18" i="10"/>
  <c r="A18" i="10"/>
  <c r="I8" i="10"/>
  <c r="H17" i="10"/>
  <c r="G92" i="9"/>
  <c r="G94" i="9"/>
  <c r="F92" i="9"/>
  <c r="F94" i="9"/>
  <c r="E92" i="9"/>
  <c r="E94" i="9"/>
  <c r="D92" i="9"/>
  <c r="D94" i="9"/>
  <c r="C92" i="9"/>
  <c r="C94" i="9"/>
  <c r="B92" i="9"/>
  <c r="B94" i="9"/>
  <c r="A92" i="9"/>
  <c r="A94" i="9"/>
  <c r="I84" i="9"/>
  <c r="H95" i="7"/>
  <c r="G94" i="7"/>
  <c r="G96" i="7"/>
  <c r="F94" i="7"/>
  <c r="F96" i="7"/>
  <c r="E94" i="7"/>
  <c r="E96" i="7"/>
  <c r="D94" i="7"/>
  <c r="D96" i="7"/>
  <c r="C94" i="7"/>
  <c r="C96" i="7"/>
  <c r="B94" i="7"/>
  <c r="B96" i="7"/>
  <c r="A94" i="7"/>
  <c r="A96" i="7"/>
  <c r="I86" i="7"/>
  <c r="G75" i="7"/>
  <c r="G77" i="7"/>
  <c r="F75" i="7"/>
  <c r="F77" i="7"/>
  <c r="E75" i="7"/>
  <c r="E77" i="7"/>
  <c r="D75" i="7"/>
  <c r="D77" i="7"/>
  <c r="C75" i="7"/>
  <c r="C77" i="7"/>
  <c r="B75" i="7"/>
  <c r="B77" i="7"/>
  <c r="A75" i="7"/>
  <c r="A77" i="7"/>
  <c r="I67" i="7"/>
  <c r="H76" i="7"/>
  <c r="G36" i="7"/>
  <c r="G38" i="7"/>
  <c r="F36" i="7"/>
  <c r="F38" i="7"/>
  <c r="E36" i="7"/>
  <c r="E38" i="7"/>
  <c r="D36" i="7"/>
  <c r="D38" i="7"/>
  <c r="C36" i="7"/>
  <c r="C38" i="7"/>
  <c r="B36" i="7"/>
  <c r="B38" i="7"/>
  <c r="A36" i="7"/>
  <c r="G16" i="7"/>
  <c r="G18" i="7"/>
  <c r="F16" i="7"/>
  <c r="F18" i="7"/>
  <c r="E16" i="7"/>
  <c r="E18" i="7"/>
  <c r="D16" i="7"/>
  <c r="D18" i="7"/>
  <c r="C16" i="7"/>
  <c r="C18" i="7"/>
  <c r="B16" i="7"/>
  <c r="B18" i="7"/>
  <c r="A16" i="7"/>
  <c r="G92" i="6"/>
  <c r="G94" i="6"/>
  <c r="F92" i="6"/>
  <c r="F94" i="6"/>
  <c r="E92" i="6"/>
  <c r="E94" i="6"/>
  <c r="D92" i="6"/>
  <c r="D94" i="6"/>
  <c r="C92" i="6"/>
  <c r="C94" i="6"/>
  <c r="B92" i="6"/>
  <c r="B94" i="6"/>
  <c r="A92" i="6"/>
  <c r="G73" i="6"/>
  <c r="G75" i="6"/>
  <c r="F73" i="6"/>
  <c r="F75" i="6"/>
  <c r="E73" i="6"/>
  <c r="E75" i="6"/>
  <c r="D73" i="6"/>
  <c r="D75" i="6"/>
  <c r="C73" i="6"/>
  <c r="C75" i="6"/>
  <c r="B73" i="6"/>
  <c r="B75" i="6"/>
  <c r="A73" i="6"/>
  <c r="G54" i="6"/>
  <c r="G56" i="6"/>
  <c r="F54" i="6"/>
  <c r="F56" i="6"/>
  <c r="E54" i="6"/>
  <c r="E56" i="6"/>
  <c r="D54" i="6"/>
  <c r="D56" i="6"/>
  <c r="C54" i="6"/>
  <c r="C56" i="6"/>
  <c r="B54" i="6"/>
  <c r="B56" i="6"/>
  <c r="A56" i="6"/>
  <c r="H131" i="6"/>
  <c r="G130" i="6"/>
  <c r="G132" i="6"/>
  <c r="F130" i="6"/>
  <c r="F132" i="6"/>
  <c r="E130" i="6"/>
  <c r="E132" i="6"/>
  <c r="D130" i="6"/>
  <c r="D132" i="6"/>
  <c r="C130" i="6"/>
  <c r="C132" i="6"/>
  <c r="B130" i="6"/>
  <c r="B132" i="6"/>
  <c r="A130" i="6"/>
  <c r="A132" i="6"/>
  <c r="I122" i="6"/>
  <c r="H17" i="6"/>
  <c r="G16" i="6"/>
  <c r="G18" i="6"/>
  <c r="F16" i="6"/>
  <c r="F18" i="6"/>
  <c r="E16" i="6"/>
  <c r="E18" i="6"/>
  <c r="D16" i="6"/>
  <c r="D18" i="6"/>
  <c r="C16" i="6"/>
  <c r="C18" i="6"/>
  <c r="B16" i="6"/>
  <c r="B18" i="6"/>
  <c r="A16" i="6"/>
  <c r="A18" i="6"/>
  <c r="I8" i="6"/>
  <c r="G73" i="5"/>
  <c r="G75" i="5"/>
  <c r="F73" i="5"/>
  <c r="F75" i="5"/>
  <c r="E73" i="5"/>
  <c r="E75" i="5"/>
  <c r="D73" i="5"/>
  <c r="D75" i="5"/>
  <c r="C73" i="5"/>
  <c r="C75" i="5"/>
  <c r="B73" i="5"/>
  <c r="B75" i="5"/>
  <c r="A75" i="5"/>
  <c r="I65" i="5"/>
  <c r="H74" i="5"/>
  <c r="G54" i="5"/>
  <c r="G56" i="5"/>
  <c r="F54" i="5"/>
  <c r="F56" i="5"/>
  <c r="E54" i="5"/>
  <c r="E56" i="5"/>
  <c r="D54" i="5"/>
  <c r="D56" i="5"/>
  <c r="C54" i="5"/>
  <c r="B54" i="5"/>
  <c r="B56" i="5"/>
  <c r="A54" i="5"/>
  <c r="A56" i="5"/>
  <c r="I46" i="5"/>
  <c r="H55" i="5"/>
  <c r="G35" i="5"/>
  <c r="G37" i="5"/>
  <c r="F35" i="5"/>
  <c r="F37" i="5"/>
  <c r="E35" i="5"/>
  <c r="E37" i="5"/>
  <c r="D35" i="5"/>
  <c r="D37" i="5"/>
  <c r="C35" i="5"/>
  <c r="C37" i="5"/>
  <c r="B35" i="5"/>
  <c r="B37" i="5"/>
  <c r="A35" i="5"/>
  <c r="G16" i="5"/>
  <c r="G18" i="5"/>
  <c r="F16" i="5"/>
  <c r="F18" i="5"/>
  <c r="E16" i="5"/>
  <c r="E18" i="5"/>
  <c r="D16" i="5"/>
  <c r="D18" i="5"/>
  <c r="C16" i="5"/>
  <c r="C18" i="5"/>
  <c r="B16" i="5"/>
  <c r="B18" i="5"/>
  <c r="A16" i="5"/>
  <c r="A18" i="5"/>
  <c r="I8" i="5"/>
  <c r="H17" i="5"/>
  <c r="G78" i="4"/>
  <c r="G80" i="4"/>
  <c r="F78" i="4"/>
  <c r="F80" i="4"/>
  <c r="E78" i="4"/>
  <c r="E80" i="4"/>
  <c r="D78" i="4"/>
  <c r="D80" i="4"/>
  <c r="C78" i="4"/>
  <c r="C80" i="4"/>
  <c r="B78" i="4"/>
  <c r="B80" i="4"/>
  <c r="A78" i="4"/>
  <c r="A80" i="4"/>
  <c r="I70" i="4"/>
  <c r="H79" i="4"/>
  <c r="G59" i="4"/>
  <c r="G61" i="4"/>
  <c r="F59" i="4"/>
  <c r="F61" i="4"/>
  <c r="E59" i="4"/>
  <c r="E61" i="4"/>
  <c r="D59" i="4"/>
  <c r="D61" i="4"/>
  <c r="C59" i="4"/>
  <c r="B59" i="4"/>
  <c r="B61" i="4"/>
  <c r="A59" i="4"/>
  <c r="A61" i="4"/>
  <c r="I51" i="4"/>
  <c r="H60" i="4"/>
  <c r="G40" i="4"/>
  <c r="G42" i="4"/>
  <c r="F40" i="4"/>
  <c r="F42" i="4"/>
  <c r="E40" i="4"/>
  <c r="E42" i="4"/>
  <c r="D40" i="4"/>
  <c r="D42" i="4"/>
  <c r="C40" i="4"/>
  <c r="C42" i="4"/>
  <c r="B42" i="4"/>
  <c r="A42" i="4"/>
  <c r="I29" i="4"/>
  <c r="H41" i="4"/>
  <c r="G18" i="4"/>
  <c r="G20" i="4"/>
  <c r="F18" i="4"/>
  <c r="F20" i="4"/>
  <c r="E18" i="4"/>
  <c r="E20" i="4"/>
  <c r="D18" i="4"/>
  <c r="D20" i="4"/>
  <c r="C18" i="4"/>
  <c r="C20" i="4"/>
  <c r="B18" i="4"/>
  <c r="B20" i="4"/>
  <c r="A18" i="4"/>
  <c r="I84" i="3"/>
  <c r="G94" i="3"/>
  <c r="F92" i="3"/>
  <c r="F94" i="3"/>
  <c r="E92" i="3"/>
  <c r="D92" i="3"/>
  <c r="D94" i="3"/>
  <c r="C92" i="3"/>
  <c r="C94" i="3"/>
  <c r="B92" i="3"/>
  <c r="B94" i="3"/>
  <c r="A92" i="3"/>
  <c r="A94" i="3"/>
  <c r="G73" i="3"/>
  <c r="G75" i="3"/>
  <c r="F75" i="3"/>
  <c r="E75" i="3"/>
  <c r="D75" i="3"/>
  <c r="C73" i="3"/>
  <c r="C75" i="3"/>
  <c r="A73" i="3"/>
  <c r="H74" i="3"/>
  <c r="G56" i="3"/>
  <c r="D54" i="3"/>
  <c r="D56" i="3"/>
  <c r="C54" i="3"/>
  <c r="C56" i="3"/>
  <c r="B54" i="3"/>
  <c r="B56" i="3"/>
  <c r="A54" i="3"/>
  <c r="A56" i="3"/>
  <c r="I46" i="3"/>
  <c r="H55" i="3"/>
  <c r="G35" i="3"/>
  <c r="G37" i="3"/>
  <c r="F35" i="3"/>
  <c r="F37" i="3"/>
  <c r="E37" i="3"/>
  <c r="D35" i="3"/>
  <c r="D37" i="3"/>
  <c r="C35" i="3"/>
  <c r="C37" i="3"/>
  <c r="B35" i="3"/>
  <c r="B37" i="3"/>
  <c r="A35" i="3"/>
  <c r="A37" i="3"/>
  <c r="G16" i="3"/>
  <c r="G18" i="3"/>
  <c r="F16" i="3"/>
  <c r="F18" i="3"/>
  <c r="E16" i="3"/>
  <c r="E18" i="3"/>
  <c r="D16" i="3"/>
  <c r="D18" i="3"/>
  <c r="C16" i="3"/>
  <c r="C18" i="3"/>
  <c r="B16" i="3"/>
  <c r="B18" i="3"/>
  <c r="A16" i="3"/>
  <c r="A18" i="3"/>
  <c r="I8" i="3"/>
  <c r="AD54" i="2"/>
  <c r="AD91" i="2"/>
  <c r="AH102" i="2"/>
  <c r="H74" i="10"/>
  <c r="H73" i="10"/>
  <c r="A94" i="6"/>
  <c r="H92" i="6"/>
  <c r="A18" i="14"/>
  <c r="H16" i="14"/>
  <c r="A56" i="14"/>
  <c r="H54" i="14"/>
  <c r="A75" i="6"/>
  <c r="H73" i="6"/>
  <c r="H92" i="3"/>
  <c r="D9" i="1"/>
  <c r="A37" i="13"/>
  <c r="H35" i="13"/>
  <c r="H73" i="14"/>
  <c r="H35" i="14"/>
  <c r="G75" i="13"/>
  <c r="H73" i="13"/>
  <c r="D56" i="13"/>
  <c r="H54" i="13"/>
  <c r="H73" i="12"/>
  <c r="H35" i="12"/>
  <c r="H73" i="11"/>
  <c r="H35" i="11"/>
  <c r="A37" i="10"/>
  <c r="H35" i="10"/>
  <c r="H37" i="10"/>
  <c r="H92" i="9"/>
  <c r="H93" i="9"/>
  <c r="A38" i="7"/>
  <c r="H36" i="7"/>
  <c r="H38" i="7"/>
  <c r="A18" i="7"/>
  <c r="H16" i="7"/>
  <c r="H75" i="7"/>
  <c r="H130" i="6"/>
  <c r="H35" i="5"/>
  <c r="A37" i="5"/>
  <c r="H18" i="4"/>
  <c r="D12" i="1"/>
  <c r="H78" i="4"/>
  <c r="D15" i="1"/>
  <c r="H93" i="3"/>
  <c r="A75" i="3"/>
  <c r="H73" i="3"/>
  <c r="D8" i="1"/>
  <c r="H73" i="5"/>
  <c r="H54" i="5"/>
  <c r="H40" i="4"/>
  <c r="D13" i="1"/>
  <c r="H59" i="4"/>
  <c r="D14" i="1"/>
  <c r="H92" i="14"/>
  <c r="H92" i="13"/>
  <c r="H16" i="13"/>
  <c r="H92" i="12"/>
  <c r="H54" i="12"/>
  <c r="H92" i="11"/>
  <c r="H54" i="11"/>
  <c r="H16" i="10"/>
  <c r="H18" i="10"/>
  <c r="H54" i="10"/>
  <c r="H94" i="7"/>
  <c r="H54" i="6"/>
  <c r="H16" i="6"/>
  <c r="H16" i="5"/>
  <c r="C56" i="5"/>
  <c r="A20" i="4"/>
  <c r="C61" i="4"/>
  <c r="H54" i="3"/>
  <c r="D7" i="1"/>
  <c r="E94" i="3"/>
  <c r="H16" i="3"/>
  <c r="D5" i="1"/>
  <c r="AC101" i="2"/>
  <c r="D16" i="1"/>
  <c r="AI86" i="2"/>
  <c r="AB100" i="2"/>
  <c r="AB102" i="2"/>
  <c r="AA100" i="2"/>
  <c r="AA102" i="2"/>
  <c r="Z100" i="2"/>
  <c r="Z102" i="2"/>
  <c r="Y100" i="2"/>
  <c r="Y102" i="2"/>
  <c r="X100" i="2"/>
  <c r="X102" i="2"/>
  <c r="W100" i="2"/>
  <c r="W102" i="2"/>
  <c r="V100" i="2"/>
  <c r="AB80" i="2"/>
  <c r="AB82" i="2"/>
  <c r="AA80" i="2"/>
  <c r="AA82" i="2"/>
  <c r="Z80" i="2"/>
  <c r="Z82" i="2"/>
  <c r="Y80" i="2"/>
  <c r="Y82" i="2"/>
  <c r="X80" i="2"/>
  <c r="X82" i="2"/>
  <c r="W80" i="2"/>
  <c r="W82" i="2"/>
  <c r="V80" i="2"/>
  <c r="AB59" i="2"/>
  <c r="AB62" i="2"/>
  <c r="AA59" i="2"/>
  <c r="V82" i="2"/>
  <c r="AC80" i="2"/>
  <c r="V102" i="2"/>
  <c r="AC100" i="2"/>
  <c r="AB61" i="2"/>
  <c r="V59" i="2"/>
  <c r="AA61" i="2"/>
  <c r="Z59" i="2"/>
  <c r="Z61" i="2"/>
  <c r="Y59" i="2"/>
  <c r="Y61" i="2"/>
  <c r="X59" i="2"/>
  <c r="X61" i="2"/>
  <c r="W59" i="2"/>
  <c r="W61" i="2"/>
  <c r="V61" i="2"/>
  <c r="AC59" i="2"/>
  <c r="AC62" i="2"/>
  <c r="AD100" i="2"/>
  <c r="AF100" i="2"/>
  <c r="AC102" i="2"/>
  <c r="AF37" i="2"/>
  <c r="AB38" i="2"/>
  <c r="Z41" i="2"/>
  <c r="Z43" i="2"/>
  <c r="AB41" i="2"/>
  <c r="AB43" i="2"/>
  <c r="AA41" i="2"/>
  <c r="AA43" i="2"/>
  <c r="Y41" i="2"/>
  <c r="Y43" i="2"/>
  <c r="X41" i="2"/>
  <c r="X43" i="2"/>
  <c r="W41" i="2"/>
  <c r="W43" i="2"/>
  <c r="V41" i="2"/>
  <c r="V43" i="2"/>
  <c r="AC41" i="2"/>
  <c r="AC44" i="2"/>
  <c r="AB21" i="2"/>
  <c r="AB23" i="2"/>
  <c r="AA21" i="2"/>
  <c r="AA23" i="2"/>
  <c r="Z21" i="2"/>
  <c r="Z23" i="2"/>
  <c r="Y21" i="2"/>
  <c r="Y23" i="2"/>
  <c r="X21" i="2"/>
  <c r="X23" i="2"/>
  <c r="W21" i="2"/>
  <c r="W23" i="2"/>
  <c r="V21" i="2"/>
  <c r="AC21" i="2"/>
  <c r="AC24" i="2"/>
  <c r="V23" i="2"/>
  <c r="A42" i="1"/>
  <c r="B42" i="1"/>
  <c r="A44" i="1"/>
  <c r="A19" i="1"/>
  <c r="B19" i="1"/>
  <c r="A21" i="1"/>
  <c r="B21" i="1"/>
  <c r="B44" i="1"/>
  <c r="I27" i="3"/>
  <c r="H36" i="3"/>
  <c r="H35" i="3"/>
  <c r="D6" i="1"/>
  <c r="D10" i="1"/>
  <c r="H58" i="21"/>
  <c r="H60" i="21"/>
  <c r="H59" i="21"/>
  <c r="H56" i="28" l="1"/>
  <c r="H57" i="28" s="1"/>
  <c r="H58" i="28" s="1"/>
  <c r="D58" i="28"/>
  <c r="A58" i="28"/>
  <c r="F58" i="28"/>
  <c r="P58" i="28"/>
  <c r="L58" i="28"/>
  <c r="N58" i="28"/>
  <c r="M58" i="28"/>
  <c r="O58" i="28"/>
  <c r="K58" i="28"/>
  <c r="E58" i="28"/>
  <c r="C58" i="28"/>
  <c r="G58" i="28"/>
  <c r="H37" i="28"/>
  <c r="H38" i="28" s="1"/>
  <c r="H39" i="28" s="1"/>
  <c r="H17" i="28"/>
  <c r="H18" i="28" s="1"/>
  <c r="H19" i="28" s="1"/>
  <c r="H94" i="29"/>
  <c r="H95" i="29" s="1"/>
  <c r="H96" i="29" s="1"/>
  <c r="H75" i="29"/>
  <c r="H76" i="29" s="1"/>
  <c r="R77" i="29"/>
  <c r="Q77" i="29"/>
  <c r="O77" i="29"/>
  <c r="S77" i="29"/>
  <c r="V77" i="29"/>
  <c r="E77" i="29"/>
  <c r="A77" i="29"/>
  <c r="H56" i="29"/>
  <c r="H57" i="29" s="1"/>
  <c r="H77" i="29" l="1"/>
  <c r="H58" i="29"/>
</calcChain>
</file>

<file path=xl/sharedStrings.xml><?xml version="1.0" encoding="utf-8"?>
<sst xmlns="http://schemas.openxmlformats.org/spreadsheetml/2006/main" count="3428" uniqueCount="72">
  <si>
    <t>Payroll Cycle</t>
  </si>
  <si>
    <t>Payroll Value</t>
  </si>
  <si>
    <t>Cash Rewards</t>
  </si>
  <si>
    <t>Expenses</t>
  </si>
  <si>
    <t>January</t>
  </si>
  <si>
    <t>February</t>
  </si>
  <si>
    <t>March</t>
  </si>
  <si>
    <t>OASys Value</t>
  </si>
  <si>
    <t>Registers</t>
  </si>
  <si>
    <t xml:space="preserve"> </t>
  </si>
  <si>
    <t>Jobsheets</t>
  </si>
  <si>
    <t>Cash Vouchers</t>
  </si>
  <si>
    <t>SubTotal</t>
  </si>
  <si>
    <t>Difference</t>
  </si>
  <si>
    <t xml:space="preserve">  </t>
  </si>
  <si>
    <t>2022/1031</t>
  </si>
  <si>
    <t>2023/11/015</t>
  </si>
  <si>
    <t>2023/11/016</t>
  </si>
  <si>
    <t>2023/11/017</t>
  </si>
  <si>
    <t>2023/11/018</t>
  </si>
  <si>
    <t>2023/11/019</t>
  </si>
  <si>
    <t>2023/11/020</t>
  </si>
  <si>
    <t>2023/11/021</t>
  </si>
  <si>
    <t>2023/11/022</t>
  </si>
  <si>
    <t>2023/11/023</t>
  </si>
  <si>
    <t>2023/11/024</t>
  </si>
  <si>
    <t>2023/11/025</t>
  </si>
  <si>
    <t>2023/11/026</t>
  </si>
  <si>
    <t>2023/11/027</t>
  </si>
  <si>
    <t>2023/11/028</t>
  </si>
  <si>
    <t xml:space="preserve">               </t>
  </si>
  <si>
    <t>2024/04/2225</t>
  </si>
  <si>
    <t>`</t>
  </si>
  <si>
    <t>2024/0/28</t>
  </si>
  <si>
    <t>2024/0/31</t>
  </si>
  <si>
    <t>2024-05--22</t>
  </si>
  <si>
    <t>2024-05--23</t>
  </si>
  <si>
    <t>2024-05--24</t>
  </si>
  <si>
    <t>2024-05--25</t>
  </si>
  <si>
    <t>2024-05--26</t>
  </si>
  <si>
    <t>2024-05--27</t>
  </si>
  <si>
    <t>2024-05--28</t>
  </si>
  <si>
    <t>2024-06--19</t>
  </si>
  <si>
    <t>2024-06--20</t>
  </si>
  <si>
    <t>2024-06--21</t>
  </si>
  <si>
    <t>2024-06--22</t>
  </si>
  <si>
    <t>2024-06--23</t>
  </si>
  <si>
    <t>2024-06--24</t>
  </si>
  <si>
    <t>2024-06--25</t>
  </si>
  <si>
    <t>,</t>
  </si>
  <si>
    <t>k</t>
  </si>
  <si>
    <t>2024/0/07</t>
  </si>
  <si>
    <t>202/01/04</t>
  </si>
  <si>
    <t>20245/01/09</t>
  </si>
  <si>
    <t xml:space="preserve">   </t>
  </si>
  <si>
    <t>*</t>
  </si>
  <si>
    <t>a.m check</t>
  </si>
  <si>
    <t>am check</t>
  </si>
  <si>
    <t>2025/16/09</t>
  </si>
  <si>
    <t>r</t>
  </si>
  <si>
    <t>j</t>
  </si>
  <si>
    <t>\\\\\\\\\\\\\\\\</t>
  </si>
  <si>
    <t>\</t>
  </si>
  <si>
    <t>.</t>
  </si>
  <si>
    <t>Correct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</si>
  <si>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</si>
  <si>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</si>
  <si>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</t>
  </si>
  <si>
    <t xml:space="preserve">                            </t>
  </si>
  <si>
    <t xml:space="preserve">                                                                                                                                                             </t>
  </si>
  <si>
    <t xml:space="preserve">                                                              </t>
  </si>
  <si>
    <t>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</si>
</sst>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&quot;#,##0.00;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&quot;R&quot;#,##0.00"/>
    <numFmt numFmtId="165" formatCode="[$-1C09]dd\ mmmm\ yyyy;@"/>
    <numFmt numFmtId="166" formatCode="yyyy\-mm\-dd;@"/>
    <numFmt numFmtId="167" formatCode="&quot;R&quot;#,##0.00;[Red]&quot;R&quot;#,##0.00"/>
  </numFmts>
  <fonts count="1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00B050"/>
      </bottom>
      <diagonal/>
    </border>
    <border>
      <left style="medium">
        <color indexed="64"/>
      </left>
      <right style="medium">
        <color indexed="64"/>
      </right>
      <top style="double">
        <color rgb="FF00B050"/>
      </top>
      <bottom style="double">
        <color rgb="FF00B05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9" fillId="4" borderId="28" applyNumberFormat="0" applyAlignment="0" applyProtection="0"/>
    <xf numFmtId="0" fontId="14" fillId="0" borderId="0" applyNumberFormat="0" applyFill="0" applyBorder="0" applyAlignment="0" applyProtection="0"/>
  </cellStyleXfs>
  <cellXfs count="17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6" fontId="2" fillId="0" borderId="0" xfId="0" applyNumberFormat="1" applyFont="1"/>
    <xf numFmtId="0" fontId="0" fillId="0" borderId="0" xfId="0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3" fontId="0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166" fontId="2" fillId="0" borderId="4" xfId="0" applyNumberFormat="1" applyFont="1" applyBorder="1"/>
    <xf numFmtId="166" fontId="2" fillId="0" borderId="5" xfId="0" applyNumberFormat="1" applyFont="1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/>
    <xf numFmtId="0" fontId="0" fillId="0" borderId="9" xfId="0" applyBorder="1"/>
    <xf numFmtId="164" fontId="0" fillId="0" borderId="7" xfId="0" applyNumberFormat="1" applyBorder="1"/>
    <xf numFmtId="43" fontId="4" fillId="0" borderId="8" xfId="1" applyFont="1" applyFill="1" applyBorder="1" applyAlignment="1">
      <alignment horizontal="center"/>
    </xf>
    <xf numFmtId="43" fontId="0" fillId="0" borderId="8" xfId="1" applyFont="1" applyFill="1" applyBorder="1" applyAlignment="1">
      <alignment horizontal="center"/>
    </xf>
    <xf numFmtId="164" fontId="0" fillId="0" borderId="9" xfId="0" applyNumberFormat="1" applyBorder="1"/>
    <xf numFmtId="0" fontId="0" fillId="0" borderId="8" xfId="0" applyBorder="1"/>
    <xf numFmtId="164" fontId="1" fillId="0" borderId="8" xfId="0" applyNumberFormat="1" applyFont="1" applyBorder="1"/>
    <xf numFmtId="0" fontId="5" fillId="0" borderId="9" xfId="0" applyFont="1" applyBorder="1"/>
    <xf numFmtId="167" fontId="0" fillId="0" borderId="7" xfId="0" applyNumberFormat="1" applyBorder="1" applyAlignment="1">
      <alignment horizontal="right"/>
    </xf>
    <xf numFmtId="167" fontId="0" fillId="0" borderId="8" xfId="0" applyNumberFormat="1" applyBorder="1"/>
    <xf numFmtId="164" fontId="5" fillId="0" borderId="9" xfId="0" applyNumberFormat="1" applyFon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12" xfId="0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164" fontId="0" fillId="0" borderId="14" xfId="0" applyNumberFormat="1" applyBorder="1"/>
    <xf numFmtId="164" fontId="4" fillId="0" borderId="8" xfId="1" applyNumberFormat="1" applyFont="1" applyFill="1" applyBorder="1" applyAlignment="1">
      <alignment horizontal="center"/>
    </xf>
    <xf numFmtId="164" fontId="6" fillId="0" borderId="8" xfId="1" applyNumberFormat="1" applyFont="1" applyFill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8" xfId="1" applyNumberFormat="1" applyFont="1" applyFill="1" applyBorder="1" applyAlignment="1">
      <alignment horizontal="right"/>
    </xf>
    <xf numFmtId="164" fontId="0" fillId="2" borderId="8" xfId="0" applyNumberFormat="1" applyFill="1" applyBorder="1"/>
    <xf numFmtId="164" fontId="0" fillId="0" borderId="8" xfId="1" applyNumberFormat="1" applyFont="1" applyFill="1" applyBorder="1" applyAlignment="1">
      <alignment horizontal="center"/>
    </xf>
    <xf numFmtId="2" fontId="0" fillId="0" borderId="2" xfId="0" applyNumberFormat="1" applyBorder="1"/>
    <xf numFmtId="164" fontId="0" fillId="0" borderId="16" xfId="0" applyNumberFormat="1" applyBorder="1"/>
    <xf numFmtId="164" fontId="0" fillId="2" borderId="2" xfId="0" applyNumberFormat="1" applyFill="1" applyBorder="1"/>
    <xf numFmtId="164" fontId="0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7" fontId="4" fillId="0" borderId="8" xfId="1" applyNumberFormat="1" applyFont="1" applyFill="1" applyBorder="1" applyAlignment="1">
      <alignment horizontal="center"/>
    </xf>
    <xf numFmtId="0" fontId="0" fillId="3" borderId="0" xfId="0" applyFill="1"/>
    <xf numFmtId="164" fontId="7" fillId="0" borderId="2" xfId="0" applyNumberFormat="1" applyFont="1" applyBorder="1"/>
    <xf numFmtId="0" fontId="0" fillId="0" borderId="3" xfId="0" applyBorder="1"/>
    <xf numFmtId="164" fontId="0" fillId="0" borderId="17" xfId="0" applyNumberFormat="1" applyBorder="1"/>
    <xf numFmtId="167" fontId="0" fillId="0" borderId="17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166" fontId="2" fillId="0" borderId="4" xfId="0" applyNumberFormat="1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43" fontId="4" fillId="0" borderId="21" xfId="1" applyFont="1" applyFill="1" applyBorder="1" applyAlignment="1">
      <alignment horizontal="center"/>
    </xf>
    <xf numFmtId="164" fontId="0" fillId="0" borderId="22" xfId="0" applyNumberFormat="1" applyBorder="1"/>
    <xf numFmtId="164" fontId="8" fillId="0" borderId="18" xfId="0" applyNumberFormat="1" applyFont="1" applyBorder="1" applyAlignment="1">
      <alignment horizontal="right"/>
    </xf>
    <xf numFmtId="164" fontId="8" fillId="0" borderId="18" xfId="0" applyNumberFormat="1" applyFont="1" applyBorder="1"/>
    <xf numFmtId="0" fontId="2" fillId="0" borderId="0" xfId="0" applyFont="1"/>
    <xf numFmtId="43" fontId="4" fillId="0" borderId="21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4" fillId="0" borderId="8" xfId="1" applyFont="1" applyBorder="1" applyAlignment="1">
      <alignment horizontal="center"/>
    </xf>
    <xf numFmtId="164" fontId="2" fillId="0" borderId="0" xfId="0" applyNumberFormat="1" applyFont="1"/>
    <xf numFmtId="43" fontId="0" fillId="0" borderId="0" xfId="1" applyFont="1" applyFill="1"/>
    <xf numFmtId="164" fontId="7" fillId="0" borderId="10" xfId="0" applyNumberFormat="1" applyFont="1" applyBorder="1"/>
    <xf numFmtId="164" fontId="0" fillId="0" borderId="19" xfId="0" applyNumberForma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164" fontId="0" fillId="0" borderId="21" xfId="0" applyNumberFormat="1" applyBorder="1" applyAlignment="1">
      <alignment horizontal="right"/>
    </xf>
    <xf numFmtId="164" fontId="6" fillId="0" borderId="21" xfId="1" applyNumberFormat="1" applyFon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8" xfId="1" applyNumberFormat="1" applyFont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0" fillId="0" borderId="12" xfId="0" applyNumberFormat="1" applyBorder="1"/>
    <xf numFmtId="164" fontId="0" fillId="0" borderId="25" xfId="0" applyNumberFormat="1" applyBorder="1"/>
    <xf numFmtId="164" fontId="6" fillId="0" borderId="8" xfId="1" applyNumberFormat="1" applyFont="1" applyBorder="1" applyAlignment="1">
      <alignment horizontal="right"/>
    </xf>
    <xf numFmtId="167" fontId="0" fillId="0" borderId="7" xfId="0" applyNumberFormat="1" applyBorder="1"/>
    <xf numFmtId="164" fontId="0" fillId="0" borderId="26" xfId="0" applyNumberFormat="1" applyBorder="1"/>
    <xf numFmtId="0" fontId="0" fillId="0" borderId="27" xfId="0" applyBorder="1"/>
    <xf numFmtId="164" fontId="9" fillId="4" borderId="28" xfId="2" applyNumberFormat="1"/>
    <xf numFmtId="43" fontId="9" fillId="4" borderId="28" xfId="2" applyNumberFormat="1" applyAlignment="1">
      <alignment horizontal="center"/>
    </xf>
    <xf numFmtId="0" fontId="9" fillId="4" borderId="28" xfId="2"/>
    <xf numFmtId="164" fontId="3" fillId="4" borderId="28" xfId="2" applyNumberFormat="1" applyFont="1"/>
    <xf numFmtId="167" fontId="3" fillId="4" borderId="28" xfId="2" applyNumberFormat="1" applyFont="1"/>
    <xf numFmtId="0" fontId="9" fillId="4" borderId="30" xfId="2" applyBorder="1"/>
    <xf numFmtId="164" fontId="2" fillId="0" borderId="28" xfId="2" applyNumberFormat="1" applyFont="1" applyFill="1"/>
    <xf numFmtId="164" fontId="9" fillId="0" borderId="28" xfId="2" applyNumberFormat="1" applyFill="1"/>
    <xf numFmtId="167" fontId="2" fillId="0" borderId="29" xfId="2" applyNumberFormat="1" applyFont="1" applyFill="1" applyBorder="1"/>
    <xf numFmtId="164" fontId="2" fillId="0" borderId="11" xfId="2" applyNumberFormat="1" applyFont="1" applyFill="1" applyBorder="1"/>
    <xf numFmtId="164" fontId="3" fillId="0" borderId="28" xfId="2" applyNumberFormat="1" applyFont="1" applyFill="1"/>
    <xf numFmtId="43" fontId="3" fillId="0" borderId="28" xfId="2" applyNumberFormat="1" applyFont="1" applyFill="1" applyAlignment="1">
      <alignment horizontal="center"/>
    </xf>
    <xf numFmtId="166" fontId="10" fillId="2" borderId="28" xfId="2" applyNumberFormat="1" applyFont="1" applyFill="1"/>
    <xf numFmtId="43" fontId="3" fillId="4" borderId="28" xfId="2" applyNumberFormat="1" applyFont="1" applyAlignment="1">
      <alignment horizontal="center"/>
    </xf>
    <xf numFmtId="164" fontId="3" fillId="4" borderId="31" xfId="2" applyNumberFormat="1" applyFont="1" applyBorder="1"/>
    <xf numFmtId="164" fontId="9" fillId="2" borderId="28" xfId="2" applyNumberFormat="1" applyFill="1"/>
    <xf numFmtId="43" fontId="9" fillId="2" borderId="28" xfId="2" applyNumberFormat="1" applyFill="1" applyAlignment="1">
      <alignment horizontal="center"/>
    </xf>
    <xf numFmtId="164" fontId="2" fillId="2" borderId="28" xfId="2" applyNumberFormat="1" applyFont="1" applyFill="1"/>
    <xf numFmtId="164" fontId="2" fillId="2" borderId="31" xfId="2" applyNumberFormat="1" applyFont="1" applyFill="1" applyBorder="1"/>
    <xf numFmtId="167" fontId="3" fillId="2" borderId="28" xfId="2" applyNumberFormat="1" applyFont="1" applyFill="1"/>
    <xf numFmtId="164" fontId="3" fillId="2" borderId="28" xfId="2" applyNumberFormat="1" applyFont="1" applyFill="1"/>
    <xf numFmtId="43" fontId="3" fillId="2" borderId="28" xfId="2" applyNumberFormat="1" applyFont="1" applyFill="1" applyAlignment="1">
      <alignment horizontal="center"/>
    </xf>
    <xf numFmtId="0" fontId="9" fillId="0" borderId="0" xfId="2" applyFill="1" applyBorder="1"/>
    <xf numFmtId="0" fontId="9" fillId="4" borderId="0" xfId="2" applyBorder="1"/>
    <xf numFmtId="0" fontId="9" fillId="0" borderId="32" xfId="2" applyFill="1" applyBorder="1"/>
    <xf numFmtId="43" fontId="11" fillId="0" borderId="28" xfId="2" applyNumberFormat="1" applyFont="1" applyFill="1" applyAlignment="1">
      <alignment horizontal="center"/>
    </xf>
    <xf numFmtId="164" fontId="11" fillId="0" borderId="28" xfId="2" applyNumberFormat="1" applyFont="1" applyFill="1"/>
    <xf numFmtId="164" fontId="3" fillId="0" borderId="31" xfId="2" applyNumberFormat="1" applyFont="1" applyFill="1" applyBorder="1"/>
    <xf numFmtId="164" fontId="0" fillId="0" borderId="16" xfId="0" applyNumberFormat="1" applyBorder="1" applyAlignment="1">
      <alignment horizontal="right"/>
    </xf>
    <xf numFmtId="164" fontId="12" fillId="0" borderId="8" xfId="0" applyNumberFormat="1" applyFont="1" applyBorder="1"/>
    <xf numFmtId="0" fontId="2" fillId="0" borderId="15" xfId="0" applyFont="1" applyBorder="1" applyAlignment="1">
      <alignment horizontal="center"/>
    </xf>
    <xf numFmtId="166" fontId="2" fillId="0" borderId="33" xfId="0" applyNumberFormat="1" applyFont="1" applyBorder="1" applyAlignment="1">
      <alignment horizontal="centerContinuous"/>
    </xf>
    <xf numFmtId="166" fontId="2" fillId="0" borderId="0" xfId="0" applyNumberFormat="1" applyFont="1" applyAlignment="1">
      <alignment horizontal="centerContinuous"/>
    </xf>
    <xf numFmtId="166" fontId="2" fillId="0" borderId="22" xfId="0" applyNumberFormat="1" applyFont="1" applyBorder="1" applyAlignment="1">
      <alignment horizontal="centerContinuous"/>
    </xf>
    <xf numFmtId="0" fontId="0" fillId="0" borderId="34" xfId="0" applyBorder="1"/>
    <xf numFmtId="166" fontId="2" fillId="0" borderId="5" xfId="0" applyNumberFormat="1" applyFont="1" applyBorder="1" applyAlignment="1">
      <alignment horizontal="centerContinuous"/>
    </xf>
    <xf numFmtId="164" fontId="8" fillId="0" borderId="26" xfId="0" applyNumberFormat="1" applyFont="1" applyBorder="1" applyAlignment="1">
      <alignment horizontal="right"/>
    </xf>
    <xf numFmtId="164" fontId="8" fillId="0" borderId="35" xfId="0" applyNumberFormat="1" applyFont="1" applyBorder="1" applyAlignment="1">
      <alignment horizontal="right"/>
    </xf>
    <xf numFmtId="164" fontId="8" fillId="0" borderId="35" xfId="0" applyNumberFormat="1" applyFont="1" applyBorder="1"/>
    <xf numFmtId="0" fontId="7" fillId="0" borderId="2" xfId="0" applyFont="1" applyBorder="1"/>
    <xf numFmtId="164" fontId="0" fillId="2" borderId="7" xfId="0" applyNumberFormat="1" applyFill="1" applyBorder="1" applyAlignment="1">
      <alignment horizontal="right"/>
    </xf>
    <xf numFmtId="164" fontId="0" fillId="2" borderId="7" xfId="0" applyNumberFormat="1" applyFill="1" applyBorder="1"/>
    <xf numFmtId="164" fontId="12" fillId="0" borderId="2" xfId="0" applyNumberFormat="1" applyFon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38" xfId="0" applyNumberFormat="1" applyBorder="1"/>
    <xf numFmtId="166" fontId="2" fillId="0" borderId="19" xfId="0" applyNumberFormat="1" applyFont="1" applyBorder="1"/>
    <xf numFmtId="0" fontId="2" fillId="0" borderId="34" xfId="0" applyFont="1" applyBorder="1" applyAlignment="1">
      <alignment horizontal="center"/>
    </xf>
    <xf numFmtId="166" fontId="2" fillId="0" borderId="19" xfId="0" applyNumberFormat="1" applyFont="1" applyBorder="1" applyAlignment="1">
      <alignment horizontal="centerContinuous"/>
    </xf>
    <xf numFmtId="164" fontId="0" fillId="0" borderId="39" xfId="0" applyNumberFormat="1" applyBorder="1"/>
    <xf numFmtId="164" fontId="0" fillId="0" borderId="40" xfId="0" applyNumberFormat="1" applyBorder="1"/>
    <xf numFmtId="164" fontId="0" fillId="0" borderId="41" xfId="0" applyNumberFormat="1" applyBorder="1"/>
    <xf numFmtId="164" fontId="0" fillId="0" borderId="35" xfId="0" applyNumberFormat="1" applyBorder="1"/>
    <xf numFmtId="164" fontId="0" fillId="0" borderId="18" xfId="0" applyNumberFormat="1" applyBorder="1"/>
    <xf numFmtId="166" fontId="2" fillId="0" borderId="1" xfId="0" applyNumberFormat="1" applyFont="1" applyBorder="1" applyAlignment="1">
      <alignment horizontal="centerContinuous"/>
    </xf>
    <xf numFmtId="164" fontId="8" fillId="0" borderId="27" xfId="0" applyNumberFormat="1" applyFont="1" applyBorder="1"/>
    <xf numFmtId="164" fontId="0" fillId="0" borderId="43" xfId="0" applyNumberFormat="1" applyBorder="1"/>
    <xf numFmtId="164" fontId="0" fillId="0" borderId="44" xfId="0" applyNumberFormat="1" applyBorder="1"/>
    <xf numFmtId="164" fontId="0" fillId="0" borderId="42" xfId="0" applyNumberFormat="1" applyBorder="1"/>
    <xf numFmtId="164" fontId="0" fillId="0" borderId="45" xfId="0" applyNumberFormat="1" applyBorder="1"/>
    <xf numFmtId="164" fontId="0" fillId="0" borderId="1" xfId="0" applyNumberFormat="1" applyBorder="1"/>
    <xf numFmtId="164" fontId="1" fillId="0" borderId="46" xfId="0" applyNumberFormat="1" applyFont="1" applyBorder="1"/>
    <xf numFmtId="0" fontId="5" fillId="0" borderId="47" xfId="0" applyFont="1" applyBorder="1"/>
    <xf numFmtId="164" fontId="5" fillId="0" borderId="17" xfId="0" applyNumberFormat="1" applyFont="1" applyBorder="1"/>
    <xf numFmtId="164" fontId="0" fillId="0" borderId="48" xfId="0" applyNumberFormat="1" applyBorder="1"/>
    <xf numFmtId="164" fontId="0" fillId="0" borderId="49" xfId="0" applyNumberFormat="1" applyBorder="1"/>
    <xf numFmtId="164" fontId="0" fillId="0" borderId="50" xfId="0" applyNumberFormat="1" applyBorder="1"/>
    <xf numFmtId="164" fontId="0" fillId="0" borderId="5" xfId="0" applyNumberFormat="1" applyBorder="1" applyAlignment="1">
      <alignment horizontal="right"/>
    </xf>
    <xf numFmtId="164" fontId="0" fillId="0" borderId="51" xfId="0" applyNumberFormat="1" applyBorder="1"/>
    <xf numFmtId="166" fontId="2" fillId="0" borderId="1" xfId="0" applyNumberFormat="1" applyFont="1" applyBorder="1"/>
    <xf numFmtId="164" fontId="0" fillId="0" borderId="52" xfId="0" applyNumberFormat="1" applyBorder="1"/>
    <xf numFmtId="164" fontId="14" fillId="0" borderId="8" xfId="3" applyNumberFormat="1" applyBorder="1"/>
    <xf numFmtId="164" fontId="0" fillId="0" borderId="53" xfId="0" applyNumberFormat="1" applyBorder="1"/>
    <xf numFmtId="164" fontId="0" fillId="0" borderId="34" xfId="0" applyNumberFormat="1" applyBorder="1"/>
    <xf numFmtId="164" fontId="0" fillId="0" borderId="54" xfId="0" applyNumberFormat="1" applyBorder="1"/>
    <xf numFmtId="164" fontId="1" fillId="0" borderId="49" xfId="0" applyNumberFormat="1" applyFont="1" applyBorder="1"/>
    <xf numFmtId="164" fontId="0" fillId="0" borderId="55" xfId="0" applyNumberFormat="1" applyBorder="1"/>
    <xf numFmtId="164" fontId="7" fillId="0" borderId="48" xfId="0" applyNumberFormat="1" applyFont="1" applyBorder="1"/>
    <xf numFmtId="164" fontId="0" fillId="0" borderId="46" xfId="0" applyNumberFormat="1" applyBorder="1"/>
    <xf numFmtId="164" fontId="0" fillId="0" borderId="47" xfId="0" applyNumberFormat="1" applyBorder="1"/>
    <xf numFmtId="164" fontId="15" fillId="0" borderId="9" xfId="0" applyNumberFormat="1" applyFont="1" applyBorder="1"/>
    <xf numFmtId="44" fontId="0" fillId="0" borderId="2" xfId="0" applyNumberFormat="1" applyBorder="1" applyAlignment="1">
      <alignment horizontal="right"/>
    </xf>
    <xf numFmtId="44" fontId="0" fillId="0" borderId="14" xfId="0" applyNumberFormat="1" applyBorder="1" applyAlignment="1">
      <alignment horizontal="right"/>
    </xf>
    <xf numFmtId="164" fontId="0" fillId="0" borderId="56" xfId="0" applyNumberFormat="1" applyBorder="1"/>
    <xf numFmtId="164" fontId="0" fillId="0" borderId="57" xfId="0" applyNumberFormat="1" applyBorder="1"/>
    <xf numFmtId="164" fontId="16" fillId="0" borderId="46" xfId="0" applyNumberFormat="1" applyFont="1" applyBorder="1"/>
    <xf numFmtId="164" fontId="6" fillId="0" borderId="2" xfId="0" applyNumberFormat="1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center"/>
    </xf>
    <xf numFmtId="166" fontId="2" fillId="0" borderId="23" xfId="0" applyNumberFormat="1" applyFont="1" applyBorder="1" applyAlignment="1">
      <alignment horizontal="center"/>
    </xf>
    <xf numFmtId="166" fontId="2" fillId="0" borderId="24" xfId="0" applyNumberFormat="1" applyFont="1" applyBorder="1" applyAlignment="1">
      <alignment horizontal="center"/>
    </xf>
  </cellXfs>
  <cellStyles count="4">
    <cellStyle name="Calculation" xfId="2" builtinId="22"/>
    <cellStyle name="Comma" xfId="1" builtinId="3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FCED-AAB9-4CB7-A468-2FADB2FE13D9}">
  <dimension ref="A1:G44"/>
  <sheetViews>
    <sheetView topLeftCell="C1" workbookViewId="0">
      <selection activeCell="E21" sqref="E21"/>
    </sheetView>
  </sheetViews>
  <sheetFormatPr defaultRowHeight="14.4" x14ac:dyDescent="0.3"/>
  <cols>
    <col min="1" max="1" width="12.5546875" customWidth="1"/>
    <col min="2" max="2" width="13.6640625" customWidth="1"/>
    <col min="3" max="3" width="10.88671875" customWidth="1"/>
    <col min="4" max="4" width="15.5546875" customWidth="1"/>
    <col min="5" max="5" width="16.33203125" customWidth="1"/>
    <col min="6" max="6" width="14.33203125" bestFit="1" customWidth="1"/>
    <col min="7" max="7" width="11.33203125" customWidth="1"/>
    <col min="8" max="8" width="11.44140625" customWidth="1"/>
    <col min="10" max="10" width="9.109375" customWidth="1"/>
    <col min="11" max="11" width="14" customWidth="1"/>
    <col min="12" max="12" width="12.5546875" customWidth="1"/>
    <col min="13" max="13" width="14.6640625" customWidth="1"/>
    <col min="14" max="14" width="14" customWidth="1"/>
    <col min="15" max="15" width="10.88671875" customWidth="1"/>
    <col min="16" max="16" width="14" customWidth="1"/>
    <col min="17" max="17" width="13" customWidth="1"/>
    <col min="18" max="18" width="12.33203125" customWidth="1"/>
  </cols>
  <sheetData>
    <row r="1" spans="1:7" x14ac:dyDescent="0.3">
      <c r="A1" s="4">
        <v>44867</v>
      </c>
      <c r="B1" s="4">
        <v>44868</v>
      </c>
    </row>
    <row r="2" spans="1:7" x14ac:dyDescent="0.3">
      <c r="A2" s="1">
        <v>220</v>
      </c>
      <c r="B2" s="1">
        <v>370</v>
      </c>
    </row>
    <row r="3" spans="1:7" x14ac:dyDescent="0.3">
      <c r="A3" s="1">
        <v>1086.9000000000001</v>
      </c>
      <c r="B3" s="1">
        <v>1051.9000000000001</v>
      </c>
      <c r="C3" t="s">
        <v>0</v>
      </c>
      <c r="D3" t="s">
        <v>1</v>
      </c>
      <c r="E3" t="s">
        <v>2</v>
      </c>
      <c r="F3" t="s">
        <v>3</v>
      </c>
    </row>
    <row r="4" spans="1:7" x14ac:dyDescent="0.3">
      <c r="A4" s="1"/>
      <c r="B4" s="1"/>
      <c r="C4" t="s">
        <v>4</v>
      </c>
    </row>
    <row r="5" spans="1:7" x14ac:dyDescent="0.3">
      <c r="A5" s="1">
        <v>1315.74</v>
      </c>
      <c r="B5" s="1">
        <v>1446.05</v>
      </c>
      <c r="C5">
        <v>903</v>
      </c>
      <c r="D5" s="1">
        <f>'January 2023'!H16</f>
        <v>46805.93</v>
      </c>
      <c r="E5" s="1"/>
      <c r="F5" s="1"/>
      <c r="G5" s="1"/>
    </row>
    <row r="6" spans="1:7" x14ac:dyDescent="0.3">
      <c r="A6" s="1">
        <v>170</v>
      </c>
      <c r="B6" s="1">
        <v>110</v>
      </c>
      <c r="C6">
        <v>906</v>
      </c>
      <c r="D6" s="1">
        <f>'January 2023'!H35</f>
        <v>52030.03</v>
      </c>
      <c r="E6" s="1"/>
      <c r="F6" s="1"/>
      <c r="G6" s="1"/>
    </row>
    <row r="7" spans="1:7" x14ac:dyDescent="0.3">
      <c r="A7" s="1">
        <v>180</v>
      </c>
      <c r="B7" s="1">
        <v>295</v>
      </c>
      <c r="C7">
        <v>907</v>
      </c>
      <c r="D7" s="1">
        <f>'January 2023'!H54</f>
        <v>50342.84</v>
      </c>
      <c r="E7" s="1"/>
      <c r="F7" s="1"/>
      <c r="G7" s="1"/>
    </row>
    <row r="8" spans="1:7" x14ac:dyDescent="0.3">
      <c r="A8" s="1">
        <v>147.44999999999999</v>
      </c>
      <c r="B8" s="1">
        <v>835</v>
      </c>
      <c r="C8">
        <v>908</v>
      </c>
      <c r="D8" s="1">
        <f>'January 2023'!H73</f>
        <v>49111.960000000006</v>
      </c>
      <c r="E8" s="1"/>
      <c r="F8" s="1"/>
      <c r="G8" s="1"/>
    </row>
    <row r="9" spans="1:7" x14ac:dyDescent="0.3">
      <c r="A9" s="1">
        <v>215</v>
      </c>
      <c r="B9" s="1">
        <v>110</v>
      </c>
      <c r="C9">
        <v>909</v>
      </c>
      <c r="D9" s="1">
        <f>'January 2023'!H92</f>
        <v>47825.8</v>
      </c>
      <c r="E9" s="1"/>
      <c r="F9" s="1"/>
      <c r="G9" s="1"/>
    </row>
    <row r="10" spans="1:7" x14ac:dyDescent="0.3">
      <c r="A10" s="1">
        <v>533.1</v>
      </c>
      <c r="B10" s="1">
        <v>147.44999999999999</v>
      </c>
      <c r="D10" s="72">
        <f>SUM(D5:D9)</f>
        <v>246116.56</v>
      </c>
      <c r="E10" s="72"/>
      <c r="F10" s="72"/>
      <c r="G10" s="1"/>
    </row>
    <row r="11" spans="1:7" x14ac:dyDescent="0.3">
      <c r="A11" s="1">
        <v>165</v>
      </c>
      <c r="B11" s="1">
        <v>330</v>
      </c>
      <c r="C11" t="s">
        <v>5</v>
      </c>
      <c r="D11" s="1"/>
      <c r="E11" s="1"/>
      <c r="F11" s="1"/>
      <c r="G11" s="1"/>
    </row>
    <row r="12" spans="1:7" x14ac:dyDescent="0.3">
      <c r="A12" s="1">
        <v>430</v>
      </c>
      <c r="B12" s="1">
        <v>183.1</v>
      </c>
      <c r="C12">
        <v>910</v>
      </c>
      <c r="D12" s="1">
        <f>'February 2023'!H18</f>
        <v>49617.56</v>
      </c>
      <c r="F12" s="1"/>
      <c r="G12" s="1"/>
    </row>
    <row r="13" spans="1:7" x14ac:dyDescent="0.3">
      <c r="A13" s="1"/>
      <c r="B13" s="1">
        <v>165</v>
      </c>
      <c r="C13">
        <v>911</v>
      </c>
      <c r="D13" s="1">
        <f>'February 2023'!H40</f>
        <v>46368.83</v>
      </c>
      <c r="E13" s="1">
        <f>'February 2023'!Z40</f>
        <v>37864</v>
      </c>
      <c r="F13" s="1">
        <f>'February 2023'!Z41</f>
        <v>2915</v>
      </c>
      <c r="G13" s="1"/>
    </row>
    <row r="14" spans="1:7" x14ac:dyDescent="0.3">
      <c r="A14" s="1"/>
      <c r="B14" s="1">
        <v>220</v>
      </c>
      <c r="C14">
        <v>912</v>
      </c>
      <c r="D14" s="1">
        <f>'February 2023'!H59</f>
        <v>50182.41</v>
      </c>
      <c r="E14" s="1">
        <f>'February 2023'!Z59</f>
        <v>36792</v>
      </c>
      <c r="F14" s="1">
        <f>'February 2023'!Z60</f>
        <v>2844.5</v>
      </c>
      <c r="G14" s="1"/>
    </row>
    <row r="15" spans="1:7" x14ac:dyDescent="0.3">
      <c r="A15" s="1"/>
      <c r="B15" s="1"/>
      <c r="C15">
        <v>913</v>
      </c>
      <c r="D15" s="1">
        <f>'February 2023'!H78</f>
        <v>49032.799999999996</v>
      </c>
      <c r="E15" s="1">
        <f>'February 2023'!Z78</f>
        <v>37582</v>
      </c>
      <c r="F15" s="1">
        <f>'February 2023'!Z79</f>
        <v>8771.5</v>
      </c>
      <c r="G15" s="1"/>
    </row>
    <row r="16" spans="1:7" x14ac:dyDescent="0.3">
      <c r="A16" s="1"/>
      <c r="B16" s="1"/>
      <c r="D16" s="72">
        <f>SUM(D12:D15)</f>
        <v>195201.59999999998</v>
      </c>
      <c r="E16" s="72">
        <f t="shared" ref="E16:F16" si="0">SUM(E12:E15)</f>
        <v>112238</v>
      </c>
      <c r="F16" s="72">
        <f t="shared" si="0"/>
        <v>14531</v>
      </c>
      <c r="G16" s="1"/>
    </row>
    <row r="17" spans="1:7" x14ac:dyDescent="0.3">
      <c r="A17" s="1"/>
      <c r="B17" s="1"/>
      <c r="C17" t="s">
        <v>6</v>
      </c>
      <c r="D17" s="1"/>
      <c r="E17" s="1"/>
      <c r="F17" s="1"/>
      <c r="G17" s="1"/>
    </row>
    <row r="18" spans="1:7" x14ac:dyDescent="0.3">
      <c r="B18" s="1"/>
      <c r="C18">
        <v>914</v>
      </c>
      <c r="D18" s="1"/>
      <c r="E18" s="1"/>
      <c r="F18" s="1"/>
      <c r="G18" s="1"/>
    </row>
    <row r="19" spans="1:7" x14ac:dyDescent="0.3">
      <c r="A19" s="1">
        <f>SUM(A2:A18)</f>
        <v>4463.1900000000005</v>
      </c>
      <c r="B19" s="1">
        <f>SUM(B2:B18)</f>
        <v>5263.5</v>
      </c>
      <c r="D19" s="1"/>
      <c r="E19" s="1"/>
      <c r="F19" s="1"/>
      <c r="G19" s="1"/>
    </row>
    <row r="20" spans="1:7" x14ac:dyDescent="0.3">
      <c r="A20">
        <v>4463.1899999999996</v>
      </c>
      <c r="B20" s="1">
        <v>5263.5</v>
      </c>
      <c r="D20" s="1"/>
      <c r="E20" s="1"/>
      <c r="F20" s="1"/>
      <c r="G20" s="1"/>
    </row>
    <row r="21" spans="1:7" x14ac:dyDescent="0.3">
      <c r="A21" s="1">
        <f>A19-A20</f>
        <v>0</v>
      </c>
      <c r="B21" s="1">
        <f>B19-B20</f>
        <v>0</v>
      </c>
      <c r="D21" s="1"/>
      <c r="E21" s="1"/>
      <c r="F21" s="1"/>
      <c r="G21" s="1"/>
    </row>
    <row r="22" spans="1:7" x14ac:dyDescent="0.3">
      <c r="D22" s="1"/>
      <c r="E22" s="1"/>
      <c r="F22" s="1"/>
      <c r="G22" s="1"/>
    </row>
    <row r="23" spans="1:7" x14ac:dyDescent="0.3">
      <c r="D23" s="1"/>
      <c r="E23" s="1"/>
      <c r="F23" s="1"/>
      <c r="G23" s="1"/>
    </row>
    <row r="24" spans="1:7" x14ac:dyDescent="0.3">
      <c r="D24" s="1"/>
      <c r="E24" s="1"/>
      <c r="F24" s="1"/>
      <c r="G24" s="1"/>
    </row>
    <row r="25" spans="1:7" x14ac:dyDescent="0.3">
      <c r="A25" s="4">
        <v>44874</v>
      </c>
      <c r="B25" s="4">
        <v>44875</v>
      </c>
      <c r="D25" s="1"/>
      <c r="E25" s="1"/>
      <c r="F25" s="1"/>
      <c r="G25" s="1"/>
    </row>
    <row r="26" spans="1:7" x14ac:dyDescent="0.3">
      <c r="A26" s="1">
        <v>185</v>
      </c>
      <c r="B26" s="1">
        <v>405</v>
      </c>
      <c r="D26" s="1"/>
      <c r="E26" s="1"/>
      <c r="F26" s="1"/>
      <c r="G26" s="1"/>
    </row>
    <row r="27" spans="1:7" x14ac:dyDescent="0.3">
      <c r="A27" s="1">
        <v>1171.9000000000001</v>
      </c>
      <c r="B27" s="1">
        <v>1271.9000000000001</v>
      </c>
      <c r="D27" s="1"/>
      <c r="E27" s="1"/>
      <c r="F27" s="1"/>
      <c r="G27" s="1"/>
    </row>
    <row r="28" spans="1:7" x14ac:dyDescent="0.3">
      <c r="A28" s="1">
        <v>1315.74</v>
      </c>
      <c r="B28" s="1">
        <v>1355.43</v>
      </c>
      <c r="D28" s="1"/>
      <c r="E28" s="1"/>
      <c r="F28" s="1"/>
      <c r="G28" s="1"/>
    </row>
    <row r="29" spans="1:7" x14ac:dyDescent="0.3">
      <c r="A29" s="1">
        <v>275</v>
      </c>
      <c r="B29" s="1">
        <v>195</v>
      </c>
      <c r="D29" s="1"/>
      <c r="E29" s="1"/>
      <c r="F29" s="1"/>
      <c r="G29" s="1"/>
    </row>
    <row r="30" spans="1:7" x14ac:dyDescent="0.3">
      <c r="A30" s="1">
        <v>110</v>
      </c>
      <c r="B30" s="1">
        <v>110</v>
      </c>
      <c r="D30" s="1"/>
      <c r="E30" s="1"/>
      <c r="F30" s="1"/>
      <c r="G30" s="1"/>
    </row>
    <row r="31" spans="1:7" x14ac:dyDescent="0.3">
      <c r="A31" s="1">
        <v>147.44999999999999</v>
      </c>
      <c r="B31" s="1">
        <v>222.45</v>
      </c>
      <c r="D31" s="1"/>
      <c r="E31" s="1"/>
      <c r="F31" s="1"/>
      <c r="G31" s="1"/>
    </row>
    <row r="32" spans="1:7" x14ac:dyDescent="0.3">
      <c r="A32" s="1">
        <v>140</v>
      </c>
      <c r="B32" s="1">
        <v>130</v>
      </c>
      <c r="D32" s="1"/>
      <c r="E32" s="1"/>
      <c r="F32" s="1"/>
      <c r="G32" s="1"/>
    </row>
    <row r="33" spans="1:7" x14ac:dyDescent="0.3">
      <c r="A33" s="1">
        <v>513.1</v>
      </c>
      <c r="B33" s="1">
        <v>423.1</v>
      </c>
      <c r="D33" s="1"/>
      <c r="E33" s="1"/>
      <c r="F33" s="1"/>
      <c r="G33" s="1"/>
    </row>
    <row r="34" spans="1:7" x14ac:dyDescent="0.3">
      <c r="A34" s="1">
        <v>165</v>
      </c>
      <c r="B34" s="1">
        <v>180</v>
      </c>
    </row>
    <row r="35" spans="1:7" x14ac:dyDescent="0.3">
      <c r="A35" s="1">
        <v>320</v>
      </c>
      <c r="B35" s="1">
        <v>280</v>
      </c>
    </row>
    <row r="36" spans="1:7" x14ac:dyDescent="0.3">
      <c r="A36" s="1">
        <v>110</v>
      </c>
      <c r="B36" s="1"/>
    </row>
    <row r="37" spans="1:7" x14ac:dyDescent="0.3">
      <c r="A37" s="1"/>
      <c r="B37" s="1"/>
    </row>
    <row r="38" spans="1:7" x14ac:dyDescent="0.3">
      <c r="A38" s="1"/>
      <c r="B38" s="1"/>
    </row>
    <row r="39" spans="1:7" x14ac:dyDescent="0.3">
      <c r="A39" s="1"/>
      <c r="B39" s="1"/>
    </row>
    <row r="40" spans="1:7" x14ac:dyDescent="0.3">
      <c r="A40" s="1"/>
      <c r="B40" s="1"/>
    </row>
    <row r="41" spans="1:7" x14ac:dyDescent="0.3">
      <c r="A41" s="1"/>
      <c r="B41" s="1"/>
    </row>
    <row r="42" spans="1:7" x14ac:dyDescent="0.3">
      <c r="A42" s="1">
        <f>SUM(A26:A41)</f>
        <v>4453.1900000000005</v>
      </c>
      <c r="B42" s="1">
        <f>SUM(B26:B41)</f>
        <v>4572.88</v>
      </c>
    </row>
    <row r="43" spans="1:7" x14ac:dyDescent="0.3">
      <c r="A43" s="1">
        <v>4453.1899999999996</v>
      </c>
      <c r="B43" s="1">
        <v>4572.88</v>
      </c>
    </row>
    <row r="44" spans="1:7" x14ac:dyDescent="0.3">
      <c r="A44" s="1">
        <f>A42-A43</f>
        <v>0</v>
      </c>
      <c r="B44" s="1">
        <f>B42-B43</f>
        <v>0</v>
      </c>
    </row>
  </sheetData>
  <pageMargins left="0.7" right="0.7" top="0.75" bottom="0.75" header="0.3" footer="0.3"/>
  <pageSetup paperSize="9" orientation="portrait" r:id="rId1"/>
  <ignoredErrors>
    <ignoredError sqref="A19:B19 B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DD1-EFFF-4E10-BF4A-9641AD7A540F}">
  <dimension ref="A1:AO117"/>
  <sheetViews>
    <sheetView topLeftCell="A73" workbookViewId="0">
      <selection activeCell="R82" sqref="R82"/>
    </sheetView>
  </sheetViews>
  <sheetFormatPr defaultRowHeight="14.4" x14ac:dyDescent="0.3"/>
  <cols>
    <col min="1" max="5" width="10.33203125" bestFit="1" customWidth="1"/>
    <col min="6" max="6" width="10.109375" bestFit="1" customWidth="1"/>
    <col min="9" max="15" width="10.33203125" bestFit="1" customWidth="1"/>
    <col min="16" max="16" width="10.109375" bestFit="1" customWidth="1"/>
    <col min="22" max="22" width="14.5546875" customWidth="1"/>
    <col min="23" max="23" width="13.33203125" customWidth="1"/>
    <col min="24" max="24" width="13.109375" customWidth="1"/>
    <col min="25" max="25" width="12.88671875" customWidth="1"/>
    <col min="26" max="26" width="11.33203125" customWidth="1"/>
    <col min="27" max="27" width="13.33203125" customWidth="1"/>
    <col min="28" max="28" width="13" customWidth="1"/>
    <col min="29" max="30" width="12.6640625" customWidth="1"/>
    <col min="32" max="32" width="10" bestFit="1" customWidth="1"/>
  </cols>
  <sheetData>
    <row r="1" spans="22:29" x14ac:dyDescent="0.3">
      <c r="V1" s="4">
        <v>44888</v>
      </c>
      <c r="W1" s="4">
        <v>44889</v>
      </c>
      <c r="X1" s="4">
        <v>44890</v>
      </c>
      <c r="Y1" s="4">
        <v>44891</v>
      </c>
      <c r="Z1" s="4">
        <v>44892</v>
      </c>
      <c r="AA1" s="4">
        <v>44893</v>
      </c>
      <c r="AB1" s="4">
        <v>44894</v>
      </c>
    </row>
    <row r="2" spans="22:29" x14ac:dyDescent="0.3">
      <c r="V2" s="5">
        <v>110</v>
      </c>
      <c r="W2" s="1">
        <v>185</v>
      </c>
      <c r="X2" s="1">
        <v>295</v>
      </c>
      <c r="Y2" s="1">
        <v>150</v>
      </c>
      <c r="Z2" s="1">
        <v>945</v>
      </c>
      <c r="AA2" s="1">
        <v>440</v>
      </c>
      <c r="AB2" s="1">
        <v>260</v>
      </c>
    </row>
    <row r="3" spans="22:29" x14ac:dyDescent="0.3">
      <c r="V3" s="1">
        <v>1566.9</v>
      </c>
      <c r="W3" s="1">
        <v>1551.9</v>
      </c>
      <c r="X3" s="1">
        <v>110</v>
      </c>
      <c r="Y3" s="1">
        <v>958.45</v>
      </c>
      <c r="Z3" s="1">
        <v>280</v>
      </c>
      <c r="AA3" s="1">
        <v>835</v>
      </c>
      <c r="AB3" s="1">
        <v>1196.9000000000001</v>
      </c>
      <c r="AC3" s="1"/>
    </row>
    <row r="4" spans="22:29" x14ac:dyDescent="0.3">
      <c r="V4" s="1">
        <v>1230.53</v>
      </c>
      <c r="W4" s="1">
        <v>1446.05</v>
      </c>
      <c r="X4" s="1">
        <v>1376.9</v>
      </c>
      <c r="Y4" s="1">
        <v>220</v>
      </c>
      <c r="Z4" s="1">
        <v>330</v>
      </c>
      <c r="AA4" s="1">
        <v>1485.74</v>
      </c>
      <c r="AB4" s="1">
        <v>1315.53</v>
      </c>
      <c r="AC4" s="1"/>
    </row>
    <row r="5" spans="22:29" x14ac:dyDescent="0.3">
      <c r="V5" s="1">
        <v>220</v>
      </c>
      <c r="W5" s="1">
        <v>305</v>
      </c>
      <c r="X5" s="1">
        <v>1446.05</v>
      </c>
      <c r="Y5" s="1">
        <v>380</v>
      </c>
      <c r="Z5" s="1"/>
      <c r="AA5" s="1">
        <v>75</v>
      </c>
      <c r="AB5" s="1">
        <v>85</v>
      </c>
      <c r="AC5" s="1"/>
    </row>
    <row r="6" spans="22:29" x14ac:dyDescent="0.3">
      <c r="V6" s="1">
        <v>110</v>
      </c>
      <c r="W6" s="1">
        <v>147.44999999999999</v>
      </c>
      <c r="X6" s="1">
        <v>220</v>
      </c>
      <c r="Y6" s="1">
        <v>110</v>
      </c>
      <c r="Z6" s="1"/>
      <c r="AA6" s="1">
        <v>195</v>
      </c>
      <c r="AB6" s="1">
        <v>305</v>
      </c>
      <c r="AC6" s="1"/>
    </row>
    <row r="7" spans="22:29" x14ac:dyDescent="0.3">
      <c r="V7" s="1">
        <v>147.44999999999999</v>
      </c>
      <c r="W7" s="1">
        <v>235</v>
      </c>
      <c r="X7" s="1">
        <v>110</v>
      </c>
      <c r="Y7" s="1">
        <v>265</v>
      </c>
      <c r="Z7" s="1"/>
      <c r="AA7" s="1">
        <v>305</v>
      </c>
      <c r="AB7" s="1">
        <v>85</v>
      </c>
      <c r="AC7" s="1"/>
    </row>
    <row r="8" spans="22:29" x14ac:dyDescent="0.3">
      <c r="V8" s="1">
        <v>290</v>
      </c>
      <c r="W8" s="1">
        <v>293.10000000000002</v>
      </c>
      <c r="X8" s="1">
        <v>147.44999999999999</v>
      </c>
      <c r="Y8" s="1">
        <v>431.55</v>
      </c>
      <c r="Z8" s="1"/>
      <c r="AA8" s="1">
        <v>110</v>
      </c>
      <c r="AB8" s="1">
        <v>110</v>
      </c>
    </row>
    <row r="9" spans="22:29" x14ac:dyDescent="0.3">
      <c r="V9" s="1">
        <v>403.1</v>
      </c>
      <c r="W9" s="1">
        <v>75</v>
      </c>
      <c r="X9" s="1">
        <v>105</v>
      </c>
      <c r="Y9" s="1"/>
      <c r="Z9" s="1"/>
      <c r="AA9" s="1">
        <v>147.44999999999999</v>
      </c>
      <c r="AB9" s="1">
        <v>147.44999999999999</v>
      </c>
    </row>
    <row r="10" spans="22:29" x14ac:dyDescent="0.3">
      <c r="V10" s="1">
        <v>165</v>
      </c>
      <c r="W10" s="1"/>
      <c r="X10" s="1">
        <v>183.1</v>
      </c>
      <c r="Y10" s="1"/>
      <c r="Z10" s="1"/>
      <c r="AA10" s="1">
        <v>115</v>
      </c>
      <c r="AB10" s="1">
        <v>280</v>
      </c>
    </row>
    <row r="11" spans="22:29" x14ac:dyDescent="0.3">
      <c r="V11" s="1">
        <v>170</v>
      </c>
      <c r="W11" s="1"/>
      <c r="X11" s="1">
        <v>165</v>
      </c>
      <c r="Y11" s="1"/>
      <c r="Z11" s="1"/>
      <c r="AA11" s="1">
        <v>110</v>
      </c>
      <c r="AB11" s="1">
        <v>293.10000000000002</v>
      </c>
    </row>
    <row r="12" spans="22:29" x14ac:dyDescent="0.3">
      <c r="V12" s="1">
        <v>40</v>
      </c>
      <c r="W12" s="1"/>
      <c r="X12" s="1">
        <v>320</v>
      </c>
      <c r="Y12" s="1"/>
      <c r="Z12" s="1"/>
      <c r="AA12" s="1">
        <v>150</v>
      </c>
      <c r="AB12" s="1">
        <v>165</v>
      </c>
    </row>
    <row r="13" spans="22:29" x14ac:dyDescent="0.3">
      <c r="V13" s="1"/>
      <c r="W13" s="1"/>
      <c r="X13" s="1"/>
      <c r="Y13" s="1"/>
      <c r="Z13" s="1"/>
      <c r="AA13" s="1">
        <v>110</v>
      </c>
      <c r="AB13" s="1">
        <v>5489.88</v>
      </c>
    </row>
    <row r="14" spans="22:29" x14ac:dyDescent="0.3">
      <c r="V14" s="1"/>
      <c r="W14" s="1"/>
      <c r="X14" s="1"/>
      <c r="Y14" s="1"/>
      <c r="Z14" s="1"/>
      <c r="AA14" s="1"/>
      <c r="AB14" s="1">
        <v>3690.2</v>
      </c>
    </row>
    <row r="15" spans="22:29" x14ac:dyDescent="0.3">
      <c r="V15" s="1"/>
      <c r="W15" s="1"/>
      <c r="X15" s="1"/>
      <c r="Y15" s="1"/>
      <c r="Z15" s="1"/>
      <c r="AA15" s="1"/>
      <c r="AB15" s="1">
        <v>589.79999999999995</v>
      </c>
    </row>
    <row r="16" spans="22:29" x14ac:dyDescent="0.3">
      <c r="V16" s="1"/>
      <c r="W16" s="1"/>
      <c r="X16" s="1"/>
      <c r="Y16" s="1"/>
      <c r="Z16" s="1"/>
      <c r="AA16" s="1"/>
      <c r="AB16" s="1">
        <v>5535.3</v>
      </c>
    </row>
    <row r="17" spans="22:32" x14ac:dyDescent="0.3">
      <c r="V17" s="1"/>
      <c r="W17" s="1"/>
      <c r="X17" s="1"/>
      <c r="Y17" s="1"/>
      <c r="Z17" s="1"/>
      <c r="AA17" s="1"/>
      <c r="AB17" s="1">
        <v>3150</v>
      </c>
    </row>
    <row r="18" spans="22:32" x14ac:dyDescent="0.3">
      <c r="V18" s="1"/>
      <c r="W18" s="1"/>
      <c r="X18" s="1"/>
      <c r="Y18" s="1"/>
      <c r="Z18" s="1"/>
      <c r="AA18" s="1"/>
      <c r="AB18" s="1">
        <v>1253.72</v>
      </c>
    </row>
    <row r="19" spans="22:32" x14ac:dyDescent="0.3">
      <c r="V19" s="1"/>
      <c r="W19" s="1"/>
      <c r="X19" s="1"/>
      <c r="Y19" s="1"/>
      <c r="Z19" s="1"/>
      <c r="AA19" s="1"/>
      <c r="AB19" s="1">
        <v>700</v>
      </c>
    </row>
    <row r="20" spans="22:32" x14ac:dyDescent="0.3">
      <c r="V20" s="1"/>
      <c r="W20" s="1"/>
      <c r="X20" s="1"/>
      <c r="Y20" s="1"/>
      <c r="Z20" s="1"/>
      <c r="AA20" s="1"/>
      <c r="AB20" s="1"/>
    </row>
    <row r="21" spans="22:32" x14ac:dyDescent="0.3">
      <c r="V21" s="1">
        <f>SUM(V2:V20)</f>
        <v>4452.9799999999996</v>
      </c>
      <c r="W21" s="1">
        <f>SUM(W2:W20)</f>
        <v>4238.5</v>
      </c>
      <c r="X21" s="1">
        <f t="shared" ref="X21:AB21" si="0">SUM(X2:X20)</f>
        <v>4478.5</v>
      </c>
      <c r="Y21" s="1">
        <f t="shared" si="0"/>
        <v>2515</v>
      </c>
      <c r="Z21" s="1">
        <f t="shared" si="0"/>
        <v>1555</v>
      </c>
      <c r="AA21" s="1">
        <f t="shared" si="0"/>
        <v>4078.1899999999996</v>
      </c>
      <c r="AB21" s="1">
        <f t="shared" si="0"/>
        <v>24651.88</v>
      </c>
      <c r="AC21" s="2">
        <f>SUM(V21:AB21)</f>
        <v>45970.05</v>
      </c>
    </row>
    <row r="22" spans="22:32" x14ac:dyDescent="0.3">
      <c r="V22" s="7">
        <v>4452.9799999999996</v>
      </c>
      <c r="W22" s="6">
        <v>4238.5</v>
      </c>
      <c r="X22" s="6">
        <v>4478.5</v>
      </c>
      <c r="Y22" s="6">
        <v>2515</v>
      </c>
      <c r="Z22" s="6">
        <v>1555</v>
      </c>
      <c r="AA22" s="6">
        <v>4078.19</v>
      </c>
      <c r="AB22" s="6">
        <v>4242.9799999999996</v>
      </c>
      <c r="AC22" s="1">
        <v>45970.05</v>
      </c>
    </row>
    <row r="23" spans="22:32" x14ac:dyDescent="0.3">
      <c r="V23" s="1">
        <f>V21-V22</f>
        <v>0</v>
      </c>
      <c r="W23" s="1">
        <f>W21-W22</f>
        <v>0</v>
      </c>
      <c r="X23" s="1">
        <f t="shared" ref="X23:AB23" si="1">X21-X22</f>
        <v>0</v>
      </c>
      <c r="Y23" s="1">
        <f t="shared" si="1"/>
        <v>0</v>
      </c>
      <c r="Z23" s="1">
        <f t="shared" si="1"/>
        <v>0</v>
      </c>
      <c r="AA23" s="1">
        <f t="shared" si="1"/>
        <v>0</v>
      </c>
      <c r="AB23" s="1">
        <f t="shared" si="1"/>
        <v>20408.900000000001</v>
      </c>
      <c r="AC23" s="1"/>
    </row>
    <row r="24" spans="22:32" x14ac:dyDescent="0.3">
      <c r="AC24" s="1">
        <f>AC22-AC21</f>
        <v>0</v>
      </c>
    </row>
    <row r="26" spans="22:32" x14ac:dyDescent="0.3">
      <c r="V26" s="4">
        <v>44895</v>
      </c>
      <c r="W26" s="4">
        <v>44896</v>
      </c>
      <c r="X26" s="4">
        <v>44897</v>
      </c>
      <c r="Y26" s="4">
        <v>44898</v>
      </c>
      <c r="Z26" s="4">
        <v>44899</v>
      </c>
      <c r="AA26" s="4">
        <v>44900</v>
      </c>
      <c r="AB26" s="4">
        <v>44901</v>
      </c>
    </row>
    <row r="27" spans="22:32" x14ac:dyDescent="0.3">
      <c r="V27" s="8">
        <v>570</v>
      </c>
      <c r="W27" s="1">
        <v>515</v>
      </c>
      <c r="X27" s="1">
        <v>405</v>
      </c>
      <c r="Y27" s="1">
        <v>220</v>
      </c>
      <c r="Z27" s="1">
        <v>280</v>
      </c>
      <c r="AA27" s="1">
        <v>185</v>
      </c>
      <c r="AB27" s="1">
        <v>220</v>
      </c>
      <c r="AC27" s="1"/>
    </row>
    <row r="28" spans="22:32" x14ac:dyDescent="0.3">
      <c r="V28" s="1">
        <v>1116.9000000000001</v>
      </c>
      <c r="W28" s="1">
        <v>1080</v>
      </c>
      <c r="X28" s="1">
        <v>1005</v>
      </c>
      <c r="Y28" s="1">
        <v>1111.9000000000001</v>
      </c>
      <c r="Z28" s="10">
        <v>75</v>
      </c>
      <c r="AA28" s="1">
        <v>1016.9</v>
      </c>
      <c r="AB28" s="1">
        <v>110</v>
      </c>
      <c r="AC28" s="1"/>
    </row>
    <row r="29" spans="22:32" x14ac:dyDescent="0.3">
      <c r="V29" s="1">
        <v>1230.53</v>
      </c>
      <c r="W29" s="1">
        <v>1675.43</v>
      </c>
      <c r="X29" s="1">
        <v>1644.5</v>
      </c>
      <c r="Y29" s="9">
        <v>270</v>
      </c>
      <c r="Z29" s="1">
        <v>550</v>
      </c>
      <c r="AA29" s="1">
        <v>1485.74</v>
      </c>
      <c r="AB29" s="1">
        <v>1101.9000000000001</v>
      </c>
      <c r="AC29" s="1"/>
      <c r="AD29" s="1"/>
      <c r="AF29" s="1">
        <v>4990.8</v>
      </c>
    </row>
    <row r="30" spans="22:32" x14ac:dyDescent="0.3">
      <c r="V30" s="1">
        <v>75</v>
      </c>
      <c r="W30" s="1">
        <v>85</v>
      </c>
      <c r="X30" s="1">
        <v>110</v>
      </c>
      <c r="Y30" s="10">
        <v>75</v>
      </c>
      <c r="Z30" s="1">
        <v>75</v>
      </c>
      <c r="AA30" s="1">
        <v>110</v>
      </c>
      <c r="AB30" s="1">
        <v>1640.12</v>
      </c>
      <c r="AC30" s="1"/>
      <c r="AD30" s="1"/>
      <c r="AF30" s="1">
        <v>3690.2</v>
      </c>
    </row>
    <row r="31" spans="22:32" x14ac:dyDescent="0.3">
      <c r="V31" s="1">
        <v>110</v>
      </c>
      <c r="W31" s="1">
        <v>465</v>
      </c>
      <c r="X31" s="1">
        <v>85</v>
      </c>
      <c r="Y31" s="1">
        <v>305</v>
      </c>
      <c r="Z31" s="1">
        <v>75</v>
      </c>
      <c r="AA31" s="1">
        <v>180</v>
      </c>
      <c r="AB31" s="1"/>
      <c r="AC31" s="1"/>
      <c r="AD31" s="1"/>
    </row>
    <row r="32" spans="22:32" x14ac:dyDescent="0.3">
      <c r="V32" s="1">
        <v>147.44999999999999</v>
      </c>
      <c r="W32" s="1">
        <v>965</v>
      </c>
      <c r="X32" s="1">
        <v>232.45</v>
      </c>
      <c r="Y32" s="1">
        <v>1100.82</v>
      </c>
      <c r="Z32" s="1"/>
      <c r="AA32" s="1">
        <v>295</v>
      </c>
      <c r="AB32" s="1">
        <v>305</v>
      </c>
      <c r="AC32" s="1"/>
      <c r="AD32" s="1"/>
      <c r="AF32" s="1">
        <v>3500</v>
      </c>
    </row>
    <row r="33" spans="22:32" x14ac:dyDescent="0.3">
      <c r="V33" s="1">
        <v>145</v>
      </c>
      <c r="W33" s="1">
        <v>222.45</v>
      </c>
      <c r="X33" s="1">
        <v>210</v>
      </c>
      <c r="Y33" s="1">
        <v>225</v>
      </c>
      <c r="Z33" s="1"/>
      <c r="AA33" s="1">
        <v>110</v>
      </c>
      <c r="AB33" s="1">
        <v>110</v>
      </c>
      <c r="AC33" s="1"/>
      <c r="AD33" s="1"/>
      <c r="AF33" s="1">
        <v>1253.72</v>
      </c>
    </row>
    <row r="34" spans="22:32" x14ac:dyDescent="0.3">
      <c r="V34" s="1">
        <v>533.1</v>
      </c>
      <c r="W34" s="1">
        <v>130</v>
      </c>
      <c r="X34" s="1">
        <v>110</v>
      </c>
      <c r="Y34" s="1">
        <v>403.1</v>
      </c>
      <c r="Z34" s="1"/>
      <c r="AA34" s="1">
        <v>147.44999999999999</v>
      </c>
      <c r="AB34" s="1">
        <v>222.45</v>
      </c>
      <c r="AC34" s="1"/>
      <c r="AD34" s="1"/>
      <c r="AF34" s="1">
        <v>5535.3</v>
      </c>
    </row>
    <row r="35" spans="22:32" x14ac:dyDescent="0.3">
      <c r="V35" s="1">
        <v>150</v>
      </c>
      <c r="W35" s="1">
        <v>350</v>
      </c>
      <c r="X35" s="1">
        <v>90</v>
      </c>
      <c r="Y35" s="1"/>
      <c r="Z35" s="1"/>
      <c r="AA35" s="1">
        <v>195</v>
      </c>
      <c r="AB35" s="1">
        <v>145</v>
      </c>
      <c r="AC35" s="1"/>
      <c r="AD35" s="1"/>
      <c r="AF35" s="1">
        <v>215.52</v>
      </c>
    </row>
    <row r="36" spans="22:32" x14ac:dyDescent="0.3">
      <c r="V36" s="1"/>
      <c r="W36" s="1">
        <v>130</v>
      </c>
      <c r="X36" s="1">
        <v>300</v>
      </c>
      <c r="Y36" s="1"/>
      <c r="Z36" s="1"/>
      <c r="AA36" s="1">
        <v>403.1</v>
      </c>
      <c r="AB36" s="1">
        <v>73.099999999999994</v>
      </c>
      <c r="AC36" s="1"/>
      <c r="AD36" s="1"/>
      <c r="AF36" s="1">
        <v>0</v>
      </c>
    </row>
    <row r="37" spans="22:32" x14ac:dyDescent="0.3">
      <c r="V37" s="1"/>
      <c r="W37" s="1"/>
      <c r="X37" s="1"/>
      <c r="Y37" s="1"/>
      <c r="Z37" s="1"/>
      <c r="AA37" s="1">
        <v>180</v>
      </c>
      <c r="AB37" s="1">
        <v>165</v>
      </c>
      <c r="AC37" s="1"/>
      <c r="AD37" s="1"/>
      <c r="AF37" s="1">
        <f>SUM(AF29:AF36)</f>
        <v>19185.54</v>
      </c>
    </row>
    <row r="38" spans="22:32" x14ac:dyDescent="0.3">
      <c r="V38" s="1"/>
      <c r="W38" s="1"/>
      <c r="X38" s="1"/>
      <c r="Y38" s="1"/>
      <c r="Z38" s="1"/>
      <c r="AA38" s="1">
        <v>150</v>
      </c>
      <c r="AB38" s="1">
        <f>AF37</f>
        <v>19185.54</v>
      </c>
      <c r="AC38" s="1"/>
      <c r="AD38" s="1"/>
    </row>
    <row r="39" spans="22:32" x14ac:dyDescent="0.3">
      <c r="V39" s="1"/>
      <c r="W39" s="1"/>
      <c r="X39" s="1"/>
      <c r="Y39" s="1"/>
      <c r="Z39" s="1"/>
      <c r="AA39" s="1">
        <v>110</v>
      </c>
      <c r="AB39" s="1"/>
      <c r="AC39" s="1"/>
    </row>
    <row r="40" spans="22:32" x14ac:dyDescent="0.3">
      <c r="V40" s="1"/>
      <c r="W40" s="1"/>
      <c r="X40" s="1"/>
      <c r="Y40" s="1"/>
      <c r="Z40" s="1"/>
      <c r="AA40" s="1"/>
      <c r="AB40" s="1"/>
    </row>
    <row r="41" spans="22:32" x14ac:dyDescent="0.3">
      <c r="V41" s="1">
        <f t="shared" ref="V41:AB41" si="2">SUM(V27:V40)</f>
        <v>4077.98</v>
      </c>
      <c r="W41" s="1">
        <f t="shared" si="2"/>
        <v>5617.88</v>
      </c>
      <c r="X41" s="1">
        <f t="shared" si="2"/>
        <v>4191.95</v>
      </c>
      <c r="Y41" s="1">
        <f t="shared" si="2"/>
        <v>3710.82</v>
      </c>
      <c r="Z41" s="1">
        <f t="shared" si="2"/>
        <v>1055</v>
      </c>
      <c r="AA41" s="1">
        <f t="shared" si="2"/>
        <v>4568.1900000000005</v>
      </c>
      <c r="AB41" s="1">
        <f t="shared" si="2"/>
        <v>23278.11</v>
      </c>
      <c r="AC41" s="2">
        <f>SUM(V41:AB41)</f>
        <v>46499.93</v>
      </c>
    </row>
    <row r="42" spans="22:32" x14ac:dyDescent="0.3">
      <c r="V42" s="7">
        <v>4077.98</v>
      </c>
      <c r="W42" s="6">
        <v>5617.88</v>
      </c>
      <c r="X42" s="6">
        <v>4191.95</v>
      </c>
      <c r="Y42" s="6">
        <v>3710.82</v>
      </c>
      <c r="Z42" s="6">
        <v>1055</v>
      </c>
      <c r="AA42" s="6">
        <v>4568.1899999999996</v>
      </c>
      <c r="AB42" s="6">
        <v>23278.11</v>
      </c>
      <c r="AC42" s="1">
        <v>46499.93</v>
      </c>
    </row>
    <row r="43" spans="22:32" x14ac:dyDescent="0.3">
      <c r="V43" s="1">
        <f>V41-V42</f>
        <v>0</v>
      </c>
      <c r="W43" s="1">
        <f>W41-W42</f>
        <v>0</v>
      </c>
      <c r="X43" s="1">
        <f t="shared" ref="X43:AB43" si="3">X41-X42</f>
        <v>0</v>
      </c>
      <c r="Y43" s="1">
        <f t="shared" si="3"/>
        <v>0</v>
      </c>
      <c r="Z43" s="1">
        <f t="shared" si="3"/>
        <v>0</v>
      </c>
      <c r="AA43" s="1">
        <f t="shared" si="3"/>
        <v>0</v>
      </c>
      <c r="AB43" s="1">
        <f t="shared" si="3"/>
        <v>0</v>
      </c>
      <c r="AC43" s="1"/>
    </row>
    <row r="44" spans="22:32" x14ac:dyDescent="0.3">
      <c r="AC44" s="1">
        <f>AC42-AC41</f>
        <v>0</v>
      </c>
    </row>
    <row r="47" spans="22:32" x14ac:dyDescent="0.3">
      <c r="V47" s="4">
        <v>44902</v>
      </c>
      <c r="W47" s="4">
        <v>44903</v>
      </c>
      <c r="X47" s="4">
        <v>44904</v>
      </c>
      <c r="Y47" s="4">
        <v>44905</v>
      </c>
      <c r="Z47" s="4">
        <v>44906</v>
      </c>
      <c r="AA47" s="4">
        <v>44907</v>
      </c>
      <c r="AB47" s="4">
        <v>44908</v>
      </c>
    </row>
    <row r="48" spans="22:32" x14ac:dyDescent="0.3">
      <c r="V48" s="8">
        <v>110</v>
      </c>
      <c r="W48" s="1">
        <v>440</v>
      </c>
      <c r="X48" s="1">
        <v>515</v>
      </c>
      <c r="Y48" s="1">
        <v>110</v>
      </c>
      <c r="Z48" s="1">
        <v>110</v>
      </c>
      <c r="AA48" s="1">
        <v>405</v>
      </c>
      <c r="AB48" s="1">
        <v>110</v>
      </c>
      <c r="AC48" s="1"/>
    </row>
    <row r="49" spans="22:30" x14ac:dyDescent="0.3">
      <c r="V49" s="1">
        <v>1201.9000000000001</v>
      </c>
      <c r="W49" s="1">
        <v>941.9</v>
      </c>
      <c r="X49" s="1">
        <v>1016.9</v>
      </c>
      <c r="Y49" s="1">
        <v>1136.9000000000001</v>
      </c>
      <c r="Z49" s="10">
        <v>110</v>
      </c>
      <c r="AA49" s="1">
        <v>185</v>
      </c>
      <c r="AB49" s="1">
        <v>330</v>
      </c>
      <c r="AC49" s="1"/>
    </row>
    <row r="50" spans="22:30" x14ac:dyDescent="0.3">
      <c r="V50" s="1">
        <v>1485.74</v>
      </c>
      <c r="W50" s="1">
        <v>1565.12</v>
      </c>
      <c r="X50" s="1">
        <v>1754.81</v>
      </c>
      <c r="Y50" s="9">
        <v>270</v>
      </c>
      <c r="Z50" s="1">
        <v>110</v>
      </c>
      <c r="AA50" s="1">
        <v>1616.9</v>
      </c>
      <c r="AB50" s="1">
        <v>1781.9</v>
      </c>
      <c r="AC50" s="1"/>
      <c r="AD50" s="1">
        <v>9883.92</v>
      </c>
    </row>
    <row r="51" spans="22:30" x14ac:dyDescent="0.3">
      <c r="V51" s="1">
        <v>90</v>
      </c>
      <c r="W51" s="1">
        <v>85</v>
      </c>
      <c r="X51" s="1">
        <v>70</v>
      </c>
      <c r="Y51" s="10">
        <v>390</v>
      </c>
      <c r="Z51" s="1">
        <v>110</v>
      </c>
      <c r="AA51" s="1">
        <v>1309.9100000000001</v>
      </c>
      <c r="AB51" s="1">
        <v>1752.26</v>
      </c>
      <c r="AC51" s="1"/>
      <c r="AD51" s="1">
        <v>4990.8</v>
      </c>
    </row>
    <row r="52" spans="22:30" x14ac:dyDescent="0.3">
      <c r="V52" s="1">
        <v>110</v>
      </c>
      <c r="W52" s="1">
        <v>110</v>
      </c>
      <c r="X52" s="1">
        <v>185</v>
      </c>
      <c r="Y52" s="1">
        <v>110</v>
      </c>
      <c r="Z52" s="1"/>
      <c r="AA52" s="1">
        <v>90</v>
      </c>
      <c r="AB52" s="1">
        <v>110</v>
      </c>
      <c r="AC52" s="1"/>
      <c r="AD52" s="1">
        <v>3690.2</v>
      </c>
    </row>
    <row r="53" spans="22:30" x14ac:dyDescent="0.3">
      <c r="V53" s="1">
        <v>147.44999999999999</v>
      </c>
      <c r="W53" s="1">
        <v>270</v>
      </c>
      <c r="X53" s="1">
        <v>75</v>
      </c>
      <c r="Y53" s="1">
        <v>160</v>
      </c>
      <c r="Z53" s="1"/>
      <c r="AA53" s="1">
        <v>222.45</v>
      </c>
      <c r="AB53" s="1">
        <v>270</v>
      </c>
      <c r="AC53" s="1"/>
      <c r="AD53" s="1"/>
    </row>
    <row r="54" spans="22:30" x14ac:dyDescent="0.3">
      <c r="V54" s="1">
        <v>260</v>
      </c>
      <c r="W54" s="1">
        <v>222.45</v>
      </c>
      <c r="X54" s="1">
        <v>307.45</v>
      </c>
      <c r="Y54" s="1">
        <v>721.04</v>
      </c>
      <c r="Z54" s="1"/>
      <c r="AA54" s="1">
        <v>255</v>
      </c>
      <c r="AB54" s="1">
        <v>295</v>
      </c>
      <c r="AC54" s="1"/>
      <c r="AD54" s="1">
        <f>SUM(AD48:AD53)</f>
        <v>18564.920000000002</v>
      </c>
    </row>
    <row r="55" spans="22:30" x14ac:dyDescent="0.3">
      <c r="V55" s="1">
        <v>403.1</v>
      </c>
      <c r="W55" s="1">
        <v>285</v>
      </c>
      <c r="X55" s="1">
        <v>220</v>
      </c>
      <c r="Y55" s="1">
        <v>293.10000000000002</v>
      </c>
      <c r="Z55" s="1"/>
      <c r="AA55" s="1">
        <v>533.1</v>
      </c>
      <c r="AB55" s="1">
        <v>293.10000000000002</v>
      </c>
      <c r="AC55" s="1"/>
    </row>
    <row r="56" spans="22:30" x14ac:dyDescent="0.3">
      <c r="V56" s="1">
        <v>165</v>
      </c>
      <c r="W56" s="1">
        <v>423.1</v>
      </c>
      <c r="X56" s="1">
        <v>183.1</v>
      </c>
      <c r="Y56" s="1"/>
      <c r="Z56" s="1"/>
      <c r="AA56" s="1">
        <v>165</v>
      </c>
      <c r="AB56" s="1">
        <v>165</v>
      </c>
      <c r="AC56" s="1"/>
    </row>
    <row r="57" spans="22:30" x14ac:dyDescent="0.3">
      <c r="V57" s="1">
        <v>320</v>
      </c>
      <c r="W57" s="1">
        <v>180</v>
      </c>
      <c r="X57" s="1">
        <v>165</v>
      </c>
      <c r="Y57" s="1"/>
      <c r="Z57" s="1"/>
      <c r="AA57" s="1">
        <v>170</v>
      </c>
      <c r="AB57" s="1">
        <v>300</v>
      </c>
      <c r="AC57" s="1"/>
    </row>
    <row r="58" spans="22:30" x14ac:dyDescent="0.3">
      <c r="V58" s="1"/>
      <c r="W58" s="1">
        <v>490</v>
      </c>
      <c r="X58" s="1">
        <v>390</v>
      </c>
      <c r="Y58" s="1"/>
      <c r="Z58" s="1"/>
      <c r="AB58" s="1"/>
      <c r="AC58" s="1"/>
    </row>
    <row r="59" spans="22:30" x14ac:dyDescent="0.3">
      <c r="V59" s="1">
        <f t="shared" ref="V59:AB59" si="4">SUM(V48:V58)</f>
        <v>4293.1900000000005</v>
      </c>
      <c r="W59" s="1">
        <f t="shared" si="4"/>
        <v>5012.57</v>
      </c>
      <c r="X59" s="1">
        <f t="shared" si="4"/>
        <v>4882.26</v>
      </c>
      <c r="Y59" s="1">
        <f t="shared" si="4"/>
        <v>3191.04</v>
      </c>
      <c r="Z59" s="1">
        <f t="shared" si="4"/>
        <v>440</v>
      </c>
      <c r="AA59" s="1">
        <f t="shared" si="4"/>
        <v>4952.3600000000006</v>
      </c>
      <c r="AB59" s="1">
        <f t="shared" si="4"/>
        <v>5407.26</v>
      </c>
      <c r="AC59" s="2">
        <f>SUM(V59:AB59)+AD54</f>
        <v>46743.600000000006</v>
      </c>
      <c r="AD59" s="12" t="s">
        <v>7</v>
      </c>
    </row>
    <row r="60" spans="22:30" x14ac:dyDescent="0.3">
      <c r="V60" s="7">
        <v>4293.1899999999996</v>
      </c>
      <c r="W60" s="6">
        <v>5012.57</v>
      </c>
      <c r="X60" s="6">
        <v>4882.26</v>
      </c>
      <c r="Y60" s="6">
        <v>3191.04</v>
      </c>
      <c r="Z60" s="6">
        <v>440</v>
      </c>
      <c r="AA60" s="6">
        <v>4952.3599999999997</v>
      </c>
      <c r="AB60" s="6">
        <v>5407.26</v>
      </c>
      <c r="AC60" s="1">
        <v>46743.6</v>
      </c>
      <c r="AD60" s="11" t="s">
        <v>1</v>
      </c>
    </row>
    <row r="61" spans="22:30" x14ac:dyDescent="0.3">
      <c r="V61" s="1">
        <f>V59-V60</f>
        <v>0</v>
      </c>
      <c r="W61" s="1">
        <f>W59-W60</f>
        <v>0</v>
      </c>
      <c r="X61" s="1">
        <f t="shared" ref="X61:AA61" si="5">X59-X60</f>
        <v>0</v>
      </c>
      <c r="Y61" s="1">
        <f t="shared" si="5"/>
        <v>0</v>
      </c>
      <c r="Z61" s="1">
        <f t="shared" si="5"/>
        <v>0</v>
      </c>
      <c r="AA61" s="1">
        <f t="shared" si="5"/>
        <v>0</v>
      </c>
      <c r="AB61" s="1">
        <f>AB59-AB60</f>
        <v>0</v>
      </c>
      <c r="AC61" s="1"/>
    </row>
    <row r="62" spans="22:30" x14ac:dyDescent="0.3">
      <c r="AB62" s="1">
        <f>SUM(AB48:AB59)</f>
        <v>10814.52</v>
      </c>
      <c r="AC62" s="1">
        <f>AC60-AC59</f>
        <v>0</v>
      </c>
    </row>
    <row r="64" spans="22:30" x14ac:dyDescent="0.3">
      <c r="V64" s="4">
        <v>44909</v>
      </c>
      <c r="W64" s="4">
        <v>44910</v>
      </c>
      <c r="X64" s="4">
        <v>44911</v>
      </c>
      <c r="Y64" s="4">
        <v>44912</v>
      </c>
      <c r="Z64" s="4">
        <v>44913</v>
      </c>
      <c r="AA64" s="4">
        <v>44914</v>
      </c>
      <c r="AB64" s="4">
        <v>44915</v>
      </c>
    </row>
    <row r="65" spans="1:41" x14ac:dyDescent="0.3">
      <c r="V65" s="8">
        <v>555</v>
      </c>
      <c r="W65" s="1">
        <v>220</v>
      </c>
      <c r="X65" s="1">
        <v>330</v>
      </c>
      <c r="Y65" s="1">
        <v>185</v>
      </c>
      <c r="Z65" s="1">
        <v>280</v>
      </c>
      <c r="AA65" s="1">
        <v>660</v>
      </c>
      <c r="AB65" s="1">
        <v>550</v>
      </c>
      <c r="AC65" s="1"/>
    </row>
    <row r="66" spans="1:41" x14ac:dyDescent="0.3">
      <c r="V66" s="1">
        <v>110</v>
      </c>
      <c r="W66" s="1">
        <v>405</v>
      </c>
      <c r="X66" s="1">
        <v>295</v>
      </c>
      <c r="Y66" s="1">
        <v>110</v>
      </c>
      <c r="Z66" s="10">
        <v>280</v>
      </c>
      <c r="AA66" s="1">
        <v>335</v>
      </c>
      <c r="AB66" s="1">
        <v>535</v>
      </c>
      <c r="AC66" s="1"/>
    </row>
    <row r="67" spans="1:41" x14ac:dyDescent="0.3">
      <c r="V67" s="1">
        <v>1081.9000000000001</v>
      </c>
      <c r="W67" s="1">
        <v>1031.9000000000001</v>
      </c>
      <c r="X67" s="1">
        <v>1723.45</v>
      </c>
      <c r="Y67" s="9">
        <v>945</v>
      </c>
      <c r="Z67" s="1">
        <v>110</v>
      </c>
      <c r="AA67" s="1">
        <v>1456.9</v>
      </c>
      <c r="AB67" s="1">
        <v>918.45</v>
      </c>
      <c r="AC67" s="1"/>
      <c r="AD67" s="1"/>
    </row>
    <row r="68" spans="1:41" x14ac:dyDescent="0.3">
      <c r="V68" s="1">
        <v>1270.22</v>
      </c>
      <c r="W68" s="1">
        <v>1480.12</v>
      </c>
      <c r="X68" s="1">
        <v>165</v>
      </c>
      <c r="Y68" s="10">
        <v>765.63</v>
      </c>
      <c r="Z68" s="1">
        <v>603</v>
      </c>
      <c r="AA68" s="1">
        <v>1446.05</v>
      </c>
      <c r="AB68" s="1">
        <v>4990.8</v>
      </c>
      <c r="AC68" s="1"/>
      <c r="AD68" s="1"/>
    </row>
    <row r="69" spans="1:41" x14ac:dyDescent="0.3">
      <c r="V69" s="1">
        <v>230</v>
      </c>
      <c r="W69" s="1">
        <v>110</v>
      </c>
      <c r="X69" s="1">
        <v>110</v>
      </c>
      <c r="Y69" s="1">
        <v>195</v>
      </c>
      <c r="Z69" s="1">
        <v>110</v>
      </c>
      <c r="AA69" s="1">
        <v>110</v>
      </c>
      <c r="AB69" s="1">
        <v>3690.2</v>
      </c>
      <c r="AC69" s="1"/>
      <c r="AD69" s="1"/>
    </row>
    <row r="70" spans="1:41" x14ac:dyDescent="0.3">
      <c r="V70" s="1">
        <v>110</v>
      </c>
      <c r="W70" s="1">
        <v>280</v>
      </c>
      <c r="X70" s="1">
        <v>300</v>
      </c>
      <c r="Y70" s="1">
        <v>380</v>
      </c>
      <c r="Z70" s="1">
        <v>110</v>
      </c>
      <c r="AA70" s="1">
        <v>110</v>
      </c>
      <c r="AB70" s="1">
        <v>2775.65</v>
      </c>
      <c r="AC70" s="1"/>
      <c r="AD70" s="1"/>
    </row>
    <row r="71" spans="1:41" x14ac:dyDescent="0.3">
      <c r="V71" s="1">
        <v>222.45</v>
      </c>
      <c r="W71" s="1">
        <v>110</v>
      </c>
      <c r="X71" s="1">
        <v>276.55</v>
      </c>
      <c r="Y71" s="1">
        <v>940.5</v>
      </c>
      <c r="Z71" s="1"/>
      <c r="AA71" s="1">
        <v>270</v>
      </c>
      <c r="AB71" s="1">
        <v>195</v>
      </c>
      <c r="AC71" s="1"/>
      <c r="AD71" s="1"/>
    </row>
    <row r="72" spans="1:41" x14ac:dyDescent="0.3">
      <c r="V72" s="1">
        <v>250</v>
      </c>
      <c r="W72" s="1">
        <v>232.45</v>
      </c>
      <c r="X72" s="1">
        <v>155</v>
      </c>
      <c r="Y72" s="1">
        <v>110</v>
      </c>
      <c r="Z72" s="1"/>
      <c r="AA72" s="1">
        <v>222.45</v>
      </c>
      <c r="AB72" s="1">
        <v>465</v>
      </c>
      <c r="AC72" s="1"/>
    </row>
    <row r="73" spans="1:41" x14ac:dyDescent="0.3">
      <c r="A73" s="4">
        <v>44869</v>
      </c>
      <c r="B73" s="4">
        <v>44870</v>
      </c>
      <c r="C73" s="4">
        <v>44871</v>
      </c>
      <c r="D73" s="4">
        <v>44872</v>
      </c>
      <c r="E73" s="4">
        <v>44873</v>
      </c>
      <c r="F73" s="3"/>
      <c r="I73">
        <v>26</v>
      </c>
      <c r="J73">
        <v>27</v>
      </c>
      <c r="K73">
        <v>28</v>
      </c>
      <c r="L73">
        <v>29</v>
      </c>
      <c r="M73">
        <v>30</v>
      </c>
      <c r="N73">
        <v>31</v>
      </c>
      <c r="V73" s="1">
        <v>183.1</v>
      </c>
      <c r="W73" s="1">
        <v>245</v>
      </c>
      <c r="X73" s="1">
        <v>110</v>
      </c>
      <c r="Y73" s="1">
        <v>760.4</v>
      </c>
      <c r="Z73" s="1"/>
      <c r="AA73" s="1">
        <v>320</v>
      </c>
      <c r="AB73" s="1">
        <v>147.44999999999999</v>
      </c>
      <c r="AC73" s="1"/>
    </row>
    <row r="74" spans="1:41" x14ac:dyDescent="0.3">
      <c r="A74" s="1">
        <v>330</v>
      </c>
      <c r="B74" s="1">
        <v>220</v>
      </c>
      <c r="C74" s="1">
        <v>195</v>
      </c>
      <c r="D74" s="1">
        <v>330</v>
      </c>
      <c r="E74" s="1">
        <v>260</v>
      </c>
      <c r="I74" s="1">
        <v>370</v>
      </c>
      <c r="J74" s="1">
        <v>110</v>
      </c>
      <c r="K74" s="1">
        <v>2174.44</v>
      </c>
      <c r="L74" s="1">
        <v>330</v>
      </c>
      <c r="M74" s="1">
        <v>280</v>
      </c>
      <c r="N74" s="1">
        <v>220</v>
      </c>
      <c r="V74" s="1">
        <v>90</v>
      </c>
      <c r="W74" s="1">
        <v>553.1</v>
      </c>
      <c r="X74" s="1"/>
      <c r="Y74" s="1">
        <v>147.44999999999999</v>
      </c>
      <c r="Z74" s="1"/>
      <c r="AA74" s="1">
        <v>533.1</v>
      </c>
      <c r="AB74" s="1">
        <v>335</v>
      </c>
      <c r="AC74" s="1"/>
    </row>
    <row r="75" spans="1:41" x14ac:dyDescent="0.3">
      <c r="A75" s="1">
        <v>1406.9</v>
      </c>
      <c r="B75" s="1">
        <v>860</v>
      </c>
      <c r="C75" s="1">
        <v>220</v>
      </c>
      <c r="D75" s="1">
        <v>968.45</v>
      </c>
      <c r="E75" s="1">
        <v>1116.9000000000001</v>
      </c>
      <c r="I75" s="1">
        <v>1196.9000000000001</v>
      </c>
      <c r="J75" s="1">
        <v>1236.9000000000001</v>
      </c>
      <c r="K75" s="1">
        <v>150</v>
      </c>
      <c r="L75" s="1">
        <v>1196.9000000000001</v>
      </c>
      <c r="M75" s="1">
        <v>220</v>
      </c>
      <c r="N75" s="1">
        <v>1136.9000000000001</v>
      </c>
      <c r="V75" s="1">
        <v>150</v>
      </c>
      <c r="W75" s="1">
        <v>180</v>
      </c>
      <c r="X75" s="1"/>
      <c r="Y75" s="1">
        <v>115</v>
      </c>
      <c r="Z75" s="1"/>
      <c r="AA75" s="1">
        <v>165</v>
      </c>
      <c r="AB75" s="1">
        <v>10970.47</v>
      </c>
      <c r="AC75" s="1"/>
    </row>
    <row r="76" spans="1:41" x14ac:dyDescent="0.3">
      <c r="A76" s="1">
        <v>75</v>
      </c>
      <c r="B76" s="1">
        <v>510.42</v>
      </c>
      <c r="C76" s="1">
        <v>185</v>
      </c>
      <c r="D76" s="1">
        <v>1276.05</v>
      </c>
      <c r="E76" s="1"/>
      <c r="F76" s="1">
        <v>5489.88</v>
      </c>
      <c r="I76" s="1">
        <v>1423.5</v>
      </c>
      <c r="J76" s="1">
        <v>1373.6</v>
      </c>
      <c r="K76" s="1">
        <v>260</v>
      </c>
      <c r="L76" s="1">
        <v>510.42</v>
      </c>
      <c r="M76" s="1">
        <v>185</v>
      </c>
      <c r="N76" s="1">
        <v>1593.5</v>
      </c>
      <c r="V76" s="1">
        <v>110</v>
      </c>
      <c r="W76" s="1">
        <v>105</v>
      </c>
      <c r="X76" s="1"/>
      <c r="Y76" s="1">
        <v>480</v>
      </c>
      <c r="Z76" s="1"/>
      <c r="AA76" s="1"/>
      <c r="AB76" s="1">
        <v>165</v>
      </c>
      <c r="AC76" s="1"/>
    </row>
    <row r="77" spans="1:41" x14ac:dyDescent="0.3">
      <c r="A77" s="1">
        <v>110</v>
      </c>
      <c r="B77" s="1">
        <v>110</v>
      </c>
      <c r="C77" s="1"/>
      <c r="D77" s="1">
        <v>75</v>
      </c>
      <c r="E77" s="1"/>
      <c r="F77" s="1">
        <v>3690.2</v>
      </c>
      <c r="I77" s="1">
        <v>115</v>
      </c>
      <c r="J77" s="1">
        <v>85</v>
      </c>
      <c r="K77" s="1">
        <v>183.1</v>
      </c>
      <c r="L77" s="1">
        <v>165</v>
      </c>
      <c r="M77" s="1"/>
      <c r="N77" s="1">
        <v>75</v>
      </c>
      <c r="V77" s="1"/>
      <c r="W77" s="1">
        <v>370</v>
      </c>
      <c r="X77" s="1"/>
      <c r="Y77" s="1"/>
      <c r="Z77" s="1"/>
      <c r="AA77" s="1"/>
      <c r="AB77" s="1"/>
      <c r="AC77" s="1"/>
    </row>
    <row r="78" spans="1:41" x14ac:dyDescent="0.3">
      <c r="A78" s="1">
        <v>180</v>
      </c>
      <c r="B78" s="1">
        <v>270</v>
      </c>
      <c r="C78" s="1"/>
      <c r="D78" s="1">
        <v>235</v>
      </c>
      <c r="E78" s="1">
        <v>1355.43</v>
      </c>
      <c r="I78" s="1">
        <v>110</v>
      </c>
      <c r="J78" s="1">
        <v>220</v>
      </c>
      <c r="K78" s="1">
        <v>270</v>
      </c>
      <c r="L78" s="1">
        <v>380</v>
      </c>
      <c r="M78" s="1"/>
      <c r="N78" s="1">
        <v>135</v>
      </c>
      <c r="V78" s="1"/>
      <c r="W78" s="1">
        <v>110</v>
      </c>
      <c r="X78" s="1"/>
      <c r="Y78" s="1"/>
      <c r="Z78" s="1"/>
      <c r="AA78" s="1"/>
      <c r="AB78" s="1"/>
      <c r="AC78" s="1"/>
      <c r="AO78">
        <v>4990.8</v>
      </c>
    </row>
    <row r="79" spans="1:41" x14ac:dyDescent="0.3">
      <c r="A79" s="1">
        <v>147.44999999999999</v>
      </c>
      <c r="B79" s="1">
        <v>1055.3</v>
      </c>
      <c r="C79" s="1"/>
      <c r="D79" s="1">
        <v>500</v>
      </c>
      <c r="E79" s="1">
        <v>380</v>
      </c>
      <c r="I79" s="1">
        <v>270</v>
      </c>
      <c r="J79" s="1">
        <v>110</v>
      </c>
      <c r="K79" s="1">
        <v>110</v>
      </c>
      <c r="L79" s="1">
        <v>230</v>
      </c>
      <c r="M79" s="1"/>
      <c r="N79" s="1">
        <v>380</v>
      </c>
      <c r="V79" s="1"/>
      <c r="W79" s="1"/>
      <c r="X79" s="1"/>
      <c r="Y79" s="1"/>
      <c r="Z79" s="1"/>
      <c r="AA79" s="1"/>
      <c r="AB79" s="1"/>
      <c r="AO79">
        <v>3690.2</v>
      </c>
    </row>
    <row r="80" spans="1:41" x14ac:dyDescent="0.3">
      <c r="A80" s="1">
        <v>255</v>
      </c>
      <c r="B80" s="1">
        <v>265</v>
      </c>
      <c r="C80" s="1"/>
      <c r="D80" s="1">
        <v>110</v>
      </c>
      <c r="E80" s="1">
        <v>232.45</v>
      </c>
      <c r="I80" s="1">
        <v>623.1</v>
      </c>
      <c r="J80" s="1">
        <v>294.89999999999998</v>
      </c>
      <c r="K80" s="1">
        <v>235</v>
      </c>
      <c r="L80" s="1">
        <v>293.10000000000002</v>
      </c>
      <c r="M80" s="1"/>
      <c r="N80" s="1">
        <v>110</v>
      </c>
      <c r="V80" s="1">
        <f t="shared" ref="V80:AB80" si="6">SUM(V65:V79)</f>
        <v>4362.67</v>
      </c>
      <c r="W80" s="1">
        <f t="shared" si="6"/>
        <v>5432.57</v>
      </c>
      <c r="X80" s="1">
        <f t="shared" si="6"/>
        <v>3465</v>
      </c>
      <c r="Y80" s="1">
        <f t="shared" si="6"/>
        <v>5133.9799999999996</v>
      </c>
      <c r="Z80" s="1">
        <f t="shared" si="6"/>
        <v>1493</v>
      </c>
      <c r="AA80" s="1">
        <f t="shared" si="6"/>
        <v>5628.5</v>
      </c>
      <c r="AB80" s="1">
        <f t="shared" si="6"/>
        <v>25738.02</v>
      </c>
      <c r="AC80" s="2">
        <f>SUM(V80:AB80)+AD71</f>
        <v>51253.740000000005</v>
      </c>
      <c r="AD80" s="12" t="s">
        <v>7</v>
      </c>
      <c r="AO80">
        <v>1905.54</v>
      </c>
    </row>
    <row r="81" spans="1:35" x14ac:dyDescent="0.3">
      <c r="A81" s="1">
        <v>533.1</v>
      </c>
      <c r="B81" s="1">
        <v>1826.08</v>
      </c>
      <c r="C81" s="1"/>
      <c r="D81" s="1">
        <v>317.45</v>
      </c>
      <c r="E81" s="1">
        <v>270</v>
      </c>
      <c r="I81" s="1">
        <v>150</v>
      </c>
      <c r="J81" s="1">
        <v>255</v>
      </c>
      <c r="K81" s="1">
        <v>170</v>
      </c>
      <c r="L81" s="1"/>
      <c r="M81" s="1"/>
      <c r="N81" s="1">
        <v>140</v>
      </c>
      <c r="V81" s="7">
        <v>4362.67</v>
      </c>
      <c r="W81" s="6">
        <v>5432.57</v>
      </c>
      <c r="X81" s="6">
        <v>3465</v>
      </c>
      <c r="Y81" s="6">
        <v>5133.9799999999996</v>
      </c>
      <c r="Z81" s="6">
        <v>1493</v>
      </c>
      <c r="AA81" s="6">
        <v>5628.5</v>
      </c>
      <c r="AB81" s="6">
        <v>25738.02</v>
      </c>
      <c r="AC81" s="11" t="s">
        <v>1</v>
      </c>
    </row>
    <row r="82" spans="1:35" x14ac:dyDescent="0.3">
      <c r="A82" s="1">
        <v>165</v>
      </c>
      <c r="B82" s="1"/>
      <c r="C82" s="1"/>
      <c r="D82" s="1">
        <v>220</v>
      </c>
      <c r="E82" s="1"/>
      <c r="F82" s="1">
        <v>10012.120000000001</v>
      </c>
      <c r="I82" s="1">
        <v>320</v>
      </c>
      <c r="J82" s="1">
        <v>643.1</v>
      </c>
      <c r="K82" s="1">
        <v>1026.9000000000001</v>
      </c>
      <c r="L82" s="1"/>
      <c r="M82" s="1"/>
      <c r="N82" s="1">
        <v>468.1</v>
      </c>
      <c r="V82" s="1">
        <f>V80-V81</f>
        <v>0</v>
      </c>
      <c r="W82" s="1">
        <f>W80-W81</f>
        <v>0</v>
      </c>
      <c r="X82" s="1">
        <f t="shared" ref="X82:AA82" si="7">X80-X81</f>
        <v>0</v>
      </c>
      <c r="Y82" s="1">
        <f t="shared" si="7"/>
        <v>0</v>
      </c>
      <c r="Z82" s="1">
        <f t="shared" si="7"/>
        <v>0</v>
      </c>
      <c r="AA82" s="1">
        <f t="shared" si="7"/>
        <v>0</v>
      </c>
      <c r="AB82" s="1">
        <f>AB80-AB81</f>
        <v>0</v>
      </c>
      <c r="AC82" s="1"/>
    </row>
    <row r="83" spans="1:35" x14ac:dyDescent="0.3">
      <c r="A83" s="1">
        <v>110</v>
      </c>
      <c r="B83" s="1"/>
      <c r="C83" s="1"/>
      <c r="D83" s="1">
        <v>366.55</v>
      </c>
      <c r="E83" s="1">
        <v>150</v>
      </c>
      <c r="I83" s="1">
        <v>1044.55</v>
      </c>
      <c r="J83" s="1">
        <v>165</v>
      </c>
      <c r="K83" s="1">
        <v>1423.5</v>
      </c>
      <c r="L83" s="1"/>
      <c r="M83" s="1"/>
      <c r="N83" s="1">
        <v>165</v>
      </c>
    </row>
    <row r="84" spans="1:35" x14ac:dyDescent="0.3">
      <c r="A84" s="1">
        <v>1446.05</v>
      </c>
      <c r="B84" s="1"/>
      <c r="C84" s="1"/>
      <c r="D84" s="1">
        <v>165</v>
      </c>
      <c r="E84" s="1"/>
      <c r="I84" s="1">
        <v>630.79</v>
      </c>
      <c r="J84" s="1">
        <v>390</v>
      </c>
      <c r="K84" s="1">
        <v>260</v>
      </c>
      <c r="L84" s="1"/>
      <c r="M84" s="1"/>
      <c r="N84" s="1"/>
      <c r="V84" s="4">
        <v>44916</v>
      </c>
      <c r="W84" s="4">
        <v>44917</v>
      </c>
      <c r="X84" s="4">
        <v>44918</v>
      </c>
      <c r="Y84" s="4">
        <v>44919</v>
      </c>
      <c r="Z84" s="4">
        <v>44920</v>
      </c>
      <c r="AA84" s="4">
        <v>44921</v>
      </c>
      <c r="AB84" s="4">
        <v>44922</v>
      </c>
    </row>
    <row r="85" spans="1:35" x14ac:dyDescent="0.3">
      <c r="A85" s="1"/>
      <c r="B85" s="1"/>
      <c r="C85" s="1"/>
      <c r="D85" s="1"/>
      <c r="E85" s="1"/>
      <c r="I85" s="1">
        <v>170</v>
      </c>
      <c r="J85" s="1">
        <v>1750.34</v>
      </c>
      <c r="K85" s="1">
        <v>305</v>
      </c>
      <c r="L85" s="1"/>
      <c r="M85" s="1"/>
      <c r="N85" s="1"/>
      <c r="V85" s="8">
        <v>150</v>
      </c>
      <c r="W85" s="1">
        <v>370</v>
      </c>
      <c r="X85" s="1">
        <v>220</v>
      </c>
      <c r="Y85" s="1">
        <v>370</v>
      </c>
      <c r="Z85" s="1">
        <v>560</v>
      </c>
      <c r="AA85" s="1">
        <v>330</v>
      </c>
      <c r="AB85" s="1">
        <v>515</v>
      </c>
      <c r="AD85" s="1"/>
    </row>
    <row r="86" spans="1:35" x14ac:dyDescent="0.3">
      <c r="A86" s="1"/>
      <c r="B86" s="1"/>
      <c r="C86" s="1"/>
      <c r="D86" s="1"/>
      <c r="E86" s="1"/>
      <c r="I86" s="1"/>
      <c r="J86" s="1"/>
      <c r="K86" s="1"/>
      <c r="L86" s="1"/>
      <c r="M86" s="1"/>
      <c r="N86" s="1"/>
      <c r="V86" s="1">
        <v>110</v>
      </c>
      <c r="W86" s="1">
        <v>440</v>
      </c>
      <c r="X86" s="1">
        <v>330</v>
      </c>
      <c r="Y86" s="1">
        <v>405</v>
      </c>
      <c r="Z86" s="10">
        <v>110</v>
      </c>
      <c r="AA86" s="1">
        <v>280</v>
      </c>
      <c r="AB86" s="1">
        <v>728.45</v>
      </c>
      <c r="AD86" s="1"/>
      <c r="AI86" s="1">
        <f>V87+V88</f>
        <v>1561.9</v>
      </c>
    </row>
    <row r="87" spans="1:35" x14ac:dyDescent="0.3">
      <c r="A87" s="1"/>
      <c r="B87" s="1"/>
      <c r="C87" s="1"/>
      <c r="D87" s="1"/>
      <c r="E87" s="1"/>
      <c r="I87" s="1"/>
      <c r="J87" s="1"/>
      <c r="K87" s="1"/>
      <c r="L87" s="1"/>
      <c r="M87" s="1"/>
      <c r="N87" s="1"/>
      <c r="V87" s="1">
        <v>390</v>
      </c>
      <c r="W87" s="1">
        <v>110</v>
      </c>
      <c r="X87" s="1">
        <v>1143.45</v>
      </c>
      <c r="Y87" s="9">
        <v>955</v>
      </c>
      <c r="Z87" s="1">
        <v>350</v>
      </c>
      <c r="AA87" s="1">
        <v>1003.45</v>
      </c>
      <c r="AB87" s="1">
        <v>943.45</v>
      </c>
      <c r="AD87" s="1">
        <v>4990.8</v>
      </c>
    </row>
    <row r="88" spans="1:35" x14ac:dyDescent="0.3">
      <c r="A88" s="1"/>
      <c r="B88" s="1"/>
      <c r="C88" s="1"/>
      <c r="D88" s="1"/>
      <c r="E88" s="1"/>
      <c r="I88" s="1"/>
      <c r="J88" s="1"/>
      <c r="K88" s="1"/>
      <c r="L88" s="1"/>
      <c r="M88" s="1"/>
      <c r="N88" s="1"/>
      <c r="V88" s="1">
        <v>1171.9000000000001</v>
      </c>
      <c r="W88" s="1">
        <v>465</v>
      </c>
      <c r="X88" s="1">
        <v>1446.05</v>
      </c>
      <c r="Y88" s="10">
        <v>981.15</v>
      </c>
      <c r="Z88" s="1"/>
      <c r="AA88" s="1">
        <v>155</v>
      </c>
      <c r="AB88" s="1">
        <v>75</v>
      </c>
      <c r="AD88" s="1">
        <v>3690.2</v>
      </c>
    </row>
    <row r="89" spans="1:35" x14ac:dyDescent="0.3">
      <c r="A89" s="1"/>
      <c r="B89" s="1"/>
      <c r="C89" s="1"/>
      <c r="D89" s="1"/>
      <c r="E89" s="1"/>
      <c r="I89" s="1"/>
      <c r="J89" s="1"/>
      <c r="K89" s="1"/>
      <c r="L89" s="1"/>
      <c r="M89" s="1"/>
      <c r="N89" s="1"/>
      <c r="V89" s="1">
        <v>1910.43</v>
      </c>
      <c r="W89" s="1">
        <v>748.45</v>
      </c>
      <c r="X89" s="1">
        <v>320</v>
      </c>
      <c r="Y89" s="1">
        <v>185</v>
      </c>
      <c r="Z89" s="1"/>
      <c r="AA89" s="1">
        <v>185</v>
      </c>
      <c r="AB89" s="1">
        <v>220</v>
      </c>
      <c r="AD89" s="1">
        <v>1905.54</v>
      </c>
    </row>
    <row r="90" spans="1:35" x14ac:dyDescent="0.3">
      <c r="A90" s="1">
        <f>SUM(A74:A89)</f>
        <v>4758.5</v>
      </c>
      <c r="B90" s="1">
        <f>SUM(B74:B89)</f>
        <v>5116.8</v>
      </c>
      <c r="C90" s="1">
        <f>SUM(C74:C89)</f>
        <v>600</v>
      </c>
      <c r="D90" s="1">
        <f>SUM(D74:D89)</f>
        <v>4563.5</v>
      </c>
      <c r="E90" s="1">
        <f>SUM(E74:E89)</f>
        <v>3764.7799999999997</v>
      </c>
      <c r="F90" s="2">
        <f>SUM(A90:E90)</f>
        <v>18803.579999999998</v>
      </c>
      <c r="I90" s="1">
        <f t="shared" ref="I90:N90" si="8">SUM(I74:I89)</f>
        <v>6423.84</v>
      </c>
      <c r="J90" s="1">
        <f t="shared" si="8"/>
        <v>6633.84</v>
      </c>
      <c r="K90" s="1">
        <f t="shared" si="8"/>
        <v>6567.9400000000005</v>
      </c>
      <c r="L90" s="1">
        <f t="shared" si="8"/>
        <v>3105.42</v>
      </c>
      <c r="M90" s="1">
        <f t="shared" si="8"/>
        <v>685</v>
      </c>
      <c r="N90" s="1">
        <f t="shared" si="8"/>
        <v>4423.5</v>
      </c>
      <c r="O90" s="2">
        <f>SUM(I90:N90)</f>
        <v>27839.54</v>
      </c>
      <c r="P90" s="1">
        <f>SUM(P74:P89)</f>
        <v>0</v>
      </c>
      <c r="Q90" s="1">
        <f>SUM(Q74:Q89)</f>
        <v>0</v>
      </c>
      <c r="V90" s="1">
        <v>170</v>
      </c>
      <c r="W90" s="1">
        <v>1380.53</v>
      </c>
      <c r="X90" s="1">
        <v>110</v>
      </c>
      <c r="Y90" s="1">
        <v>195</v>
      </c>
      <c r="Z90" s="1"/>
      <c r="AA90" s="1">
        <v>185</v>
      </c>
      <c r="AB90" s="1">
        <v>240</v>
      </c>
      <c r="AD90" s="1">
        <v>11432.35</v>
      </c>
    </row>
    <row r="91" spans="1:35" x14ac:dyDescent="0.3">
      <c r="A91" s="1">
        <v>4758.5</v>
      </c>
      <c r="B91" s="1">
        <v>5116.8</v>
      </c>
      <c r="C91" s="1">
        <v>600</v>
      </c>
      <c r="D91" s="1">
        <v>4563.5</v>
      </c>
      <c r="E91" s="1"/>
      <c r="F91" s="1">
        <v>19192.2</v>
      </c>
      <c r="I91" s="1">
        <v>6423.84</v>
      </c>
      <c r="J91" s="1">
        <v>6633.84</v>
      </c>
      <c r="K91" s="1">
        <v>6567.94</v>
      </c>
      <c r="L91" s="1">
        <v>3105.42</v>
      </c>
      <c r="M91" s="1">
        <v>685</v>
      </c>
      <c r="N91" s="1">
        <v>4423.5</v>
      </c>
      <c r="O91">
        <v>20187.2</v>
      </c>
      <c r="V91" s="1">
        <v>147.44999999999999</v>
      </c>
      <c r="W91" s="1">
        <v>85</v>
      </c>
      <c r="X91" s="1">
        <v>222.45</v>
      </c>
      <c r="Y91" s="1">
        <v>147.44999999999999</v>
      </c>
      <c r="Z91" s="1"/>
      <c r="AA91" s="1">
        <v>310</v>
      </c>
      <c r="AB91" s="1">
        <v>553.1</v>
      </c>
      <c r="AD91" s="1">
        <f>SUM(AD85:AD90)</f>
        <v>22018.89</v>
      </c>
    </row>
    <row r="92" spans="1:35" x14ac:dyDescent="0.3">
      <c r="A92" s="1">
        <f>A90-A91</f>
        <v>0</v>
      </c>
      <c r="B92" s="1">
        <f>B90-B91</f>
        <v>0</v>
      </c>
      <c r="C92" s="1">
        <f>C90-C91</f>
        <v>0</v>
      </c>
      <c r="D92" s="1">
        <f>D90-D91</f>
        <v>0</v>
      </c>
      <c r="E92" s="1">
        <f>E90-E91</f>
        <v>3764.7799999999997</v>
      </c>
      <c r="F92" s="1">
        <f>SUM(F90:F91)</f>
        <v>37995.78</v>
      </c>
      <c r="I92" s="1">
        <f t="shared" ref="I92:N92" si="9">I90-I91</f>
        <v>0</v>
      </c>
      <c r="J92" s="1">
        <f t="shared" si="9"/>
        <v>0</v>
      </c>
      <c r="K92" s="1">
        <f t="shared" si="9"/>
        <v>0</v>
      </c>
      <c r="L92" s="1">
        <f t="shared" si="9"/>
        <v>0</v>
      </c>
      <c r="M92" s="1">
        <f t="shared" si="9"/>
        <v>0</v>
      </c>
      <c r="N92" s="1">
        <f t="shared" si="9"/>
        <v>0</v>
      </c>
      <c r="O92" s="1">
        <f>SUM(O90:O91)</f>
        <v>48026.740000000005</v>
      </c>
      <c r="V92" s="1">
        <v>355</v>
      </c>
      <c r="W92" s="1">
        <v>195</v>
      </c>
      <c r="X92" s="1">
        <v>345</v>
      </c>
      <c r="Y92" s="1">
        <v>230</v>
      </c>
      <c r="Z92" s="1"/>
      <c r="AA92" s="1">
        <v>146.55000000000001</v>
      </c>
      <c r="AB92" s="1">
        <v>180</v>
      </c>
    </row>
    <row r="93" spans="1:35" x14ac:dyDescent="0.3">
      <c r="F93" s="1">
        <f>F92-47722.47</f>
        <v>-9726.6900000000023</v>
      </c>
      <c r="I93" s="1"/>
      <c r="J93" s="1"/>
      <c r="K93" s="1"/>
      <c r="L93" s="1"/>
      <c r="M93" s="1"/>
      <c r="N93" s="1"/>
      <c r="V93" s="1">
        <v>183.1</v>
      </c>
      <c r="W93" s="1">
        <v>110</v>
      </c>
      <c r="X93" s="1">
        <v>496.55</v>
      </c>
      <c r="Y93" s="1">
        <v>220</v>
      </c>
      <c r="Z93" s="1"/>
      <c r="AA93" s="1">
        <v>75</v>
      </c>
    </row>
    <row r="94" spans="1:35" x14ac:dyDescent="0.3">
      <c r="I94" s="1"/>
      <c r="J94" s="1"/>
      <c r="K94" s="1"/>
      <c r="L94" s="1"/>
      <c r="M94" s="1"/>
      <c r="N94" s="1"/>
      <c r="V94" s="1">
        <v>130</v>
      </c>
      <c r="W94" s="1">
        <v>260</v>
      </c>
      <c r="X94" s="1">
        <v>150</v>
      </c>
      <c r="Y94" s="1"/>
      <c r="Z94" s="1"/>
      <c r="AA94" s="1"/>
    </row>
    <row r="95" spans="1:35" x14ac:dyDescent="0.3">
      <c r="I95" s="1"/>
      <c r="J95" s="1"/>
      <c r="K95" s="1"/>
      <c r="L95" s="1"/>
      <c r="M95" s="1"/>
      <c r="N95" s="1"/>
      <c r="V95" s="1"/>
      <c r="W95" s="1">
        <v>516.54999999999995</v>
      </c>
      <c r="X95" s="1"/>
      <c r="Y95" s="1"/>
      <c r="Z95" s="1"/>
      <c r="AA95" s="1"/>
    </row>
    <row r="96" spans="1:35" x14ac:dyDescent="0.3">
      <c r="A96" s="4">
        <v>44876</v>
      </c>
      <c r="B96" s="4">
        <v>44877</v>
      </c>
      <c r="C96" s="4">
        <v>44878</v>
      </c>
      <c r="D96" s="4">
        <v>44879</v>
      </c>
      <c r="E96" s="4">
        <v>44880</v>
      </c>
      <c r="I96" s="4">
        <v>44881</v>
      </c>
      <c r="J96" s="4">
        <v>44882</v>
      </c>
      <c r="K96" s="4">
        <v>44883</v>
      </c>
      <c r="L96" s="4">
        <v>44884</v>
      </c>
      <c r="M96" s="4">
        <v>44885</v>
      </c>
      <c r="N96" s="4">
        <v>44886</v>
      </c>
      <c r="O96" s="4">
        <v>44887</v>
      </c>
      <c r="V96" s="1"/>
      <c r="W96" s="1">
        <v>150</v>
      </c>
      <c r="X96" s="1"/>
      <c r="Y96" s="1"/>
      <c r="Z96" s="1"/>
      <c r="AA96" s="1"/>
    </row>
    <row r="97" spans="1:34" x14ac:dyDescent="0.3">
      <c r="A97" s="1">
        <v>150</v>
      </c>
      <c r="B97" s="1">
        <v>185</v>
      </c>
      <c r="C97" s="1">
        <v>220</v>
      </c>
      <c r="D97" s="1">
        <v>110</v>
      </c>
      <c r="E97" s="1">
        <v>260</v>
      </c>
      <c r="I97" s="1">
        <v>260</v>
      </c>
      <c r="J97" s="1">
        <v>260</v>
      </c>
      <c r="K97" s="1">
        <v>405</v>
      </c>
      <c r="L97" s="1">
        <v>330</v>
      </c>
      <c r="M97" s="1">
        <v>330</v>
      </c>
      <c r="N97" s="1">
        <v>330</v>
      </c>
      <c r="O97" s="1">
        <v>315</v>
      </c>
      <c r="V97" s="1"/>
      <c r="W97" s="1">
        <v>147.44999999999999</v>
      </c>
      <c r="X97" s="1"/>
      <c r="Y97" s="1"/>
      <c r="Z97" s="1"/>
      <c r="AA97" s="1"/>
    </row>
    <row r="98" spans="1:34" x14ac:dyDescent="0.3">
      <c r="A98" s="1">
        <v>1421.9</v>
      </c>
      <c r="B98" s="1">
        <v>968.45</v>
      </c>
      <c r="C98" s="1"/>
      <c r="D98" s="1">
        <v>1016.9</v>
      </c>
      <c r="E98" s="1">
        <v>1331.9</v>
      </c>
      <c r="F98" s="1"/>
      <c r="I98" s="1">
        <v>1501.9</v>
      </c>
      <c r="J98" s="1">
        <v>1115</v>
      </c>
      <c r="K98" s="1">
        <v>1165</v>
      </c>
      <c r="L98" s="1">
        <v>873.45</v>
      </c>
      <c r="M98" s="1"/>
      <c r="N98" s="1">
        <v>906.9</v>
      </c>
      <c r="O98" s="1">
        <v>1171.9000000000001</v>
      </c>
      <c r="P98" s="1"/>
      <c r="V98" s="1"/>
      <c r="W98" s="1">
        <v>-130</v>
      </c>
      <c r="X98" s="1"/>
      <c r="Y98" s="1"/>
      <c r="Z98" s="1"/>
      <c r="AA98" s="1"/>
    </row>
    <row r="99" spans="1:34" x14ac:dyDescent="0.3">
      <c r="A99" s="1">
        <v>1276.05</v>
      </c>
      <c r="B99" s="1">
        <v>195</v>
      </c>
      <c r="C99" s="1"/>
      <c r="D99" s="1">
        <v>1640.12</v>
      </c>
      <c r="E99" s="1">
        <v>4990.8</v>
      </c>
      <c r="F99" s="1"/>
      <c r="I99" s="1">
        <v>1485.74</v>
      </c>
      <c r="J99" s="1">
        <v>1565.12</v>
      </c>
      <c r="K99" s="1">
        <v>1485.74</v>
      </c>
      <c r="L99" s="1">
        <v>270</v>
      </c>
      <c r="M99" s="1"/>
      <c r="N99" s="1">
        <v>1122.77</v>
      </c>
      <c r="O99" s="1">
        <v>1015.01</v>
      </c>
      <c r="P99" s="1"/>
      <c r="V99" s="1"/>
      <c r="W99" s="1"/>
      <c r="X99" s="1"/>
      <c r="Y99" s="1"/>
      <c r="Z99" s="1"/>
      <c r="AA99" s="1"/>
      <c r="AB99" s="1"/>
    </row>
    <row r="100" spans="1:34" x14ac:dyDescent="0.3">
      <c r="A100" s="1">
        <v>185</v>
      </c>
      <c r="B100" s="1">
        <v>380</v>
      </c>
      <c r="C100" s="1"/>
      <c r="D100" s="1">
        <v>75</v>
      </c>
      <c r="E100" s="1">
        <v>3690.2</v>
      </c>
      <c r="F100" s="1"/>
      <c r="I100" s="1">
        <v>275</v>
      </c>
      <c r="J100" s="1">
        <v>185</v>
      </c>
      <c r="K100" s="1">
        <v>75</v>
      </c>
      <c r="L100" s="1">
        <v>370</v>
      </c>
      <c r="M100" s="1"/>
      <c r="N100" s="1">
        <v>75</v>
      </c>
      <c r="O100" s="1">
        <v>110</v>
      </c>
      <c r="P100" s="1"/>
      <c r="V100" s="1">
        <f t="shared" ref="V100" si="10">SUM(V85:V99)</f>
        <v>4717.88</v>
      </c>
      <c r="W100" s="1">
        <f t="shared" ref="W100" si="11">SUM(W85:W99)</f>
        <v>4847.9799999999996</v>
      </c>
      <c r="X100" s="1">
        <f t="shared" ref="X100" si="12">SUM(X85:X99)</f>
        <v>4783.5</v>
      </c>
      <c r="Y100" s="1">
        <f t="shared" ref="Y100" si="13">SUM(Y85:Y99)</f>
        <v>3688.6</v>
      </c>
      <c r="Z100" s="1">
        <f t="shared" ref="Z100" si="14">SUM(Z85:Z99)</f>
        <v>1020</v>
      </c>
      <c r="AA100" s="1">
        <f t="shared" ref="AA100" si="15">SUM(AA85:AA99)</f>
        <v>2670</v>
      </c>
      <c r="AB100" s="1">
        <f t="shared" ref="AB100" si="16">SUM(AB85:AB99)</f>
        <v>3455</v>
      </c>
      <c r="AC100" s="1">
        <f>SUM(V100:AB100)</f>
        <v>25182.959999999999</v>
      </c>
      <c r="AD100" s="1">
        <f>AC100+AD91</f>
        <v>47201.85</v>
      </c>
      <c r="AE100">
        <v>47201.85</v>
      </c>
      <c r="AF100" s="1">
        <f>AE100-AD100</f>
        <v>0</v>
      </c>
      <c r="AH100">
        <v>369.02</v>
      </c>
    </row>
    <row r="101" spans="1:34" x14ac:dyDescent="0.3">
      <c r="A101" s="1">
        <v>200</v>
      </c>
      <c r="B101" s="1">
        <v>190</v>
      </c>
      <c r="C101" s="1"/>
      <c r="D101" s="1">
        <v>80</v>
      </c>
      <c r="E101" s="1">
        <v>215.52</v>
      </c>
      <c r="F101" s="1"/>
      <c r="I101" s="1">
        <v>270</v>
      </c>
      <c r="J101" s="1">
        <v>305</v>
      </c>
      <c r="K101" s="1">
        <v>255</v>
      </c>
      <c r="L101" s="1">
        <v>110</v>
      </c>
      <c r="M101" s="1"/>
      <c r="N101" s="1">
        <v>110</v>
      </c>
      <c r="O101" s="1">
        <v>465</v>
      </c>
      <c r="P101" s="1"/>
      <c r="V101" s="7">
        <v>4717.88</v>
      </c>
      <c r="W101" s="6">
        <v>4847.9799999999996</v>
      </c>
      <c r="X101" s="6">
        <v>4783.5</v>
      </c>
      <c r="Y101" s="6">
        <v>3688.6</v>
      </c>
      <c r="Z101" s="6">
        <v>1020</v>
      </c>
      <c r="AA101" s="6">
        <v>2670</v>
      </c>
      <c r="AB101" s="6">
        <v>3455</v>
      </c>
      <c r="AC101" s="6">
        <f>SUM(V101:AB101)</f>
        <v>25182.959999999999</v>
      </c>
      <c r="AD101" t="s">
        <v>1</v>
      </c>
      <c r="AH101">
        <v>350</v>
      </c>
    </row>
    <row r="102" spans="1:34" x14ac:dyDescent="0.3">
      <c r="A102" s="1">
        <v>110</v>
      </c>
      <c r="B102" s="1">
        <v>1642.63</v>
      </c>
      <c r="C102" s="1"/>
      <c r="D102" s="1">
        <v>305</v>
      </c>
      <c r="E102" s="1">
        <v>1349.6</v>
      </c>
      <c r="F102" s="1"/>
      <c r="I102" s="1">
        <v>147.44999999999999</v>
      </c>
      <c r="J102" s="1">
        <v>110</v>
      </c>
      <c r="K102" s="1">
        <v>147.44999999999999</v>
      </c>
      <c r="L102" s="1">
        <v>1100.82</v>
      </c>
      <c r="M102" s="1"/>
      <c r="N102" s="1">
        <v>295</v>
      </c>
      <c r="O102" s="1">
        <v>147.44999999999999</v>
      </c>
      <c r="P102" s="1"/>
      <c r="V102" s="1">
        <f>V100-V101</f>
        <v>0</v>
      </c>
      <c r="W102" s="1">
        <f>W100-W101</f>
        <v>0</v>
      </c>
      <c r="X102" s="1">
        <f t="shared" ref="X102:AA102" si="17">X100-X101</f>
        <v>0</v>
      </c>
      <c r="Y102" s="1">
        <f t="shared" si="17"/>
        <v>0</v>
      </c>
      <c r="Z102" s="1">
        <f t="shared" si="17"/>
        <v>0</v>
      </c>
      <c r="AA102" s="1">
        <f t="shared" si="17"/>
        <v>0</v>
      </c>
      <c r="AB102" s="1">
        <f>AB100-AB101</f>
        <v>0</v>
      </c>
      <c r="AC102" s="1">
        <f>AC100-AC101</f>
        <v>0</v>
      </c>
      <c r="AH102">
        <f>SUM(AH100:AH101)</f>
        <v>719.02</v>
      </c>
    </row>
    <row r="103" spans="1:34" x14ac:dyDescent="0.3">
      <c r="A103" s="1">
        <v>110</v>
      </c>
      <c r="B103" s="1"/>
      <c r="C103" s="1"/>
      <c r="D103" s="1">
        <v>147.44999999999999</v>
      </c>
      <c r="E103" s="1">
        <v>185</v>
      </c>
      <c r="I103" s="1">
        <v>230</v>
      </c>
      <c r="J103" s="1">
        <v>147.44999999999999</v>
      </c>
      <c r="K103" s="1">
        <v>245</v>
      </c>
      <c r="L103" s="1">
        <v>305</v>
      </c>
      <c r="M103" s="1"/>
      <c r="N103" s="1">
        <v>140</v>
      </c>
      <c r="O103" s="1">
        <v>290</v>
      </c>
    </row>
    <row r="104" spans="1:34" x14ac:dyDescent="0.3">
      <c r="A104" s="1">
        <v>110</v>
      </c>
      <c r="B104" s="1"/>
      <c r="C104" s="1"/>
      <c r="D104" s="1">
        <v>105</v>
      </c>
      <c r="E104" s="1">
        <v>5535.3</v>
      </c>
      <c r="I104" s="1">
        <v>643.1</v>
      </c>
      <c r="J104" s="1">
        <v>90</v>
      </c>
      <c r="K104" s="1">
        <v>220</v>
      </c>
      <c r="L104" s="1">
        <v>1991.65</v>
      </c>
      <c r="M104" s="1"/>
      <c r="N104" s="1">
        <v>423.1</v>
      </c>
      <c r="O104" s="1">
        <v>423.1</v>
      </c>
    </row>
    <row r="105" spans="1:34" x14ac:dyDescent="0.3">
      <c r="A105" s="1">
        <v>222.45</v>
      </c>
      <c r="B105" s="1"/>
      <c r="C105" s="1"/>
      <c r="D105" s="1">
        <v>358.1</v>
      </c>
      <c r="E105" s="1">
        <v>147.44999999999999</v>
      </c>
      <c r="I105" s="1">
        <v>150</v>
      </c>
      <c r="J105" s="1">
        <v>350</v>
      </c>
      <c r="K105" s="1">
        <v>165</v>
      </c>
      <c r="L105" s="1"/>
      <c r="M105" s="1"/>
      <c r="N105" s="1">
        <v>165</v>
      </c>
      <c r="O105" s="1">
        <v>165</v>
      </c>
    </row>
    <row r="106" spans="1:34" x14ac:dyDescent="0.3">
      <c r="A106" s="1">
        <v>225</v>
      </c>
      <c r="B106" s="1"/>
      <c r="C106" s="1"/>
      <c r="D106" s="1">
        <v>275</v>
      </c>
      <c r="E106" s="1">
        <v>255</v>
      </c>
      <c r="I106" s="1">
        <v>150</v>
      </c>
      <c r="J106" s="1">
        <v>180</v>
      </c>
      <c r="K106" s="1">
        <v>150</v>
      </c>
      <c r="L106" s="1"/>
      <c r="M106" s="1"/>
      <c r="N106" s="1">
        <v>170</v>
      </c>
      <c r="O106" s="1">
        <v>10289.02</v>
      </c>
    </row>
    <row r="107" spans="1:34" x14ac:dyDescent="0.3">
      <c r="A107" s="1">
        <v>533.1</v>
      </c>
      <c r="B107" s="1"/>
      <c r="C107" s="1"/>
      <c r="D107" s="1"/>
      <c r="E107" s="1">
        <v>183.1</v>
      </c>
      <c r="I107" s="1"/>
      <c r="J107" s="1">
        <v>150</v>
      </c>
      <c r="K107" s="1"/>
      <c r="L107" s="1"/>
      <c r="M107" s="1"/>
      <c r="N107" s="1"/>
      <c r="O107" s="1">
        <v>5489.88</v>
      </c>
    </row>
    <row r="108" spans="1:34" x14ac:dyDescent="0.3">
      <c r="A108" s="1">
        <v>165</v>
      </c>
      <c r="B108" s="1"/>
      <c r="C108" s="1"/>
      <c r="D108" s="1"/>
      <c r="E108" s="1">
        <v>2975</v>
      </c>
      <c r="I108" s="1"/>
      <c r="J108" s="1"/>
      <c r="K108" s="1"/>
      <c r="L108" s="1"/>
      <c r="M108" s="1"/>
      <c r="N108" s="1"/>
      <c r="O108" s="1">
        <v>3690.2</v>
      </c>
    </row>
    <row r="109" spans="1:34" x14ac:dyDescent="0.3">
      <c r="A109" s="1">
        <v>110</v>
      </c>
      <c r="B109" s="1"/>
      <c r="C109" s="1"/>
      <c r="D109" s="1"/>
      <c r="E109" s="1">
        <v>165</v>
      </c>
      <c r="I109" s="1"/>
      <c r="J109" s="1"/>
      <c r="K109" s="1"/>
      <c r="L109" s="1"/>
      <c r="M109" s="1"/>
      <c r="N109" s="1"/>
      <c r="O109" s="1">
        <v>1179.5999999999999</v>
      </c>
    </row>
    <row r="110" spans="1:34" x14ac:dyDescent="0.3">
      <c r="A110" s="1"/>
      <c r="B110" s="1"/>
      <c r="C110" s="1"/>
      <c r="D110" s="1"/>
      <c r="E110" s="1">
        <v>150</v>
      </c>
      <c r="I110" s="1"/>
      <c r="J110" s="1"/>
      <c r="K110" s="1"/>
      <c r="L110" s="1"/>
      <c r="M110" s="1"/>
      <c r="N110" s="1"/>
      <c r="O110" s="1"/>
    </row>
    <row r="111" spans="1:34" x14ac:dyDescent="0.3">
      <c r="A111" s="1"/>
      <c r="B111" s="1"/>
      <c r="C111" s="1"/>
      <c r="D111" s="1"/>
      <c r="E111" s="1">
        <v>1253.72</v>
      </c>
      <c r="I111" s="1"/>
      <c r="J111" s="1"/>
      <c r="K111" s="1"/>
      <c r="L111" s="1"/>
      <c r="M111" s="1"/>
      <c r="N111" s="1"/>
      <c r="O111" s="1"/>
    </row>
    <row r="112" spans="1:34" x14ac:dyDescent="0.3">
      <c r="A112" s="1"/>
      <c r="B112" s="1"/>
      <c r="C112" s="1"/>
      <c r="D112" s="1"/>
      <c r="E112" s="1"/>
      <c r="I112" s="1"/>
      <c r="J112" s="1"/>
      <c r="K112" s="1"/>
      <c r="L112" s="1"/>
      <c r="M112" s="1"/>
      <c r="N112" s="1"/>
      <c r="O112" s="1"/>
    </row>
    <row r="113" spans="1:16" x14ac:dyDescent="0.3">
      <c r="A113" s="1">
        <f>SUM(A97:A112)</f>
        <v>4818.5</v>
      </c>
      <c r="B113" s="1">
        <f>SUM(B97:B112)</f>
        <v>3561.08</v>
      </c>
      <c r="C113" s="1">
        <f>SUM(C97:C112)</f>
        <v>220</v>
      </c>
      <c r="D113" s="1">
        <f>SUM(D97:D112)</f>
        <v>4112.57</v>
      </c>
      <c r="E113" s="1">
        <f>SUM(E97:E112)</f>
        <v>22687.590000000004</v>
      </c>
      <c r="F113" s="2">
        <f>SUM(A113:E113)</f>
        <v>35399.740000000005</v>
      </c>
      <c r="H113" s="1"/>
      <c r="I113" s="1">
        <f t="shared" ref="I113:O113" si="18">SUM(I97:I112)</f>
        <v>5113.1900000000005</v>
      </c>
      <c r="J113" s="1">
        <f t="shared" si="18"/>
        <v>4457.57</v>
      </c>
      <c r="K113" s="1">
        <f t="shared" si="18"/>
        <v>4313.1899999999996</v>
      </c>
      <c r="L113" s="1">
        <f t="shared" si="18"/>
        <v>5350.92</v>
      </c>
      <c r="M113" s="1">
        <f t="shared" si="18"/>
        <v>330</v>
      </c>
      <c r="N113" s="1">
        <f t="shared" si="18"/>
        <v>3737.77</v>
      </c>
      <c r="O113" s="1">
        <f t="shared" si="18"/>
        <v>24751.16</v>
      </c>
      <c r="P113" s="2">
        <f>SUM(I113:O113)</f>
        <v>48053.8</v>
      </c>
    </row>
    <row r="114" spans="1:16" x14ac:dyDescent="0.3">
      <c r="A114" s="1">
        <v>4818.5</v>
      </c>
      <c r="B114" s="1">
        <v>3561.08</v>
      </c>
      <c r="C114" s="1">
        <v>220</v>
      </c>
      <c r="D114" s="1">
        <v>4112.57</v>
      </c>
      <c r="E114" s="1">
        <v>4027.05</v>
      </c>
      <c r="F114" s="1">
        <f>F102</f>
        <v>0</v>
      </c>
      <c r="I114" s="1">
        <v>5113.1899999999996</v>
      </c>
      <c r="J114" s="1">
        <v>4457.57</v>
      </c>
      <c r="K114" s="1">
        <v>4313.1899999999996</v>
      </c>
      <c r="L114" s="1">
        <v>5350.92</v>
      </c>
      <c r="M114" s="1">
        <v>330</v>
      </c>
      <c r="N114" s="1">
        <v>3737.77</v>
      </c>
      <c r="O114" s="1">
        <v>4102.46</v>
      </c>
      <c r="P114" s="1">
        <v>48273.8</v>
      </c>
    </row>
    <row r="115" spans="1:16" x14ac:dyDescent="0.3">
      <c r="A115" s="1">
        <f>A113-A114</f>
        <v>0</v>
      </c>
      <c r="B115" s="1">
        <f>B113-B114</f>
        <v>0</v>
      </c>
      <c r="C115" s="1">
        <f>C113-C114</f>
        <v>0</v>
      </c>
      <c r="D115" s="1">
        <f>D113-D114</f>
        <v>0</v>
      </c>
      <c r="E115" s="1">
        <f>E113-E114</f>
        <v>18660.540000000005</v>
      </c>
      <c r="F115" s="1">
        <f>SUM(F113:F114)</f>
        <v>35399.740000000005</v>
      </c>
      <c r="I115" s="1">
        <f t="shared" ref="I115:O115" si="19">I113-I114</f>
        <v>0</v>
      </c>
      <c r="J115" s="1">
        <f t="shared" si="19"/>
        <v>0</v>
      </c>
      <c r="K115" s="1">
        <f t="shared" si="19"/>
        <v>0</v>
      </c>
      <c r="L115" s="1">
        <f t="shared" si="19"/>
        <v>0</v>
      </c>
      <c r="M115" s="1">
        <f t="shared" si="19"/>
        <v>0</v>
      </c>
      <c r="N115" s="1">
        <f t="shared" si="19"/>
        <v>0</v>
      </c>
      <c r="O115" s="1">
        <f t="shared" si="19"/>
        <v>20648.7</v>
      </c>
      <c r="P115" s="1"/>
    </row>
    <row r="116" spans="1:16" x14ac:dyDescent="0.3">
      <c r="P116" s="1">
        <f>P114-P113</f>
        <v>220</v>
      </c>
    </row>
    <row r="117" spans="1:16" x14ac:dyDescent="0.3">
      <c r="F117" s="1">
        <f>F115-44425.81</f>
        <v>-9026.0699999999924</v>
      </c>
      <c r="P11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7257-05A6-45DF-9862-E2BD95601E07}">
  <dimension ref="A1:V95"/>
  <sheetViews>
    <sheetView topLeftCell="A68" workbookViewId="0">
      <selection activeCell="D101" sqref="D101"/>
    </sheetView>
  </sheetViews>
  <sheetFormatPr defaultRowHeight="14.4" x14ac:dyDescent="0.3"/>
  <cols>
    <col min="1" max="2" width="11.88671875" customWidth="1"/>
    <col min="3" max="3" width="11" customWidth="1"/>
    <col min="4" max="4" width="11.109375" customWidth="1"/>
    <col min="5" max="5" width="11.6640625" customWidth="1"/>
    <col min="6" max="6" width="11.33203125" customWidth="1"/>
    <col min="7" max="7" width="13.44140625" customWidth="1"/>
    <col min="8" max="8" width="12.5546875" customWidth="1"/>
    <col min="9" max="9" width="13.88671875" customWidth="1"/>
    <col min="13" max="13" width="10.33203125" bestFit="1" customWidth="1"/>
  </cols>
  <sheetData>
    <row r="1" spans="1:9" x14ac:dyDescent="0.3">
      <c r="A1" s="17">
        <v>44923</v>
      </c>
      <c r="B1" s="18">
        <v>44924</v>
      </c>
      <c r="C1" s="18">
        <v>44925</v>
      </c>
      <c r="D1" s="18">
        <v>44926</v>
      </c>
      <c r="E1" s="18">
        <v>44927</v>
      </c>
      <c r="F1" s="18">
        <v>44928</v>
      </c>
      <c r="G1" s="18">
        <v>44929</v>
      </c>
      <c r="H1" s="19"/>
      <c r="I1" s="20" t="s">
        <v>8</v>
      </c>
    </row>
    <row r="2" spans="1:9" x14ac:dyDescent="0.3">
      <c r="A2" s="21">
        <v>515</v>
      </c>
      <c r="B2" s="22">
        <v>440</v>
      </c>
      <c r="C2" s="22">
        <v>358.45</v>
      </c>
      <c r="D2" s="43">
        <v>330</v>
      </c>
      <c r="E2" s="22">
        <v>520</v>
      </c>
      <c r="F2" s="22">
        <v>618.45000000000005</v>
      </c>
      <c r="G2" s="22">
        <v>330</v>
      </c>
      <c r="H2" s="22"/>
      <c r="I2" s="27">
        <v>2830</v>
      </c>
    </row>
    <row r="3" spans="1:9" x14ac:dyDescent="0.3">
      <c r="A3" s="24">
        <v>1283.45</v>
      </c>
      <c r="B3" s="22">
        <v>440</v>
      </c>
      <c r="C3" s="22">
        <v>570</v>
      </c>
      <c r="D3" s="43">
        <v>1141.9000000000001</v>
      </c>
      <c r="E3" s="41">
        <v>330</v>
      </c>
      <c r="F3" s="22">
        <v>606.9</v>
      </c>
      <c r="G3" s="22">
        <v>525.35</v>
      </c>
      <c r="H3" s="22"/>
      <c r="I3" s="27">
        <v>700</v>
      </c>
    </row>
    <row r="4" spans="1:9" x14ac:dyDescent="0.3">
      <c r="A4" s="24">
        <v>1746.05</v>
      </c>
      <c r="B4" s="22">
        <v>841.9</v>
      </c>
      <c r="C4" s="22">
        <v>1068.45</v>
      </c>
      <c r="D4" s="44">
        <v>1128.5999999999999</v>
      </c>
      <c r="E4" s="22"/>
      <c r="F4" s="22">
        <v>1090.3499999999999</v>
      </c>
      <c r="G4" s="22">
        <v>1293.8</v>
      </c>
      <c r="H4" s="22"/>
      <c r="I4" s="27">
        <v>4990.8</v>
      </c>
    </row>
    <row r="5" spans="1:9" x14ac:dyDescent="0.3">
      <c r="A5" s="24">
        <v>60</v>
      </c>
      <c r="B5" s="22">
        <v>1445.53</v>
      </c>
      <c r="C5" s="22">
        <v>1436.05</v>
      </c>
      <c r="D5" s="42">
        <v>185</v>
      </c>
      <c r="E5" s="22"/>
      <c r="F5" s="22"/>
      <c r="G5" s="22">
        <v>1576.05</v>
      </c>
      <c r="H5" s="22"/>
      <c r="I5" s="27">
        <v>589.79999999999995</v>
      </c>
    </row>
    <row r="6" spans="1:9" x14ac:dyDescent="0.3">
      <c r="A6" s="24">
        <v>147.44999999999999</v>
      </c>
      <c r="B6" s="22">
        <v>75</v>
      </c>
      <c r="C6" s="22">
        <v>105</v>
      </c>
      <c r="D6" s="43">
        <v>305</v>
      </c>
      <c r="E6" s="22"/>
      <c r="F6" s="22">
        <v>110</v>
      </c>
      <c r="G6" s="22">
        <v>195</v>
      </c>
      <c r="H6" s="22"/>
      <c r="I6" s="27">
        <f>3690.2+1548.62</f>
        <v>5238.82</v>
      </c>
    </row>
    <row r="7" spans="1:9" x14ac:dyDescent="0.3">
      <c r="A7" s="24">
        <v>120</v>
      </c>
      <c r="B7" s="22">
        <v>370</v>
      </c>
      <c r="C7" s="22">
        <v>110</v>
      </c>
      <c r="D7" s="43">
        <v>185</v>
      </c>
      <c r="E7" s="22"/>
      <c r="F7" s="22">
        <v>330</v>
      </c>
      <c r="G7" s="22">
        <v>380</v>
      </c>
      <c r="H7" s="22"/>
      <c r="I7" s="27">
        <v>4059.22</v>
      </c>
    </row>
    <row r="8" spans="1:9" ht="15" thickBot="1" x14ac:dyDescent="0.35">
      <c r="A8" s="24">
        <v>146.55000000000001</v>
      </c>
      <c r="B8" s="22">
        <v>222.45</v>
      </c>
      <c r="C8" s="22">
        <v>222.45</v>
      </c>
      <c r="D8" s="43">
        <v>255.21</v>
      </c>
      <c r="E8" s="22"/>
      <c r="F8" s="22">
        <v>305</v>
      </c>
      <c r="G8" s="22">
        <v>110</v>
      </c>
      <c r="H8" s="37"/>
      <c r="I8" s="16">
        <f>SUM(I2:I7)</f>
        <v>18408.64</v>
      </c>
    </row>
    <row r="9" spans="1:9" ht="15" thickTop="1" x14ac:dyDescent="0.3">
      <c r="A9" s="24">
        <v>150</v>
      </c>
      <c r="B9" s="22">
        <v>325</v>
      </c>
      <c r="C9" s="22">
        <v>235</v>
      </c>
      <c r="D9" s="43">
        <v>345</v>
      </c>
      <c r="E9" s="22"/>
      <c r="F9" s="22">
        <v>185</v>
      </c>
      <c r="G9" s="22">
        <v>147.44999999999999</v>
      </c>
      <c r="H9" s="22"/>
      <c r="I9" s="40"/>
    </row>
    <row r="10" spans="1:9" x14ac:dyDescent="0.3">
      <c r="A10" s="24">
        <v>60</v>
      </c>
      <c r="B10" s="22">
        <v>533.1</v>
      </c>
      <c r="C10" s="22">
        <v>313.10000000000002</v>
      </c>
      <c r="D10" s="43">
        <v>403.1</v>
      </c>
      <c r="E10" s="22"/>
      <c r="F10" s="22">
        <v>145</v>
      </c>
      <c r="G10" s="22">
        <v>310</v>
      </c>
      <c r="H10" s="22"/>
      <c r="I10" s="27"/>
    </row>
    <row r="11" spans="1:9" x14ac:dyDescent="0.3">
      <c r="A11" s="24">
        <v>220</v>
      </c>
      <c r="B11" s="22">
        <v>165</v>
      </c>
      <c r="C11" s="22">
        <v>180</v>
      </c>
      <c r="D11" s="22"/>
      <c r="E11" s="22"/>
      <c r="F11" s="22">
        <v>454.3</v>
      </c>
      <c r="G11" s="22">
        <v>390.85</v>
      </c>
      <c r="H11" s="22"/>
      <c r="I11" s="27"/>
    </row>
    <row r="12" spans="1:9" x14ac:dyDescent="0.3">
      <c r="A12" s="24"/>
      <c r="B12" s="22"/>
      <c r="C12" s="22"/>
      <c r="D12" s="22"/>
      <c r="E12" s="22"/>
      <c r="F12" s="22">
        <v>90</v>
      </c>
      <c r="G12" s="22">
        <v>150</v>
      </c>
      <c r="H12" s="22"/>
      <c r="I12" s="27"/>
    </row>
    <row r="13" spans="1:9" x14ac:dyDescent="0.3">
      <c r="A13" s="24"/>
      <c r="B13" s="22"/>
      <c r="C13" s="22"/>
      <c r="D13" s="22"/>
      <c r="E13" s="22"/>
      <c r="F13" s="22">
        <v>20</v>
      </c>
      <c r="G13" s="22"/>
      <c r="H13" s="22"/>
      <c r="I13" s="27"/>
    </row>
    <row r="14" spans="1:9" x14ac:dyDescent="0.3">
      <c r="A14" s="24"/>
      <c r="B14" s="22"/>
      <c r="C14" s="22"/>
      <c r="D14" s="22"/>
      <c r="E14" s="22"/>
      <c r="F14" s="22"/>
      <c r="G14" s="22"/>
      <c r="H14" s="22"/>
      <c r="I14" s="27"/>
    </row>
    <row r="15" spans="1:9" x14ac:dyDescent="0.3">
      <c r="A15" s="24"/>
      <c r="B15" s="22"/>
      <c r="C15" s="22"/>
      <c r="D15" s="22"/>
      <c r="E15" s="22"/>
      <c r="F15" s="22"/>
      <c r="G15" s="22"/>
      <c r="H15" s="22"/>
      <c r="I15" s="27"/>
    </row>
    <row r="16" spans="1:9" x14ac:dyDescent="0.3">
      <c r="A16" s="24">
        <f t="shared" ref="A16:G16" si="0">SUM(A2:A15)</f>
        <v>4448.5</v>
      </c>
      <c r="B16" s="22">
        <f t="shared" si="0"/>
        <v>4857.9800000000005</v>
      </c>
      <c r="C16" s="22">
        <f t="shared" si="0"/>
        <v>4598.5</v>
      </c>
      <c r="D16" s="22">
        <f t="shared" si="0"/>
        <v>4278.8100000000004</v>
      </c>
      <c r="E16" s="22">
        <f t="shared" si="0"/>
        <v>850</v>
      </c>
      <c r="F16" s="22">
        <f t="shared" si="0"/>
        <v>3955</v>
      </c>
      <c r="G16" s="22">
        <f t="shared" si="0"/>
        <v>5408.5</v>
      </c>
      <c r="H16" s="29">
        <f>SUM(A16:G16)+I8</f>
        <v>46805.93</v>
      </c>
      <c r="I16" s="30" t="s">
        <v>7</v>
      </c>
    </row>
    <row r="17" spans="1:12" x14ac:dyDescent="0.3">
      <c r="A17" s="31">
        <v>4448.5</v>
      </c>
      <c r="B17" s="32">
        <v>4857.9799999999996</v>
      </c>
      <c r="C17" s="32">
        <v>4598.5</v>
      </c>
      <c r="D17" s="32">
        <v>4278.8100000000004</v>
      </c>
      <c r="E17" s="32">
        <v>850</v>
      </c>
      <c r="F17" s="32">
        <v>3955</v>
      </c>
      <c r="G17" s="32">
        <v>5408.5</v>
      </c>
      <c r="H17" s="22">
        <f>SUM(A17:G17)</f>
        <v>28397.29</v>
      </c>
      <c r="I17" s="33" t="s">
        <v>1</v>
      </c>
    </row>
    <row r="18" spans="1:12" ht="15" thickBot="1" x14ac:dyDescent="0.35">
      <c r="A18" s="34">
        <f>A16-A17</f>
        <v>0</v>
      </c>
      <c r="B18" s="35">
        <f>B16-B17</f>
        <v>0</v>
      </c>
      <c r="C18" s="35">
        <f t="shared" ref="C18:E18" si="1">C16-C17</f>
        <v>0</v>
      </c>
      <c r="D18" s="35">
        <f t="shared" si="1"/>
        <v>0</v>
      </c>
      <c r="E18" s="35">
        <f t="shared" si="1"/>
        <v>0</v>
      </c>
      <c r="F18" s="35">
        <f>F16-F17</f>
        <v>0</v>
      </c>
      <c r="G18" s="35">
        <f>G16-G17</f>
        <v>0</v>
      </c>
      <c r="H18" s="35"/>
      <c r="I18" s="36"/>
    </row>
    <row r="19" spans="1:12" ht="15.6" thickTop="1" thickBot="1" x14ac:dyDescent="0.35"/>
    <row r="20" spans="1:12" x14ac:dyDescent="0.3">
      <c r="A20" s="17">
        <v>44930</v>
      </c>
      <c r="B20" s="18">
        <v>44931</v>
      </c>
      <c r="C20" s="18">
        <v>44932</v>
      </c>
      <c r="D20" s="18">
        <v>44933</v>
      </c>
      <c r="E20" s="18">
        <v>44934</v>
      </c>
      <c r="F20" s="18">
        <v>44935</v>
      </c>
      <c r="G20" s="18">
        <v>44936</v>
      </c>
      <c r="H20" s="39"/>
      <c r="I20" s="13" t="s">
        <v>8</v>
      </c>
    </row>
    <row r="21" spans="1:12" x14ac:dyDescent="0.3">
      <c r="A21" s="21">
        <v>468.45</v>
      </c>
      <c r="B21" s="45">
        <v>220</v>
      </c>
      <c r="C21" s="22">
        <v>496.9</v>
      </c>
      <c r="D21" s="22">
        <v>220</v>
      </c>
      <c r="E21" s="22">
        <v>75</v>
      </c>
      <c r="F21" s="22">
        <v>826.9</v>
      </c>
      <c r="G21" s="22">
        <v>185</v>
      </c>
      <c r="H21" s="37"/>
      <c r="I21" s="47">
        <v>4990.8</v>
      </c>
    </row>
    <row r="22" spans="1:12" x14ac:dyDescent="0.3">
      <c r="A22" s="24">
        <v>1333.8</v>
      </c>
      <c r="B22" s="45">
        <v>606.9</v>
      </c>
      <c r="C22" s="22">
        <v>405</v>
      </c>
      <c r="D22" s="22">
        <v>496.9</v>
      </c>
      <c r="E22" s="41">
        <v>75</v>
      </c>
      <c r="F22" s="22">
        <v>330</v>
      </c>
      <c r="G22" s="22">
        <v>468.45</v>
      </c>
      <c r="H22" s="37"/>
      <c r="I22" s="47">
        <v>3690.2</v>
      </c>
    </row>
    <row r="23" spans="1:12" x14ac:dyDescent="0.3">
      <c r="A23" s="24">
        <v>1139.9100000000001</v>
      </c>
      <c r="B23" s="45">
        <v>1423.8</v>
      </c>
      <c r="C23" s="22">
        <v>490</v>
      </c>
      <c r="D23" s="46">
        <v>1353.8</v>
      </c>
      <c r="E23" s="22">
        <v>110</v>
      </c>
      <c r="F23" s="22">
        <v>813.8</v>
      </c>
      <c r="G23" s="22">
        <v>1588.8</v>
      </c>
      <c r="H23" s="37"/>
      <c r="I23" s="47">
        <v>589.79999999999995</v>
      </c>
    </row>
    <row r="24" spans="1:12" x14ac:dyDescent="0.3">
      <c r="A24" s="24">
        <v>245</v>
      </c>
      <c r="B24" s="45">
        <v>1179.5999999999999</v>
      </c>
      <c r="C24" s="22">
        <v>681.9</v>
      </c>
      <c r="D24" s="41">
        <v>110</v>
      </c>
      <c r="E24" s="22">
        <v>110</v>
      </c>
      <c r="F24" s="22">
        <v>1525.43</v>
      </c>
      <c r="G24" s="22">
        <v>1470.12</v>
      </c>
      <c r="H24" s="37"/>
      <c r="I24" s="47">
        <v>4797.26</v>
      </c>
    </row>
    <row r="25" spans="1:12" x14ac:dyDescent="0.3">
      <c r="A25" s="24">
        <v>110</v>
      </c>
      <c r="B25" s="22">
        <v>170</v>
      </c>
      <c r="C25" s="22">
        <v>1355.22</v>
      </c>
      <c r="D25" s="22">
        <v>220</v>
      </c>
      <c r="E25" s="22">
        <v>110</v>
      </c>
      <c r="F25" s="22">
        <v>235</v>
      </c>
      <c r="G25" s="22">
        <v>110</v>
      </c>
      <c r="H25" s="37"/>
      <c r="I25" s="47">
        <f>3065+1050</f>
        <v>4115</v>
      </c>
    </row>
    <row r="26" spans="1:12" x14ac:dyDescent="0.3">
      <c r="A26" s="24">
        <v>297.45</v>
      </c>
      <c r="B26" s="22">
        <v>110</v>
      </c>
      <c r="C26" s="22">
        <v>350</v>
      </c>
      <c r="D26" s="22">
        <v>110</v>
      </c>
      <c r="E26" s="22"/>
      <c r="F26" s="22">
        <v>445</v>
      </c>
      <c r="G26" s="22">
        <v>345</v>
      </c>
      <c r="H26" s="37"/>
      <c r="I26" s="47">
        <v>1548.62</v>
      </c>
    </row>
    <row r="27" spans="1:12" ht="15" thickBot="1" x14ac:dyDescent="0.35">
      <c r="A27" s="24">
        <v>300</v>
      </c>
      <c r="B27" s="22">
        <v>455</v>
      </c>
      <c r="C27" s="22">
        <v>110</v>
      </c>
      <c r="D27" s="22">
        <v>1100.82</v>
      </c>
      <c r="E27" s="22"/>
      <c r="F27" s="22">
        <v>110</v>
      </c>
      <c r="G27" s="22">
        <v>222.45</v>
      </c>
      <c r="H27" s="37"/>
      <c r="I27" s="16">
        <f>SUM(I21:I26)</f>
        <v>19731.679999999997</v>
      </c>
      <c r="L27" s="1"/>
    </row>
    <row r="28" spans="1:12" ht="15" thickTop="1" x14ac:dyDescent="0.3">
      <c r="A28" s="24">
        <v>447.75</v>
      </c>
      <c r="B28" s="22">
        <v>1275</v>
      </c>
      <c r="C28" s="22">
        <v>147.44999999999999</v>
      </c>
      <c r="D28" s="22">
        <v>350</v>
      </c>
      <c r="E28" s="22"/>
      <c r="F28" s="22">
        <v>222.45</v>
      </c>
      <c r="G28" s="22">
        <v>185</v>
      </c>
      <c r="H28" s="22"/>
      <c r="I28" s="38"/>
    </row>
    <row r="29" spans="1:12" x14ac:dyDescent="0.3">
      <c r="A29" s="24">
        <v>150</v>
      </c>
      <c r="B29" s="22">
        <v>257.45</v>
      </c>
      <c r="C29" s="22">
        <v>240</v>
      </c>
      <c r="D29" s="22">
        <v>734.3</v>
      </c>
      <c r="E29" s="22"/>
      <c r="F29" s="22">
        <v>250</v>
      </c>
      <c r="G29" s="22">
        <v>447.75</v>
      </c>
      <c r="H29" s="22"/>
      <c r="I29" s="23"/>
    </row>
    <row r="30" spans="1:12" x14ac:dyDescent="0.3">
      <c r="A30" s="24">
        <v>110</v>
      </c>
      <c r="B30" s="22">
        <v>305</v>
      </c>
      <c r="C30" s="22">
        <v>421.2</v>
      </c>
      <c r="D30" s="22"/>
      <c r="E30" s="22"/>
      <c r="F30" s="22">
        <v>824.3</v>
      </c>
      <c r="G30" s="22">
        <v>165</v>
      </c>
      <c r="H30" s="22"/>
      <c r="I30" s="23"/>
    </row>
    <row r="31" spans="1:12" x14ac:dyDescent="0.3">
      <c r="A31" s="24"/>
      <c r="B31" s="22">
        <v>364.3</v>
      </c>
      <c r="C31" s="22">
        <v>150</v>
      </c>
      <c r="D31" s="22"/>
      <c r="E31" s="22"/>
      <c r="F31" s="22">
        <v>165</v>
      </c>
      <c r="G31" s="22"/>
      <c r="H31" s="22"/>
      <c r="I31" s="23"/>
    </row>
    <row r="32" spans="1:12" x14ac:dyDescent="0.3">
      <c r="A32" s="24"/>
      <c r="B32" s="22">
        <v>150</v>
      </c>
      <c r="C32" s="22">
        <v>110</v>
      </c>
      <c r="D32" s="22"/>
      <c r="E32" s="22"/>
      <c r="F32" s="22"/>
      <c r="G32" s="22"/>
      <c r="H32" s="22"/>
      <c r="I32" s="23"/>
    </row>
    <row r="33" spans="1:9" x14ac:dyDescent="0.3">
      <c r="A33" s="24"/>
      <c r="B33" s="22">
        <v>110</v>
      </c>
      <c r="C33" s="22"/>
      <c r="D33" s="22"/>
      <c r="E33" s="22"/>
      <c r="F33" s="22"/>
      <c r="G33" s="22"/>
      <c r="H33" s="22"/>
      <c r="I33" s="23"/>
    </row>
    <row r="34" spans="1:9" x14ac:dyDescent="0.3">
      <c r="A34" s="24"/>
      <c r="B34" s="22"/>
      <c r="C34" s="22"/>
      <c r="D34" s="22"/>
      <c r="E34" s="22"/>
      <c r="F34" s="28"/>
      <c r="G34" s="22"/>
      <c r="H34" s="22"/>
      <c r="I34" s="23"/>
    </row>
    <row r="35" spans="1:9" x14ac:dyDescent="0.3">
      <c r="A35" s="24">
        <f t="shared" ref="A35:G35" si="2">SUM(A21:A34)</f>
        <v>4602.3599999999997</v>
      </c>
      <c r="B35" s="22">
        <f t="shared" si="2"/>
        <v>6627.0499999999993</v>
      </c>
      <c r="C35" s="22">
        <f t="shared" si="2"/>
        <v>4957.67</v>
      </c>
      <c r="D35" s="22">
        <f t="shared" si="2"/>
        <v>4695.82</v>
      </c>
      <c r="E35" s="22">
        <v>480</v>
      </c>
      <c r="F35" s="22">
        <f t="shared" si="2"/>
        <v>5747.88</v>
      </c>
      <c r="G35" s="22">
        <f t="shared" si="2"/>
        <v>5187.57</v>
      </c>
      <c r="H35" s="29">
        <f>SUM(A35:G35)+I27</f>
        <v>52030.03</v>
      </c>
      <c r="I35" s="30" t="s">
        <v>7</v>
      </c>
    </row>
    <row r="36" spans="1:9" x14ac:dyDescent="0.3">
      <c r="A36" s="31">
        <v>4602.3599999999997</v>
      </c>
      <c r="B36" s="32">
        <v>6627.05</v>
      </c>
      <c r="C36" s="32">
        <v>4957.67</v>
      </c>
      <c r="D36" s="32">
        <v>4695.82</v>
      </c>
      <c r="E36" s="32">
        <v>480</v>
      </c>
      <c r="F36" s="32">
        <v>5747.88</v>
      </c>
      <c r="G36" s="32">
        <v>5187.57</v>
      </c>
      <c r="H36" s="22">
        <f>SUM(A36:G36)+I27</f>
        <v>52030.03</v>
      </c>
      <c r="I36" s="33" t="s">
        <v>1</v>
      </c>
    </row>
    <row r="37" spans="1:9" ht="15" thickBot="1" x14ac:dyDescent="0.35">
      <c r="A37" s="34">
        <f>A35-A36</f>
        <v>0</v>
      </c>
      <c r="B37" s="35">
        <f>B35-B36</f>
        <v>0</v>
      </c>
      <c r="C37" s="35">
        <f t="shared" ref="C37:F37" si="3">C35-C36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>G35-G36</f>
        <v>0</v>
      </c>
      <c r="H37" s="35"/>
      <c r="I37" s="36"/>
    </row>
    <row r="38" spans="1:9" ht="15.6" thickTop="1" thickBot="1" x14ac:dyDescent="0.35"/>
    <row r="39" spans="1:9" x14ac:dyDescent="0.3">
      <c r="A39" s="17">
        <v>44937</v>
      </c>
      <c r="B39" s="18">
        <v>44938</v>
      </c>
      <c r="C39" s="18">
        <v>44939</v>
      </c>
      <c r="D39" s="18">
        <v>44940</v>
      </c>
      <c r="E39" s="18">
        <v>44941</v>
      </c>
      <c r="F39" s="18">
        <v>44942</v>
      </c>
      <c r="G39" s="18">
        <v>44943</v>
      </c>
      <c r="H39" s="39"/>
      <c r="I39" s="13" t="s">
        <v>8</v>
      </c>
    </row>
    <row r="40" spans="1:9" x14ac:dyDescent="0.3">
      <c r="A40" s="21">
        <v>110</v>
      </c>
      <c r="B40" s="22">
        <v>440</v>
      </c>
      <c r="C40" s="22">
        <v>330</v>
      </c>
      <c r="D40" s="22">
        <v>220</v>
      </c>
      <c r="E40" s="22">
        <v>370</v>
      </c>
      <c r="F40" s="22">
        <v>550</v>
      </c>
      <c r="G40" s="22">
        <v>440</v>
      </c>
      <c r="H40" s="37"/>
      <c r="I40" s="14">
        <v>4797.26</v>
      </c>
    </row>
    <row r="41" spans="1:9" x14ac:dyDescent="0.3">
      <c r="A41" s="24">
        <v>496.9</v>
      </c>
      <c r="B41" s="22">
        <v>138.44999999999999</v>
      </c>
      <c r="C41" s="22">
        <v>358.45</v>
      </c>
      <c r="D41" s="22">
        <v>386.9</v>
      </c>
      <c r="E41" s="25">
        <v>465</v>
      </c>
      <c r="F41" s="22">
        <v>330</v>
      </c>
      <c r="G41" s="22">
        <v>110</v>
      </c>
      <c r="H41" s="37"/>
      <c r="I41" s="14">
        <v>4990.8</v>
      </c>
    </row>
    <row r="42" spans="1:9" x14ac:dyDescent="0.3">
      <c r="A42" s="24">
        <v>1548.8</v>
      </c>
      <c r="B42" s="22">
        <v>380</v>
      </c>
      <c r="C42" s="22">
        <v>1623.8</v>
      </c>
      <c r="D42" s="26">
        <v>380</v>
      </c>
      <c r="E42" s="22">
        <v>220</v>
      </c>
      <c r="F42" s="22">
        <v>1053.8</v>
      </c>
      <c r="G42" s="22">
        <v>1068.8</v>
      </c>
      <c r="H42" s="37"/>
      <c r="I42" s="15">
        <v>5095</v>
      </c>
    </row>
    <row r="43" spans="1:9" x14ac:dyDescent="0.3">
      <c r="A43" s="24">
        <v>1100.22</v>
      </c>
      <c r="B43" s="22">
        <v>553.79999999999995</v>
      </c>
      <c r="C43" s="22">
        <v>1491.57</v>
      </c>
      <c r="D43" s="25">
        <v>805.35</v>
      </c>
      <c r="E43" s="22"/>
      <c r="F43" s="22">
        <v>1570.95</v>
      </c>
      <c r="G43" s="22">
        <v>1650.33</v>
      </c>
      <c r="H43" s="37"/>
      <c r="I43" s="15">
        <v>4943.92</v>
      </c>
    </row>
    <row r="44" spans="1:9" x14ac:dyDescent="0.3">
      <c r="A44" s="24">
        <v>170</v>
      </c>
      <c r="B44" s="22">
        <v>1395.12</v>
      </c>
      <c r="C44" s="22">
        <v>220</v>
      </c>
      <c r="D44" s="22">
        <v>185</v>
      </c>
      <c r="E44" s="22"/>
      <c r="F44" s="22">
        <v>135</v>
      </c>
      <c r="G44" s="22">
        <v>185</v>
      </c>
      <c r="H44" s="37"/>
      <c r="I44" s="15">
        <v>510.42</v>
      </c>
    </row>
    <row r="45" spans="1:9" x14ac:dyDescent="0.3">
      <c r="A45" s="24">
        <v>147.44999999999999</v>
      </c>
      <c r="B45" s="22">
        <v>185</v>
      </c>
      <c r="C45" s="48">
        <v>147.44999999999999</v>
      </c>
      <c r="D45" s="22">
        <v>370</v>
      </c>
      <c r="E45" s="22"/>
      <c r="F45" s="22">
        <v>220</v>
      </c>
      <c r="G45" s="22">
        <v>270</v>
      </c>
      <c r="H45" s="37"/>
      <c r="I45" s="15"/>
    </row>
    <row r="46" spans="1:9" ht="15" thickBot="1" x14ac:dyDescent="0.35">
      <c r="A46" s="24">
        <v>210</v>
      </c>
      <c r="B46" s="22">
        <v>270</v>
      </c>
      <c r="C46" s="22">
        <v>185</v>
      </c>
      <c r="D46" s="22">
        <v>110</v>
      </c>
      <c r="E46" s="22"/>
      <c r="F46" s="22">
        <v>110</v>
      </c>
      <c r="G46" s="22">
        <v>110</v>
      </c>
      <c r="H46" s="37"/>
      <c r="I46" s="16">
        <f>SUM(I40:I45)</f>
        <v>20337.400000000001</v>
      </c>
    </row>
    <row r="47" spans="1:9" ht="15" thickTop="1" x14ac:dyDescent="0.3">
      <c r="A47" s="24">
        <v>714.3</v>
      </c>
      <c r="B47" s="22">
        <v>185</v>
      </c>
      <c r="C47" s="22">
        <v>502.75</v>
      </c>
      <c r="D47" s="22">
        <v>120</v>
      </c>
      <c r="E47" s="22"/>
      <c r="F47" s="22">
        <v>147.44999999999999</v>
      </c>
      <c r="G47" s="22">
        <v>147.44999999999999</v>
      </c>
      <c r="H47" s="22"/>
      <c r="I47" s="38"/>
    </row>
    <row r="48" spans="1:9" x14ac:dyDescent="0.3">
      <c r="A48" s="24">
        <v>180</v>
      </c>
      <c r="B48" s="22">
        <v>147.44999999999999</v>
      </c>
      <c r="C48" s="22">
        <v>165</v>
      </c>
      <c r="D48" s="22">
        <v>262.75</v>
      </c>
      <c r="E48" s="22"/>
      <c r="F48" s="22">
        <v>80</v>
      </c>
      <c r="G48" s="22">
        <v>235</v>
      </c>
      <c r="H48" s="22"/>
      <c r="I48" s="23"/>
    </row>
    <row r="49" spans="1:22" x14ac:dyDescent="0.3">
      <c r="A49" s="24">
        <v>75</v>
      </c>
      <c r="B49" s="22">
        <v>225</v>
      </c>
      <c r="C49" s="22">
        <v>410</v>
      </c>
      <c r="D49" s="22"/>
      <c r="E49" s="22"/>
      <c r="F49" s="22">
        <v>606.20000000000005</v>
      </c>
      <c r="G49" s="22">
        <v>256.2</v>
      </c>
      <c r="H49" s="22"/>
      <c r="I49" s="23"/>
    </row>
    <row r="50" spans="1:22" x14ac:dyDescent="0.3">
      <c r="A50" s="24">
        <v>690</v>
      </c>
      <c r="B50" s="22">
        <v>392.75</v>
      </c>
      <c r="C50" s="22"/>
      <c r="D50" s="22"/>
      <c r="E50" s="22"/>
      <c r="F50" s="22">
        <v>150</v>
      </c>
      <c r="G50" s="22">
        <v>150</v>
      </c>
      <c r="H50" s="22"/>
      <c r="I50" s="23"/>
    </row>
    <row r="51" spans="1:22" x14ac:dyDescent="0.3">
      <c r="A51" s="24"/>
      <c r="B51" s="22">
        <v>165</v>
      </c>
      <c r="C51" s="22"/>
      <c r="D51" s="22"/>
      <c r="E51" s="22"/>
      <c r="F51" s="22">
        <v>260</v>
      </c>
      <c r="G51" s="22">
        <v>450</v>
      </c>
      <c r="H51" s="22"/>
      <c r="I51" s="23"/>
    </row>
    <row r="52" spans="1:22" x14ac:dyDescent="0.3">
      <c r="A52" s="24"/>
      <c r="B52" s="22">
        <v>470</v>
      </c>
      <c r="C52" s="22"/>
      <c r="D52" s="22"/>
      <c r="E52" s="22"/>
      <c r="F52" s="22"/>
      <c r="G52" s="22"/>
      <c r="H52" s="22"/>
      <c r="I52" s="23"/>
    </row>
    <row r="53" spans="1:22" x14ac:dyDescent="0.3">
      <c r="A53" s="24"/>
      <c r="B53" s="22"/>
      <c r="C53" s="22"/>
      <c r="D53" s="22"/>
      <c r="E53" s="22"/>
      <c r="F53" s="28"/>
      <c r="G53" s="22"/>
      <c r="H53" s="22"/>
      <c r="I53" s="23"/>
    </row>
    <row r="54" spans="1:22" x14ac:dyDescent="0.3">
      <c r="A54" s="24">
        <f t="shared" ref="A54:G54" si="4">SUM(A40:A53)</f>
        <v>5442.67</v>
      </c>
      <c r="B54" s="22">
        <f t="shared" si="4"/>
        <v>4947.57</v>
      </c>
      <c r="C54" s="22">
        <f t="shared" si="4"/>
        <v>5434.0199999999995</v>
      </c>
      <c r="D54" s="22">
        <f t="shared" si="4"/>
        <v>2840</v>
      </c>
      <c r="E54" s="22">
        <f t="shared" si="4"/>
        <v>1055</v>
      </c>
      <c r="F54" s="22">
        <f t="shared" si="4"/>
        <v>5213.3999999999996</v>
      </c>
      <c r="G54" s="22">
        <f t="shared" si="4"/>
        <v>5072.78</v>
      </c>
      <c r="H54" s="29">
        <f>SUM(A54:G54)+I46</f>
        <v>50342.84</v>
      </c>
      <c r="I54" s="30" t="s">
        <v>7</v>
      </c>
    </row>
    <row r="55" spans="1:22" x14ac:dyDescent="0.3">
      <c r="A55" s="31">
        <v>5442.67</v>
      </c>
      <c r="B55" s="32">
        <v>4947.57</v>
      </c>
      <c r="C55" s="32">
        <v>5434.02</v>
      </c>
      <c r="D55" s="32">
        <v>2840</v>
      </c>
      <c r="E55" s="32">
        <v>1055</v>
      </c>
      <c r="F55" s="32">
        <v>5213.3999999999996</v>
      </c>
      <c r="G55" s="32">
        <v>5072.78</v>
      </c>
      <c r="H55" s="22">
        <f>SUM(A55:G55)+I46</f>
        <v>50342.840000000004</v>
      </c>
      <c r="I55" s="33" t="s">
        <v>1</v>
      </c>
    </row>
    <row r="56" spans="1:22" ht="15" thickBot="1" x14ac:dyDescent="0.35">
      <c r="A56" s="34">
        <f>A54-A55</f>
        <v>0</v>
      </c>
      <c r="B56" s="34">
        <f t="shared" ref="B56:F56" si="5">B54-B55</f>
        <v>0</v>
      </c>
      <c r="C56" s="34">
        <f t="shared" si="5"/>
        <v>0</v>
      </c>
      <c r="D56" s="34">
        <f t="shared" si="5"/>
        <v>0</v>
      </c>
      <c r="E56" s="34">
        <f t="shared" si="5"/>
        <v>0</v>
      </c>
      <c r="F56" s="34">
        <f t="shared" si="5"/>
        <v>0</v>
      </c>
      <c r="G56" s="35">
        <f>G54-G55</f>
        <v>0</v>
      </c>
      <c r="H56" s="35"/>
      <c r="I56" s="36"/>
    </row>
    <row r="57" spans="1:22" ht="15.6" thickTop="1" thickBot="1" x14ac:dyDescent="0.35">
      <c r="V57">
        <f>SUM(V15:V56)</f>
        <v>0</v>
      </c>
    </row>
    <row r="58" spans="1:22" x14ac:dyDescent="0.3">
      <c r="A58" s="17">
        <v>44579</v>
      </c>
      <c r="B58" s="18">
        <v>44580</v>
      </c>
      <c r="C58" s="18">
        <v>44581</v>
      </c>
      <c r="D58" s="18">
        <v>44582</v>
      </c>
      <c r="E58" s="18">
        <v>44583</v>
      </c>
      <c r="F58" s="18">
        <v>44584</v>
      </c>
      <c r="G58" s="18">
        <v>44585</v>
      </c>
      <c r="H58" s="39"/>
      <c r="I58" s="13" t="s">
        <v>8</v>
      </c>
    </row>
    <row r="59" spans="1:22" x14ac:dyDescent="0.3">
      <c r="A59" s="21">
        <v>220</v>
      </c>
      <c r="B59" s="22">
        <v>550</v>
      </c>
      <c r="C59" s="22">
        <v>770</v>
      </c>
      <c r="D59" s="45">
        <v>110</v>
      </c>
      <c r="E59" s="22">
        <v>300</v>
      </c>
      <c r="F59" s="22">
        <v>405</v>
      </c>
      <c r="G59" s="22">
        <v>606.9</v>
      </c>
      <c r="H59" s="37"/>
      <c r="I59" s="14">
        <v>638.03</v>
      </c>
    </row>
    <row r="60" spans="1:22" x14ac:dyDescent="0.3">
      <c r="A60" s="24">
        <v>330</v>
      </c>
      <c r="B60" s="22">
        <v>110</v>
      </c>
      <c r="C60" s="22">
        <v>330</v>
      </c>
      <c r="D60" s="45">
        <v>220</v>
      </c>
      <c r="E60" s="52">
        <v>110</v>
      </c>
      <c r="F60" s="22">
        <v>468.45</v>
      </c>
      <c r="G60" s="22">
        <v>110</v>
      </c>
      <c r="H60" s="37"/>
      <c r="I60" s="14">
        <v>700</v>
      </c>
    </row>
    <row r="61" spans="1:22" x14ac:dyDescent="0.3">
      <c r="A61" s="24">
        <v>5</v>
      </c>
      <c r="B61" s="22">
        <v>1108.8</v>
      </c>
      <c r="C61" s="22">
        <v>1443.8</v>
      </c>
      <c r="D61" s="50">
        <v>785</v>
      </c>
      <c r="E61" s="22">
        <v>110</v>
      </c>
      <c r="F61" s="22">
        <v>1155.3499999999999</v>
      </c>
      <c r="G61" s="22">
        <v>1016.9</v>
      </c>
      <c r="H61" s="37"/>
      <c r="I61" s="15">
        <v>4900</v>
      </c>
    </row>
    <row r="62" spans="1:22" x14ac:dyDescent="0.3">
      <c r="A62" s="24">
        <v>1985.64</v>
      </c>
      <c r="B62" s="22">
        <v>1685.64</v>
      </c>
      <c r="C62" s="22">
        <v>1606.26</v>
      </c>
      <c r="D62" s="51">
        <v>110</v>
      </c>
      <c r="E62" s="22"/>
      <c r="F62" s="22">
        <v>1276.05</v>
      </c>
      <c r="G62" s="22">
        <v>1100.22</v>
      </c>
      <c r="H62" s="37"/>
      <c r="I62" s="15">
        <v>4797.26</v>
      </c>
    </row>
    <row r="63" spans="1:22" x14ac:dyDescent="0.3">
      <c r="A63" s="24">
        <v>210</v>
      </c>
      <c r="B63" s="22">
        <v>185</v>
      </c>
      <c r="C63" s="22">
        <v>110</v>
      </c>
      <c r="D63" s="45">
        <v>780</v>
      </c>
      <c r="E63" s="22"/>
      <c r="F63" s="22">
        <v>90</v>
      </c>
      <c r="G63" s="22">
        <v>185</v>
      </c>
      <c r="H63" s="37"/>
      <c r="I63" s="15">
        <v>4389.66</v>
      </c>
    </row>
    <row r="64" spans="1:22" x14ac:dyDescent="0.3">
      <c r="A64" s="24">
        <v>75</v>
      </c>
      <c r="B64" s="22">
        <v>370</v>
      </c>
      <c r="C64" s="22">
        <v>75</v>
      </c>
      <c r="D64" s="22">
        <v>110</v>
      </c>
      <c r="E64" s="22"/>
      <c r="F64" s="22">
        <v>295</v>
      </c>
      <c r="G64" s="22">
        <v>445</v>
      </c>
      <c r="H64" s="37"/>
      <c r="I64" s="15">
        <v>4943.93</v>
      </c>
    </row>
    <row r="65" spans="1:16" ht="15" thickBot="1" x14ac:dyDescent="0.35">
      <c r="A65" s="24">
        <v>222.45</v>
      </c>
      <c r="B65" s="22">
        <v>110</v>
      </c>
      <c r="C65" s="22">
        <v>130</v>
      </c>
      <c r="D65" s="22">
        <v>1100.82</v>
      </c>
      <c r="E65" s="22"/>
      <c r="F65" s="22">
        <v>110</v>
      </c>
      <c r="G65" s="22">
        <v>110</v>
      </c>
      <c r="H65" s="37"/>
      <c r="I65" s="16">
        <f>SUM(I59:I64)</f>
        <v>20368.88</v>
      </c>
    </row>
    <row r="66" spans="1:16" ht="15" thickTop="1" x14ac:dyDescent="0.3">
      <c r="A66" s="24">
        <v>320</v>
      </c>
      <c r="B66" s="22">
        <v>147.44999999999999</v>
      </c>
      <c r="C66" s="22">
        <v>75</v>
      </c>
      <c r="D66" s="22">
        <v>195</v>
      </c>
      <c r="E66" s="22"/>
      <c r="F66" s="22">
        <v>222.45</v>
      </c>
      <c r="G66" s="22">
        <v>147.44999999999999</v>
      </c>
      <c r="H66" s="22"/>
      <c r="I66" s="38"/>
    </row>
    <row r="67" spans="1:16" x14ac:dyDescent="0.3">
      <c r="A67" s="24">
        <v>431.2</v>
      </c>
      <c r="B67" s="22">
        <v>225</v>
      </c>
      <c r="C67" s="22">
        <v>147.44999999999999</v>
      </c>
      <c r="D67" s="22">
        <v>405</v>
      </c>
      <c r="E67" s="22"/>
      <c r="F67" s="22">
        <v>220</v>
      </c>
      <c r="G67" s="22">
        <v>120</v>
      </c>
      <c r="H67" s="22"/>
      <c r="I67" s="23"/>
    </row>
    <row r="68" spans="1:16" x14ac:dyDescent="0.3">
      <c r="A68" s="24">
        <v>165</v>
      </c>
      <c r="B68" s="22">
        <v>366.2</v>
      </c>
      <c r="C68" s="48">
        <v>200</v>
      </c>
      <c r="D68" s="22"/>
      <c r="E68" s="22"/>
      <c r="F68" s="22">
        <v>606.20000000000005</v>
      </c>
      <c r="G68" s="22">
        <v>256.2</v>
      </c>
      <c r="H68" s="22"/>
      <c r="I68" s="23"/>
    </row>
    <row r="69" spans="1:16" x14ac:dyDescent="0.3">
      <c r="A69" s="24">
        <v>110</v>
      </c>
      <c r="B69" s="22">
        <v>165</v>
      </c>
      <c r="C69" s="22">
        <v>256.2</v>
      </c>
      <c r="D69" s="22"/>
      <c r="E69" s="22"/>
      <c r="F69" s="22">
        <v>170</v>
      </c>
      <c r="G69" s="22">
        <v>150</v>
      </c>
      <c r="H69" s="22"/>
      <c r="I69" s="23"/>
      <c r="M69" s="73"/>
    </row>
    <row r="70" spans="1:16" x14ac:dyDescent="0.3">
      <c r="A70" s="24"/>
      <c r="B70" s="22">
        <v>300</v>
      </c>
      <c r="C70" s="22">
        <v>150</v>
      </c>
      <c r="D70" s="22"/>
      <c r="E70" s="22"/>
      <c r="F70" s="22">
        <v>150</v>
      </c>
      <c r="G70" s="22">
        <v>300</v>
      </c>
      <c r="H70" s="22"/>
      <c r="I70" s="23"/>
      <c r="K70" t="s">
        <v>9</v>
      </c>
    </row>
    <row r="71" spans="1:16" x14ac:dyDescent="0.3">
      <c r="A71" s="24"/>
      <c r="B71" s="22"/>
      <c r="C71" s="22"/>
      <c r="D71" s="22"/>
      <c r="E71" s="22"/>
      <c r="F71" s="22"/>
      <c r="G71" s="22"/>
      <c r="H71" s="22"/>
      <c r="I71" s="23"/>
      <c r="M71" s="1"/>
    </row>
    <row r="72" spans="1:16" x14ac:dyDescent="0.3">
      <c r="A72" s="24"/>
      <c r="B72" s="22"/>
      <c r="C72" s="22"/>
      <c r="D72" s="22"/>
      <c r="E72" s="22"/>
      <c r="F72" s="28"/>
      <c r="G72" s="22"/>
      <c r="H72" s="22"/>
      <c r="I72" s="23"/>
    </row>
    <row r="73" spans="1:16" x14ac:dyDescent="0.3">
      <c r="A73" s="24">
        <f t="shared" ref="A73:G73" si="6">SUM(A59:A72)</f>
        <v>4074.29</v>
      </c>
      <c r="B73" s="24">
        <f>SUM(B59:B72)</f>
        <v>5323.09</v>
      </c>
      <c r="C73" s="22">
        <f t="shared" si="6"/>
        <v>5293.71</v>
      </c>
      <c r="D73" s="22">
        <f>SUM(D59:D72)</f>
        <v>3815.8199999999997</v>
      </c>
      <c r="E73" s="22">
        <f t="shared" ref="E73:F73" si="7">SUM(E59:E72)</f>
        <v>520</v>
      </c>
      <c r="F73" s="22">
        <f t="shared" si="7"/>
        <v>5168.4999999999991</v>
      </c>
      <c r="G73" s="22">
        <f t="shared" si="6"/>
        <v>4547.67</v>
      </c>
      <c r="H73" s="29">
        <f>SUM(A73:G73)+I65</f>
        <v>49111.960000000006</v>
      </c>
      <c r="I73" s="30" t="s">
        <v>7</v>
      </c>
    </row>
    <row r="74" spans="1:16" x14ac:dyDescent="0.3">
      <c r="A74" s="31">
        <v>5658.09</v>
      </c>
      <c r="B74" s="22">
        <v>5323.09</v>
      </c>
      <c r="C74" s="32">
        <v>5293.71</v>
      </c>
      <c r="D74" s="32">
        <v>3815.82</v>
      </c>
      <c r="E74" s="32">
        <v>520</v>
      </c>
      <c r="F74" s="32">
        <v>5168.5</v>
      </c>
      <c r="G74" s="32">
        <v>4547.67</v>
      </c>
      <c r="H74" s="22">
        <f>SUM(A74:G74)+I65</f>
        <v>50695.759999999995</v>
      </c>
      <c r="I74" s="33" t="s">
        <v>1</v>
      </c>
    </row>
    <row r="75" spans="1:16" ht="15" thickBot="1" x14ac:dyDescent="0.35">
      <c r="A75" s="34">
        <f>A73-A74</f>
        <v>-1583.8000000000002</v>
      </c>
      <c r="B75" s="34">
        <f>B73-B74</f>
        <v>0</v>
      </c>
      <c r="C75" s="35">
        <f t="shared" ref="C75:F75" si="8">C73-C74</f>
        <v>0</v>
      </c>
      <c r="D75" s="35">
        <f t="shared" si="8"/>
        <v>0</v>
      </c>
      <c r="E75" s="35">
        <f t="shared" si="8"/>
        <v>0</v>
      </c>
      <c r="F75" s="35">
        <f t="shared" si="8"/>
        <v>0</v>
      </c>
      <c r="G75" s="35">
        <f>G73-G74</f>
        <v>0</v>
      </c>
      <c r="H75" s="35"/>
      <c r="I75" s="36"/>
    </row>
    <row r="76" spans="1:16" ht="15.6" thickTop="1" thickBot="1" x14ac:dyDescent="0.35"/>
    <row r="77" spans="1:16" x14ac:dyDescent="0.3">
      <c r="A77" s="17">
        <v>44951</v>
      </c>
      <c r="B77" s="18">
        <v>44952</v>
      </c>
      <c r="C77" s="18">
        <v>44953</v>
      </c>
      <c r="D77" s="18">
        <v>44954</v>
      </c>
      <c r="E77" s="18">
        <v>44955</v>
      </c>
      <c r="F77" s="18">
        <v>44956</v>
      </c>
      <c r="G77" s="18">
        <v>44957</v>
      </c>
      <c r="H77" s="39"/>
      <c r="I77" s="13" t="s">
        <v>8</v>
      </c>
    </row>
    <row r="78" spans="1:16" x14ac:dyDescent="0.3">
      <c r="A78" s="21">
        <v>468.45</v>
      </c>
      <c r="B78" s="22">
        <v>330</v>
      </c>
      <c r="C78" s="22">
        <v>405</v>
      </c>
      <c r="D78" s="22">
        <v>220</v>
      </c>
      <c r="E78" s="22">
        <v>150</v>
      </c>
      <c r="F78" s="22">
        <v>330</v>
      </c>
      <c r="G78" s="22">
        <v>295</v>
      </c>
      <c r="H78" s="37"/>
      <c r="I78" s="54">
        <v>4900</v>
      </c>
    </row>
    <row r="79" spans="1:16" x14ac:dyDescent="0.3">
      <c r="A79" s="24">
        <v>330</v>
      </c>
      <c r="B79" s="22">
        <v>330</v>
      </c>
      <c r="C79" s="22">
        <v>220</v>
      </c>
      <c r="D79" s="22">
        <v>110</v>
      </c>
      <c r="E79" s="25">
        <v>515</v>
      </c>
      <c r="F79" s="22">
        <v>220</v>
      </c>
      <c r="G79" s="22">
        <v>330</v>
      </c>
      <c r="H79" s="37"/>
      <c r="I79" s="54">
        <v>4797.26</v>
      </c>
      <c r="P79" s="53"/>
    </row>
    <row r="80" spans="1:16" x14ac:dyDescent="0.3">
      <c r="A80" s="24">
        <v>970.35</v>
      </c>
      <c r="B80" s="22">
        <v>1143.8</v>
      </c>
      <c r="C80" s="22">
        <v>1218.8</v>
      </c>
      <c r="D80" s="26">
        <v>913.45</v>
      </c>
      <c r="E80" s="22">
        <v>185</v>
      </c>
      <c r="F80" s="22">
        <v>895.35</v>
      </c>
      <c r="G80" s="22">
        <v>791.9</v>
      </c>
      <c r="H80" s="37"/>
      <c r="I80" s="49">
        <f>3690.2+1253.72</f>
        <v>4943.92</v>
      </c>
    </row>
    <row r="81" spans="1:9" x14ac:dyDescent="0.3">
      <c r="A81" s="24">
        <v>1276.05</v>
      </c>
      <c r="B81" s="22">
        <v>1276.05</v>
      </c>
      <c r="C81" s="22">
        <v>1060.53</v>
      </c>
      <c r="D81" s="25">
        <v>185</v>
      </c>
      <c r="E81" s="22">
        <v>185</v>
      </c>
      <c r="F81" s="22">
        <v>215.52</v>
      </c>
      <c r="G81" s="22">
        <v>276.89999999999998</v>
      </c>
      <c r="H81" s="37"/>
      <c r="I81" s="54">
        <v>510.42</v>
      </c>
    </row>
    <row r="82" spans="1:9" x14ac:dyDescent="0.3">
      <c r="A82" s="24">
        <v>245</v>
      </c>
      <c r="B82" s="22">
        <v>150</v>
      </c>
      <c r="C82" s="22">
        <v>275</v>
      </c>
      <c r="D82" s="22">
        <v>445</v>
      </c>
      <c r="E82" s="22"/>
      <c r="F82" s="22">
        <v>1322.67</v>
      </c>
      <c r="G82" s="22">
        <v>215.52</v>
      </c>
      <c r="H82" s="37"/>
      <c r="I82" s="54">
        <v>700</v>
      </c>
    </row>
    <row r="83" spans="1:9" x14ac:dyDescent="0.3">
      <c r="A83" s="24">
        <v>110</v>
      </c>
      <c r="B83" s="22">
        <v>445</v>
      </c>
      <c r="C83" s="22">
        <v>110</v>
      </c>
      <c r="D83" s="22">
        <v>200</v>
      </c>
      <c r="E83" s="22"/>
      <c r="F83" s="22">
        <v>75</v>
      </c>
      <c r="G83" s="22">
        <v>1570.95</v>
      </c>
      <c r="H83" s="37"/>
      <c r="I83" s="54">
        <v>4389.66</v>
      </c>
    </row>
    <row r="84" spans="1:9" ht="15" thickBot="1" x14ac:dyDescent="0.35">
      <c r="A84" s="24">
        <v>147.44999999999999</v>
      </c>
      <c r="B84" s="22">
        <v>147.44999999999999</v>
      </c>
      <c r="C84" s="22">
        <v>147.44999999999999</v>
      </c>
      <c r="D84" s="22">
        <v>266.55</v>
      </c>
      <c r="E84" s="22"/>
      <c r="F84" s="22">
        <v>75</v>
      </c>
      <c r="G84" s="22">
        <v>260</v>
      </c>
      <c r="H84" s="37"/>
      <c r="I84" s="16">
        <f>SUM(I78:I83)</f>
        <v>20241.260000000002</v>
      </c>
    </row>
    <row r="85" spans="1:9" ht="15" thickTop="1" x14ac:dyDescent="0.3">
      <c r="A85" s="24">
        <v>285</v>
      </c>
      <c r="B85" s="22">
        <v>160</v>
      </c>
      <c r="C85" s="22">
        <v>235</v>
      </c>
      <c r="D85" s="22"/>
      <c r="E85" s="22"/>
      <c r="F85" s="22">
        <v>90</v>
      </c>
      <c r="G85" s="22">
        <v>370</v>
      </c>
      <c r="H85" s="22"/>
      <c r="I85" s="40"/>
    </row>
    <row r="86" spans="1:9" x14ac:dyDescent="0.3">
      <c r="A86" s="24">
        <v>606.20000000000005</v>
      </c>
      <c r="B86" s="22">
        <v>256.2</v>
      </c>
      <c r="C86" s="22">
        <v>256.2</v>
      </c>
      <c r="D86" s="22"/>
      <c r="E86" s="22"/>
      <c r="F86" s="22">
        <v>370</v>
      </c>
      <c r="G86" s="22">
        <v>110</v>
      </c>
      <c r="H86" s="22"/>
      <c r="I86" s="27"/>
    </row>
    <row r="87" spans="1:9" x14ac:dyDescent="0.3">
      <c r="A87" s="24">
        <v>165</v>
      </c>
      <c r="B87" s="22">
        <v>110</v>
      </c>
      <c r="C87" s="22">
        <v>110</v>
      </c>
      <c r="D87" s="22"/>
      <c r="E87" s="22"/>
      <c r="F87" s="22">
        <v>110</v>
      </c>
      <c r="G87" s="22">
        <v>147.44999999999999</v>
      </c>
      <c r="H87" s="22"/>
      <c r="I87" s="27"/>
    </row>
    <row r="88" spans="1:9" x14ac:dyDescent="0.3">
      <c r="A88" s="24">
        <v>75</v>
      </c>
      <c r="B88" s="22">
        <v>150</v>
      </c>
      <c r="C88" s="22">
        <v>150</v>
      </c>
      <c r="D88" s="22"/>
      <c r="E88" s="22"/>
      <c r="F88" s="22">
        <v>147.44999999999999</v>
      </c>
      <c r="G88" s="22">
        <v>230</v>
      </c>
      <c r="H88" s="22"/>
      <c r="I88" s="23"/>
    </row>
    <row r="89" spans="1:9" x14ac:dyDescent="0.3">
      <c r="A89" s="24">
        <v>450</v>
      </c>
      <c r="B89" s="22">
        <v>300</v>
      </c>
      <c r="C89" s="22"/>
      <c r="D89" s="22"/>
      <c r="E89" s="22"/>
      <c r="F89" s="22">
        <v>220</v>
      </c>
      <c r="G89" s="22">
        <v>256.2</v>
      </c>
      <c r="H89" s="22"/>
      <c r="I89" s="23"/>
    </row>
    <row r="90" spans="1:9" x14ac:dyDescent="0.3">
      <c r="A90" s="24">
        <v>110</v>
      </c>
      <c r="B90" s="22"/>
      <c r="C90" s="22"/>
      <c r="D90" s="22"/>
      <c r="E90" s="22"/>
      <c r="F90" s="22">
        <v>634.65</v>
      </c>
      <c r="G90" s="22">
        <v>150</v>
      </c>
      <c r="H90" s="22"/>
      <c r="I90" s="23"/>
    </row>
    <row r="91" spans="1:9" x14ac:dyDescent="0.3">
      <c r="A91" s="24"/>
      <c r="B91" s="22"/>
      <c r="C91" s="22"/>
      <c r="D91" s="22"/>
      <c r="E91" s="22"/>
      <c r="F91" s="22">
        <v>275</v>
      </c>
      <c r="G91" s="22"/>
      <c r="H91" s="22"/>
      <c r="I91" s="23"/>
    </row>
    <row r="92" spans="1:9" x14ac:dyDescent="0.3">
      <c r="A92" s="24">
        <f t="shared" ref="A92:G92" si="9">SUM(A78:A91)</f>
        <v>5238.5</v>
      </c>
      <c r="B92" s="22">
        <f t="shared" si="9"/>
        <v>4798.5</v>
      </c>
      <c r="C92" s="22">
        <f t="shared" si="9"/>
        <v>4187.9799999999996</v>
      </c>
      <c r="D92" s="22">
        <f t="shared" si="9"/>
        <v>2340</v>
      </c>
      <c r="E92" s="22">
        <f t="shared" si="9"/>
        <v>1035</v>
      </c>
      <c r="F92" s="22">
        <f t="shared" si="9"/>
        <v>4980.6399999999994</v>
      </c>
      <c r="G92" s="22">
        <f t="shared" si="9"/>
        <v>5003.92</v>
      </c>
      <c r="H92" s="29">
        <f>SUM(A92:G92)+I84</f>
        <v>47825.8</v>
      </c>
      <c r="I92" s="30" t="s">
        <v>7</v>
      </c>
    </row>
    <row r="93" spans="1:9" x14ac:dyDescent="0.3">
      <c r="A93" s="31">
        <v>5238.5</v>
      </c>
      <c r="B93" s="32">
        <v>4798.5</v>
      </c>
      <c r="C93" s="32">
        <v>4187.9799999999996</v>
      </c>
      <c r="D93" s="32">
        <v>2340</v>
      </c>
      <c r="E93" s="32">
        <v>1035</v>
      </c>
      <c r="F93" s="32">
        <v>4980.6400000000003</v>
      </c>
      <c r="G93" s="32">
        <v>5003.92</v>
      </c>
      <c r="H93" s="22">
        <f>SUM(A93:G93)+I84</f>
        <v>47825.8</v>
      </c>
      <c r="I93" s="33" t="s">
        <v>1</v>
      </c>
    </row>
    <row r="94" spans="1:9" ht="15" thickBot="1" x14ac:dyDescent="0.35">
      <c r="A94" s="34">
        <f>A92-A93</f>
        <v>0</v>
      </c>
      <c r="B94" s="35">
        <f>B92-B93</f>
        <v>0</v>
      </c>
      <c r="C94" s="35">
        <f t="shared" ref="C94:F94" si="10">C92-C93</f>
        <v>0</v>
      </c>
      <c r="D94" s="35">
        <f t="shared" si="10"/>
        <v>0</v>
      </c>
      <c r="E94" s="35">
        <f t="shared" si="10"/>
        <v>0</v>
      </c>
      <c r="F94" s="35">
        <f t="shared" si="10"/>
        <v>0</v>
      </c>
      <c r="G94" s="35">
        <f>G92-G93</f>
        <v>0</v>
      </c>
      <c r="H94" s="35"/>
      <c r="I94" s="36"/>
    </row>
    <row r="95" spans="1:9" ht="15" thickTop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5E8-86EF-47B8-8590-C24DAD9C04D9}">
  <dimension ref="A1:Z87"/>
  <sheetViews>
    <sheetView topLeftCell="H59" workbookViewId="0">
      <selection activeCell="AC66" sqref="AC66"/>
    </sheetView>
  </sheetViews>
  <sheetFormatPr defaultRowHeight="14.4" x14ac:dyDescent="0.3"/>
  <cols>
    <col min="1" max="9" width="14.6640625" customWidth="1"/>
    <col min="10" max="10" width="5.109375" customWidth="1"/>
    <col min="11" max="11" width="15.109375" hidden="1" customWidth="1"/>
    <col min="12" max="13" width="12" customWidth="1"/>
    <col min="14" max="15" width="11.44140625" customWidth="1"/>
    <col min="16" max="17" width="10.6640625" customWidth="1"/>
    <col min="18" max="19" width="11" customWidth="1"/>
    <col min="20" max="21" width="11.109375" customWidth="1"/>
    <col min="22" max="23" width="11.5546875" customWidth="1"/>
    <col min="24" max="24" width="12" customWidth="1"/>
    <col min="25" max="25" width="12.6640625" customWidth="1"/>
    <col min="26" max="26" width="16" customWidth="1"/>
  </cols>
  <sheetData>
    <row r="1" spans="1:25" x14ac:dyDescent="0.3">
      <c r="A1" s="17">
        <v>44958</v>
      </c>
      <c r="B1" s="17">
        <v>44959</v>
      </c>
      <c r="C1" s="17">
        <v>44960</v>
      </c>
      <c r="D1" s="17">
        <v>44961</v>
      </c>
      <c r="E1" s="17">
        <v>44962</v>
      </c>
      <c r="F1" s="17">
        <v>44963</v>
      </c>
      <c r="G1" s="17">
        <v>44964</v>
      </c>
      <c r="H1" s="19"/>
      <c r="I1" s="20" t="s">
        <v>8</v>
      </c>
      <c r="J1" s="58"/>
    </row>
    <row r="2" spans="1:25" x14ac:dyDescent="0.3">
      <c r="A2" s="21">
        <v>440</v>
      </c>
      <c r="B2" s="22">
        <v>330</v>
      </c>
      <c r="C2" s="22">
        <v>681.9</v>
      </c>
      <c r="D2" s="22">
        <v>386.9</v>
      </c>
      <c r="E2" s="22">
        <v>150</v>
      </c>
      <c r="F2" s="22">
        <v>543.45000000000005</v>
      </c>
      <c r="G2" s="22">
        <v>440</v>
      </c>
      <c r="H2" s="22"/>
      <c r="I2" s="23">
        <v>215.52</v>
      </c>
      <c r="Y2">
        <v>6495.9</v>
      </c>
    </row>
    <row r="3" spans="1:25" x14ac:dyDescent="0.3">
      <c r="A3" s="24">
        <v>75</v>
      </c>
      <c r="B3" s="22">
        <v>1103.8</v>
      </c>
      <c r="C3" s="22">
        <v>330</v>
      </c>
      <c r="D3" s="22">
        <v>185</v>
      </c>
      <c r="E3" s="25">
        <v>110</v>
      </c>
      <c r="F3" s="22">
        <v>578.45000000000005</v>
      </c>
      <c r="G3" s="22">
        <v>185</v>
      </c>
      <c r="H3" s="22"/>
      <c r="I3" s="23">
        <v>4775</v>
      </c>
      <c r="Y3">
        <v>7075</v>
      </c>
    </row>
    <row r="4" spans="1:25" x14ac:dyDescent="0.3">
      <c r="A4" s="24">
        <v>923.8</v>
      </c>
      <c r="B4" s="22">
        <v>150</v>
      </c>
      <c r="C4" s="22">
        <v>873.45</v>
      </c>
      <c r="D4" s="26">
        <v>625</v>
      </c>
      <c r="E4" s="22">
        <v>110</v>
      </c>
      <c r="F4" s="22">
        <v>1016.9</v>
      </c>
      <c r="G4" s="22">
        <v>345</v>
      </c>
      <c r="H4" s="22"/>
      <c r="I4" s="27">
        <v>4797.26</v>
      </c>
      <c r="J4" s="1"/>
    </row>
    <row r="5" spans="1:25" x14ac:dyDescent="0.3">
      <c r="A5" s="24">
        <v>1695.64</v>
      </c>
      <c r="B5" s="22">
        <v>1355.43</v>
      </c>
      <c r="C5" s="22">
        <v>170</v>
      </c>
      <c r="D5" s="25">
        <v>85</v>
      </c>
      <c r="E5" s="22">
        <v>185</v>
      </c>
      <c r="F5" s="22">
        <v>1685.64</v>
      </c>
      <c r="G5" s="22">
        <v>858.8</v>
      </c>
      <c r="H5" s="22"/>
      <c r="I5" s="27">
        <v>5238.82</v>
      </c>
      <c r="J5" s="1"/>
    </row>
    <row r="6" spans="1:25" x14ac:dyDescent="0.3">
      <c r="A6" s="24">
        <v>60</v>
      </c>
      <c r="B6" s="22">
        <v>110</v>
      </c>
      <c r="C6" s="22">
        <v>1276.05</v>
      </c>
      <c r="D6" s="22">
        <v>660</v>
      </c>
      <c r="E6" s="22"/>
      <c r="F6" s="22">
        <v>185</v>
      </c>
      <c r="G6" s="22">
        <v>1570.95</v>
      </c>
      <c r="H6" s="22"/>
      <c r="I6" s="27">
        <v>3743.1</v>
      </c>
      <c r="J6" s="1"/>
    </row>
    <row r="7" spans="1:25" x14ac:dyDescent="0.3">
      <c r="A7" s="24">
        <v>110</v>
      </c>
      <c r="B7" s="22">
        <v>295</v>
      </c>
      <c r="C7" s="22">
        <v>110</v>
      </c>
      <c r="D7" s="22">
        <v>110</v>
      </c>
      <c r="E7" s="22"/>
      <c r="F7" s="22">
        <v>75</v>
      </c>
      <c r="G7" s="22">
        <v>195</v>
      </c>
      <c r="H7" s="22"/>
      <c r="I7" s="27">
        <v>330</v>
      </c>
      <c r="J7" s="1"/>
    </row>
    <row r="8" spans="1:25" x14ac:dyDescent="0.3">
      <c r="A8" s="24">
        <v>147.44999999999999</v>
      </c>
      <c r="B8" s="22">
        <v>475</v>
      </c>
      <c r="C8" s="22">
        <v>155</v>
      </c>
      <c r="D8" s="22">
        <v>1100.82</v>
      </c>
      <c r="E8" s="22"/>
      <c r="F8" s="22">
        <v>100</v>
      </c>
      <c r="G8" s="22">
        <v>295</v>
      </c>
      <c r="H8" s="37"/>
      <c r="I8" s="27"/>
      <c r="J8" s="1"/>
    </row>
    <row r="9" spans="1:25" x14ac:dyDescent="0.3">
      <c r="A9" s="24">
        <v>165</v>
      </c>
      <c r="B9" s="22">
        <v>147.44999999999999</v>
      </c>
      <c r="C9" s="22">
        <v>110</v>
      </c>
      <c r="D9" s="22">
        <v>230</v>
      </c>
      <c r="E9" s="22"/>
      <c r="F9" s="22">
        <v>305</v>
      </c>
      <c r="G9" s="22">
        <v>147.44999999999999</v>
      </c>
      <c r="H9" s="22"/>
      <c r="I9" s="38"/>
    </row>
    <row r="10" spans="1:25" x14ac:dyDescent="0.3">
      <c r="A10" s="24">
        <v>606.20000000000005</v>
      </c>
      <c r="B10" s="22">
        <v>105</v>
      </c>
      <c r="C10" s="22">
        <v>147.44999999999999</v>
      </c>
      <c r="D10" s="22">
        <v>1714.18</v>
      </c>
      <c r="E10" s="22"/>
      <c r="F10" s="22">
        <v>147.44999999999999</v>
      </c>
      <c r="G10" s="22">
        <v>90</v>
      </c>
      <c r="H10" s="22"/>
      <c r="I10" s="23"/>
    </row>
    <row r="11" spans="1:25" x14ac:dyDescent="0.3">
      <c r="A11" s="24">
        <v>165</v>
      </c>
      <c r="B11" s="22">
        <v>606.20000000000005</v>
      </c>
      <c r="C11" s="22">
        <v>195</v>
      </c>
      <c r="D11" s="22"/>
      <c r="E11" s="22"/>
      <c r="F11" s="22">
        <v>315</v>
      </c>
      <c r="G11" s="22">
        <v>256.2</v>
      </c>
      <c r="H11" s="22"/>
      <c r="I11" s="23"/>
    </row>
    <row r="12" spans="1:25" x14ac:dyDescent="0.3">
      <c r="A12" s="24">
        <v>300</v>
      </c>
      <c r="B12" s="22">
        <v>165</v>
      </c>
      <c r="C12" s="22">
        <v>209.65</v>
      </c>
      <c r="D12" s="22"/>
      <c r="E12" s="22"/>
      <c r="F12" s="22">
        <v>606.20000000000005</v>
      </c>
      <c r="G12" s="22">
        <v>180</v>
      </c>
      <c r="H12" s="22"/>
      <c r="I12" s="23"/>
    </row>
    <row r="13" spans="1:25" x14ac:dyDescent="0.3">
      <c r="A13" s="24"/>
      <c r="B13" s="22">
        <v>320</v>
      </c>
      <c r="C13" s="22">
        <v>150</v>
      </c>
      <c r="D13" s="22"/>
      <c r="E13" s="22"/>
      <c r="F13" s="22">
        <v>165</v>
      </c>
      <c r="G13" s="22">
        <v>320</v>
      </c>
      <c r="H13" s="22"/>
      <c r="I13" s="23"/>
    </row>
    <row r="14" spans="1:25" ht="15" thickBot="1" x14ac:dyDescent="0.35">
      <c r="A14" s="24"/>
      <c r="B14" s="22"/>
      <c r="C14" s="22"/>
      <c r="D14" s="22"/>
      <c r="E14" s="22"/>
      <c r="F14" s="22"/>
      <c r="G14" s="22"/>
      <c r="H14" s="37"/>
      <c r="I14" s="55">
        <f>SUM(I2:I13)</f>
        <v>19099.7</v>
      </c>
    </row>
    <row r="15" spans="1:25" ht="15" thickTop="1" x14ac:dyDescent="0.3">
      <c r="A15" s="24"/>
      <c r="B15" s="22"/>
      <c r="C15" s="22"/>
      <c r="D15" s="22"/>
      <c r="E15" s="22"/>
      <c r="F15" s="22"/>
      <c r="G15" s="22"/>
      <c r="H15" s="22"/>
      <c r="I15" s="38"/>
    </row>
    <row r="16" spans="1:25" x14ac:dyDescent="0.3">
      <c r="A16" s="24"/>
      <c r="B16" s="22"/>
      <c r="C16" s="22"/>
      <c r="D16" s="22"/>
      <c r="E16" s="22"/>
      <c r="F16" s="22"/>
      <c r="G16" s="22"/>
      <c r="H16" s="22"/>
      <c r="I16" s="23"/>
    </row>
    <row r="17" spans="1:26" x14ac:dyDescent="0.3">
      <c r="A17" s="24"/>
      <c r="B17" s="22"/>
      <c r="C17" s="22"/>
      <c r="D17" s="22"/>
      <c r="E17" s="22"/>
      <c r="F17" s="28"/>
      <c r="G17" s="22"/>
      <c r="H17" s="22"/>
      <c r="I17" s="23"/>
    </row>
    <row r="18" spans="1:26" x14ac:dyDescent="0.3">
      <c r="A18" s="24">
        <f t="shared" ref="A18:G18" si="0">SUM(A2:A17)</f>
        <v>4688.09</v>
      </c>
      <c r="B18" s="22">
        <f t="shared" si="0"/>
        <v>5162.88</v>
      </c>
      <c r="C18" s="22">
        <f t="shared" si="0"/>
        <v>4408.4999999999991</v>
      </c>
      <c r="D18" s="22">
        <f t="shared" si="0"/>
        <v>5096.9000000000005</v>
      </c>
      <c r="E18" s="22">
        <f t="shared" si="0"/>
        <v>555</v>
      </c>
      <c r="F18" s="22">
        <f t="shared" si="0"/>
        <v>5723.09</v>
      </c>
      <c r="G18" s="22">
        <f t="shared" si="0"/>
        <v>4883.3999999999996</v>
      </c>
      <c r="H18" s="29">
        <f>SUM(A18:G18)+I14</f>
        <v>49617.56</v>
      </c>
      <c r="I18" s="30" t="s">
        <v>7</v>
      </c>
      <c r="J18" s="12"/>
    </row>
    <row r="19" spans="1:26" x14ac:dyDescent="0.3">
      <c r="A19" s="31">
        <v>4688.09</v>
      </c>
      <c r="B19" s="32">
        <v>5162.88</v>
      </c>
      <c r="C19" s="32">
        <v>4408.5</v>
      </c>
      <c r="D19" s="32">
        <v>5096.8999999999996</v>
      </c>
      <c r="E19" s="32">
        <v>555</v>
      </c>
      <c r="F19" s="32">
        <v>5723.09</v>
      </c>
      <c r="G19" s="32">
        <v>4883.3999999999996</v>
      </c>
      <c r="H19" s="22">
        <f>SUM(A19:G19)+I14</f>
        <v>49617.56</v>
      </c>
      <c r="I19" s="33" t="s">
        <v>1</v>
      </c>
      <c r="J19" s="11"/>
    </row>
    <row r="20" spans="1:26" ht="15" thickBot="1" x14ac:dyDescent="0.35">
      <c r="A20" s="34">
        <f>A18-A19</f>
        <v>0</v>
      </c>
      <c r="B20" s="35">
        <f>B18-B19</f>
        <v>0</v>
      </c>
      <c r="C20" s="35">
        <f t="shared" ref="C20:F20" si="1">C18-C19</f>
        <v>0</v>
      </c>
      <c r="D20" s="35">
        <f t="shared" si="1"/>
        <v>0</v>
      </c>
      <c r="E20" s="35">
        <f t="shared" si="1"/>
        <v>0</v>
      </c>
      <c r="F20" s="35">
        <f t="shared" si="1"/>
        <v>0</v>
      </c>
      <c r="G20" s="35">
        <f>G18-G19</f>
        <v>0</v>
      </c>
      <c r="H20" s="35"/>
      <c r="I20" s="36"/>
    </row>
    <row r="21" spans="1:26" ht="15.6" thickTop="1" thickBot="1" x14ac:dyDescent="0.35"/>
    <row r="22" spans="1:26" x14ac:dyDescent="0.3">
      <c r="A22" s="17">
        <v>44965</v>
      </c>
      <c r="B22" s="17">
        <v>44966</v>
      </c>
      <c r="C22" s="17">
        <v>44967</v>
      </c>
      <c r="D22" s="17">
        <v>44968</v>
      </c>
      <c r="E22" s="17">
        <v>44969</v>
      </c>
      <c r="F22" s="17">
        <v>44970</v>
      </c>
      <c r="G22" s="17">
        <v>44971</v>
      </c>
      <c r="H22" s="39"/>
      <c r="I22" s="13" t="s">
        <v>8</v>
      </c>
      <c r="J22" s="58"/>
      <c r="L22" s="59">
        <v>44965</v>
      </c>
      <c r="M22" s="59"/>
      <c r="N22" s="59">
        <v>44966</v>
      </c>
      <c r="O22" s="59"/>
      <c r="P22" s="59">
        <v>44967</v>
      </c>
      <c r="Q22" s="59"/>
      <c r="R22" s="59">
        <v>44968</v>
      </c>
      <c r="S22" s="59"/>
      <c r="T22" s="59">
        <v>44969</v>
      </c>
      <c r="U22" s="59"/>
      <c r="V22" s="59">
        <v>44970</v>
      </c>
      <c r="W22" s="59"/>
      <c r="X22" s="59">
        <v>44971</v>
      </c>
      <c r="Y22" s="60"/>
      <c r="Z22" s="13"/>
    </row>
    <row r="23" spans="1:26" ht="15" thickBot="1" x14ac:dyDescent="0.35">
      <c r="A23" s="21">
        <v>75</v>
      </c>
      <c r="B23" s="22">
        <v>625</v>
      </c>
      <c r="C23" s="22">
        <v>1891.9</v>
      </c>
      <c r="D23" s="22">
        <v>1477.25</v>
      </c>
      <c r="E23" s="22">
        <v>150</v>
      </c>
      <c r="F23" s="22">
        <v>1938.8</v>
      </c>
      <c r="G23" s="22">
        <v>1788.8</v>
      </c>
      <c r="H23" s="37"/>
      <c r="I23" s="14">
        <v>4797.26</v>
      </c>
      <c r="L23" s="66" t="s">
        <v>10</v>
      </c>
      <c r="M23" s="66" t="s">
        <v>11</v>
      </c>
      <c r="N23" s="67" t="s">
        <v>10</v>
      </c>
      <c r="O23" s="67" t="s">
        <v>11</v>
      </c>
      <c r="P23" s="67" t="s">
        <v>10</v>
      </c>
      <c r="Q23" s="67" t="s">
        <v>11</v>
      </c>
      <c r="R23" s="67" t="s">
        <v>10</v>
      </c>
      <c r="S23" s="67" t="s">
        <v>11</v>
      </c>
      <c r="T23" s="67" t="s">
        <v>10</v>
      </c>
      <c r="U23" s="67" t="s">
        <v>11</v>
      </c>
      <c r="V23" s="67" t="s">
        <v>10</v>
      </c>
      <c r="W23" s="67" t="s">
        <v>11</v>
      </c>
      <c r="X23" s="67" t="s">
        <v>10</v>
      </c>
      <c r="Y23" s="67" t="s">
        <v>11</v>
      </c>
      <c r="Z23" s="14"/>
    </row>
    <row r="24" spans="1:26" x14ac:dyDescent="0.3">
      <c r="A24" s="24">
        <v>110</v>
      </c>
      <c r="B24" s="22">
        <v>358.45</v>
      </c>
      <c r="C24" s="22">
        <v>2054.02</v>
      </c>
      <c r="D24" s="22">
        <v>860</v>
      </c>
      <c r="E24" s="25">
        <v>240</v>
      </c>
      <c r="F24" s="22">
        <v>2693.09</v>
      </c>
      <c r="G24" s="22">
        <v>2172.88</v>
      </c>
      <c r="H24" s="37"/>
      <c r="I24" s="14">
        <v>3743.1</v>
      </c>
      <c r="L24" s="61">
        <v>1530</v>
      </c>
      <c r="M24" s="62">
        <v>1620</v>
      </c>
      <c r="N24" s="63">
        <v>1200</v>
      </c>
      <c r="O24" s="63">
        <v>125</v>
      </c>
      <c r="P24" s="63">
        <v>4350</v>
      </c>
      <c r="Q24" s="63">
        <v>60</v>
      </c>
      <c r="R24" s="63">
        <v>2430</v>
      </c>
      <c r="S24" s="63">
        <v>257</v>
      </c>
      <c r="T24" s="64">
        <v>300</v>
      </c>
      <c r="U24" s="64"/>
      <c r="V24" s="63">
        <v>4080</v>
      </c>
      <c r="W24" s="63">
        <v>42.5</v>
      </c>
      <c r="X24" s="63">
        <v>3900</v>
      </c>
      <c r="Y24" s="65">
        <v>60</v>
      </c>
      <c r="Z24" s="14"/>
    </row>
    <row r="25" spans="1:26" x14ac:dyDescent="0.3">
      <c r="A25" s="24">
        <v>405</v>
      </c>
      <c r="B25" s="22">
        <v>1310.3499999999999</v>
      </c>
      <c r="C25" s="22">
        <v>243.1</v>
      </c>
      <c r="D25" s="26">
        <v>592.75</v>
      </c>
      <c r="E25" s="22">
        <v>110</v>
      </c>
      <c r="F25" s="22">
        <v>771.2</v>
      </c>
      <c r="G25" s="22">
        <v>726.2</v>
      </c>
      <c r="H25" s="37"/>
      <c r="I25" s="15">
        <v>4943.92</v>
      </c>
      <c r="J25" s="1"/>
      <c r="L25" s="24">
        <v>1530</v>
      </c>
      <c r="M25" s="56">
        <v>65</v>
      </c>
      <c r="N25" s="22">
        <v>1320</v>
      </c>
      <c r="O25" s="22">
        <v>60</v>
      </c>
      <c r="P25" s="22">
        <v>1730</v>
      </c>
      <c r="Q25" s="22">
        <v>20</v>
      </c>
      <c r="R25" s="26">
        <v>880</v>
      </c>
      <c r="S25" s="26">
        <v>60</v>
      </c>
      <c r="T25" s="22">
        <v>1575</v>
      </c>
      <c r="U25" s="22"/>
      <c r="V25" s="22">
        <v>1450</v>
      </c>
      <c r="W25" s="22">
        <v>24</v>
      </c>
      <c r="X25" s="22">
        <v>1920</v>
      </c>
      <c r="Y25" s="37">
        <v>30</v>
      </c>
      <c r="Z25" s="15"/>
    </row>
    <row r="26" spans="1:26" x14ac:dyDescent="0.3">
      <c r="A26" s="24">
        <v>930.35</v>
      </c>
      <c r="B26" s="22">
        <v>1383.81</v>
      </c>
      <c r="C26" s="22"/>
      <c r="D26" s="25"/>
      <c r="E26" s="22">
        <v>110</v>
      </c>
      <c r="F26" s="22"/>
      <c r="G26" s="22"/>
      <c r="H26" s="37"/>
      <c r="I26" s="15">
        <v>4270</v>
      </c>
      <c r="J26" s="1"/>
      <c r="L26" s="24">
        <v>1260</v>
      </c>
      <c r="M26" s="56">
        <v>30</v>
      </c>
      <c r="N26" s="22">
        <v>90</v>
      </c>
      <c r="O26" s="22"/>
      <c r="P26" s="22">
        <v>290</v>
      </c>
      <c r="Q26" s="22">
        <v>37.5</v>
      </c>
      <c r="R26" s="25">
        <v>90</v>
      </c>
      <c r="S26" s="25"/>
      <c r="T26" s="22">
        <v>120</v>
      </c>
      <c r="U26" s="22"/>
      <c r="V26" s="22">
        <v>405</v>
      </c>
      <c r="W26" s="22"/>
      <c r="X26" s="22">
        <v>650</v>
      </c>
      <c r="Y26" s="37">
        <v>125</v>
      </c>
      <c r="Z26" s="15"/>
    </row>
    <row r="27" spans="1:26" x14ac:dyDescent="0.3">
      <c r="A27" s="24">
        <v>138.44999999999999</v>
      </c>
      <c r="B27" s="22">
        <v>280</v>
      </c>
      <c r="C27" s="22"/>
      <c r="D27" s="22"/>
      <c r="E27" s="22"/>
      <c r="F27" s="22"/>
      <c r="G27" s="22"/>
      <c r="H27" s="37"/>
      <c r="I27" s="15">
        <v>350</v>
      </c>
      <c r="J27" s="1"/>
      <c r="L27" s="24">
        <v>120</v>
      </c>
      <c r="M27" s="56">
        <v>80</v>
      </c>
      <c r="N27" s="22">
        <v>870</v>
      </c>
      <c r="O27" s="22"/>
      <c r="P27" s="22">
        <v>210</v>
      </c>
      <c r="Q27" s="22">
        <v>189</v>
      </c>
      <c r="R27" s="22">
        <v>288</v>
      </c>
      <c r="S27" s="22"/>
      <c r="T27" s="22">
        <v>72</v>
      </c>
      <c r="U27" s="22"/>
      <c r="V27" s="22">
        <v>435</v>
      </c>
      <c r="W27" s="22"/>
      <c r="X27" s="22">
        <v>264</v>
      </c>
      <c r="Y27" s="37"/>
      <c r="Z27" s="15"/>
    </row>
    <row r="28" spans="1:26" x14ac:dyDescent="0.3">
      <c r="A28" s="24">
        <v>1570.95</v>
      </c>
      <c r="B28" s="22">
        <v>222.45</v>
      </c>
      <c r="C28" s="22"/>
      <c r="D28" s="22"/>
      <c r="E28" s="22"/>
      <c r="F28" s="22"/>
      <c r="G28" s="22"/>
      <c r="H28" s="37"/>
      <c r="I28" s="15">
        <v>294.89999999999998</v>
      </c>
      <c r="J28" s="1"/>
      <c r="L28" s="24">
        <v>110</v>
      </c>
      <c r="M28" s="56">
        <v>30</v>
      </c>
      <c r="N28" s="22">
        <v>120</v>
      </c>
      <c r="O28" s="22"/>
      <c r="P28" s="22">
        <v>162</v>
      </c>
      <c r="Q28" s="22"/>
      <c r="R28" s="22">
        <v>24</v>
      </c>
      <c r="S28" s="22"/>
      <c r="T28" s="22"/>
      <c r="U28" s="22"/>
      <c r="V28" s="22">
        <v>336</v>
      </c>
      <c r="W28" s="22"/>
      <c r="X28" s="22">
        <v>24</v>
      </c>
      <c r="Y28" s="37"/>
      <c r="Z28" s="15"/>
    </row>
    <row r="29" spans="1:26" ht="15" thickBot="1" x14ac:dyDescent="0.35">
      <c r="A29" s="24">
        <v>265</v>
      </c>
      <c r="B29" s="22">
        <v>120</v>
      </c>
      <c r="C29" s="22"/>
      <c r="D29" s="22"/>
      <c r="E29" s="22"/>
      <c r="F29" s="22"/>
      <c r="G29" s="22"/>
      <c r="H29" s="37"/>
      <c r="I29" s="16">
        <f>SUM(I23:I28)</f>
        <v>18399.18</v>
      </c>
      <c r="J29" s="1"/>
      <c r="L29" s="24">
        <v>60</v>
      </c>
      <c r="M29" s="56"/>
      <c r="N29" s="22">
        <v>210</v>
      </c>
      <c r="O29" s="22"/>
      <c r="P29" s="22"/>
      <c r="Q29" s="22"/>
      <c r="R29" s="22"/>
      <c r="S29" s="22"/>
      <c r="T29" s="22"/>
      <c r="U29" s="22"/>
      <c r="V29" s="22">
        <v>129</v>
      </c>
      <c r="W29" s="22"/>
      <c r="X29" s="22"/>
      <c r="Y29" s="37"/>
      <c r="Z29" s="16">
        <f>SUM(Z23:Z28)</f>
        <v>0</v>
      </c>
    </row>
    <row r="30" spans="1:26" ht="15" thickTop="1" x14ac:dyDescent="0.3">
      <c r="A30" s="24">
        <v>185</v>
      </c>
      <c r="B30" s="22">
        <v>411.2</v>
      </c>
      <c r="C30" s="22"/>
      <c r="D30" s="22"/>
      <c r="E30" s="22"/>
      <c r="F30" s="22"/>
      <c r="G30" s="22"/>
      <c r="H30" s="22"/>
      <c r="I30" s="38"/>
      <c r="L30" s="24">
        <v>120</v>
      </c>
      <c r="M30" s="56"/>
      <c r="N30" s="22">
        <v>210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38"/>
    </row>
    <row r="31" spans="1:26" x14ac:dyDescent="0.3">
      <c r="A31" s="24">
        <v>147.44999999999999</v>
      </c>
      <c r="B31" s="22">
        <v>150</v>
      </c>
      <c r="C31" s="22"/>
      <c r="D31" s="22"/>
      <c r="E31" s="22"/>
      <c r="F31" s="22"/>
      <c r="G31" s="22"/>
      <c r="H31" s="22"/>
      <c r="I31" s="23"/>
      <c r="L31" s="24">
        <v>440</v>
      </c>
      <c r="M31" s="56"/>
      <c r="N31" s="22">
        <v>210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3"/>
    </row>
    <row r="32" spans="1:26" x14ac:dyDescent="0.3">
      <c r="A32" s="24">
        <v>155</v>
      </c>
      <c r="B32" s="22">
        <v>170</v>
      </c>
      <c r="C32" s="22"/>
      <c r="D32" s="22"/>
      <c r="E32" s="22"/>
      <c r="F32" s="22"/>
      <c r="G32" s="22"/>
      <c r="H32" s="22"/>
      <c r="I32" s="23"/>
      <c r="L32" s="24">
        <v>30</v>
      </c>
      <c r="M32" s="56"/>
      <c r="N32" s="22">
        <v>60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</row>
    <row r="33" spans="1:26" x14ac:dyDescent="0.3">
      <c r="A33" s="24">
        <v>606.20000000000005</v>
      </c>
      <c r="B33" s="22"/>
      <c r="C33" s="22"/>
      <c r="D33" s="22"/>
      <c r="E33" s="22"/>
      <c r="F33" s="22"/>
      <c r="G33" s="22"/>
      <c r="H33" s="22"/>
      <c r="I33" s="23"/>
      <c r="L33" s="24">
        <v>60</v>
      </c>
      <c r="M33" s="56"/>
      <c r="N33" s="22">
        <v>480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</row>
    <row r="34" spans="1:26" x14ac:dyDescent="0.3">
      <c r="A34" s="24">
        <v>150</v>
      </c>
      <c r="B34" s="22"/>
      <c r="C34" s="22"/>
      <c r="D34" s="22"/>
      <c r="E34" s="22"/>
      <c r="F34" s="22"/>
      <c r="G34" s="22"/>
      <c r="H34" s="22"/>
      <c r="I34" s="23"/>
      <c r="L34" s="24">
        <v>450</v>
      </c>
      <c r="M34" s="56"/>
      <c r="N34" s="22">
        <v>220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3"/>
    </row>
    <row r="35" spans="1:26" x14ac:dyDescent="0.3">
      <c r="A35" s="24">
        <v>380</v>
      </c>
      <c r="B35" s="22"/>
      <c r="C35" s="22"/>
      <c r="D35" s="22"/>
      <c r="E35" s="22"/>
      <c r="F35" s="22"/>
      <c r="G35" s="22"/>
      <c r="H35" s="22"/>
      <c r="I35" s="23"/>
      <c r="L35" s="24">
        <v>186</v>
      </c>
      <c r="M35" s="56"/>
      <c r="N35" s="22">
        <v>30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3"/>
    </row>
    <row r="36" spans="1:26" x14ac:dyDescent="0.3">
      <c r="A36" s="24"/>
      <c r="B36" s="22"/>
      <c r="C36" s="22"/>
      <c r="D36" s="22"/>
      <c r="E36" s="22"/>
      <c r="F36" s="22"/>
      <c r="G36" s="22"/>
      <c r="H36" s="22"/>
      <c r="I36" s="23"/>
      <c r="L36" s="24"/>
      <c r="M36" s="56"/>
      <c r="N36" s="22">
        <v>360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3"/>
    </row>
    <row r="37" spans="1:26" x14ac:dyDescent="0.3">
      <c r="A37" s="24"/>
      <c r="B37" s="22"/>
      <c r="C37" s="22"/>
      <c r="D37" s="22"/>
      <c r="E37" s="22"/>
      <c r="F37" s="22"/>
      <c r="G37" s="22"/>
      <c r="H37" s="22"/>
      <c r="I37" s="23"/>
      <c r="L37" s="24"/>
      <c r="M37" s="56"/>
      <c r="N37" s="22">
        <v>210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3"/>
    </row>
    <row r="38" spans="1:26" x14ac:dyDescent="0.3">
      <c r="A38" s="24"/>
      <c r="B38" s="22"/>
      <c r="C38" s="22"/>
      <c r="D38" s="22"/>
      <c r="E38" s="22"/>
      <c r="F38" s="22"/>
      <c r="G38" s="22"/>
      <c r="H38" s="22"/>
      <c r="I38" s="23"/>
      <c r="L38" s="24"/>
      <c r="M38" s="56"/>
      <c r="N38" s="22">
        <v>192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3"/>
    </row>
    <row r="39" spans="1:26" x14ac:dyDescent="0.3">
      <c r="A39" s="24"/>
      <c r="B39" s="22"/>
      <c r="C39" s="22"/>
      <c r="D39" s="22"/>
      <c r="E39" s="22"/>
      <c r="F39" s="28"/>
      <c r="G39" s="22"/>
      <c r="H39" s="22"/>
      <c r="I39" s="23"/>
      <c r="L39" s="24"/>
      <c r="M39" s="56"/>
      <c r="N39" s="22">
        <v>72</v>
      </c>
      <c r="O39" s="22"/>
      <c r="P39" s="22"/>
      <c r="Q39" s="22"/>
      <c r="R39" s="22"/>
      <c r="S39" s="22"/>
      <c r="T39" s="22"/>
      <c r="U39" s="22"/>
      <c r="V39" s="28"/>
      <c r="W39" s="28"/>
      <c r="X39" s="22"/>
      <c r="Y39" s="22"/>
      <c r="Z39" s="23"/>
    </row>
    <row r="40" spans="1:26" x14ac:dyDescent="0.3">
      <c r="A40" s="22">
        <f t="shared" ref="A40:G40" si="2">SUM(A23:A39)</f>
        <v>5118.3999999999996</v>
      </c>
      <c r="B40" s="22">
        <f t="shared" si="2"/>
        <v>5031.26</v>
      </c>
      <c r="C40" s="22">
        <f t="shared" si="2"/>
        <v>4189.0200000000004</v>
      </c>
      <c r="D40" s="22">
        <f t="shared" si="2"/>
        <v>2930</v>
      </c>
      <c r="E40" s="22">
        <f t="shared" si="2"/>
        <v>610</v>
      </c>
      <c r="F40" s="22">
        <f t="shared" si="2"/>
        <v>5403.09</v>
      </c>
      <c r="G40" s="22">
        <f t="shared" si="2"/>
        <v>4687.88</v>
      </c>
      <c r="H40" s="29">
        <f>SUM(A40:G40)+I29</f>
        <v>46368.83</v>
      </c>
      <c r="I40" s="30" t="s">
        <v>7</v>
      </c>
      <c r="J40" s="12"/>
      <c r="L40" s="22">
        <f>SUM(L24:L39)</f>
        <v>5896</v>
      </c>
      <c r="M40" s="22">
        <f t="shared" ref="M40:X40" si="3">SUM(M24:M39)</f>
        <v>1825</v>
      </c>
      <c r="N40" s="22">
        <f t="shared" si="3"/>
        <v>5854</v>
      </c>
      <c r="O40" s="22">
        <f t="shared" si="3"/>
        <v>185</v>
      </c>
      <c r="P40" s="22">
        <f t="shared" si="3"/>
        <v>6742</v>
      </c>
      <c r="Q40" s="22">
        <f t="shared" si="3"/>
        <v>306.5</v>
      </c>
      <c r="R40" s="22">
        <f t="shared" si="3"/>
        <v>3712</v>
      </c>
      <c r="S40" s="22">
        <f t="shared" si="3"/>
        <v>317</v>
      </c>
      <c r="T40" s="22">
        <f t="shared" si="3"/>
        <v>2067</v>
      </c>
      <c r="U40" s="22">
        <f t="shared" si="3"/>
        <v>0</v>
      </c>
      <c r="V40" s="22">
        <f t="shared" si="3"/>
        <v>6835</v>
      </c>
      <c r="W40" s="22">
        <f t="shared" si="3"/>
        <v>66.5</v>
      </c>
      <c r="X40" s="22">
        <f t="shared" si="3"/>
        <v>6758</v>
      </c>
      <c r="Y40" s="22">
        <f>SUM(Y24:Y39)</f>
        <v>215</v>
      </c>
      <c r="Z40" s="33">
        <f>L41+N41+P41+R41+T41+V41+X41</f>
        <v>37864</v>
      </c>
    </row>
    <row r="41" spans="1:26" x14ac:dyDescent="0.3">
      <c r="A41" s="31">
        <v>5118.3999999999996</v>
      </c>
      <c r="B41" s="32">
        <v>5031.26</v>
      </c>
      <c r="C41" s="32">
        <v>4189.0200000000004</v>
      </c>
      <c r="D41" s="32">
        <v>2930</v>
      </c>
      <c r="E41" s="32">
        <v>610</v>
      </c>
      <c r="F41" s="32">
        <v>5403.09</v>
      </c>
      <c r="G41" s="32">
        <v>4687.88</v>
      </c>
      <c r="H41" s="22">
        <f>SUM(A41:G41)+I29</f>
        <v>46368.83</v>
      </c>
      <c r="I41" s="33" t="s">
        <v>1</v>
      </c>
      <c r="J41" s="11"/>
      <c r="K41" s="68" t="s">
        <v>12</v>
      </c>
      <c r="L41" s="31">
        <v>5896</v>
      </c>
      <c r="M41" s="57">
        <v>1825</v>
      </c>
      <c r="N41" s="32">
        <v>5854</v>
      </c>
      <c r="O41" s="32">
        <v>185</v>
      </c>
      <c r="P41" s="32">
        <v>6742</v>
      </c>
      <c r="Q41" s="32">
        <v>306.5</v>
      </c>
      <c r="R41" s="32">
        <v>3712</v>
      </c>
      <c r="S41" s="32">
        <v>317</v>
      </c>
      <c r="T41" s="32">
        <v>2067</v>
      </c>
      <c r="U41" s="32">
        <v>0</v>
      </c>
      <c r="V41" s="32">
        <v>6835</v>
      </c>
      <c r="W41" s="32">
        <v>66.5</v>
      </c>
      <c r="X41" s="32">
        <v>6758</v>
      </c>
      <c r="Y41" s="22">
        <v>215</v>
      </c>
      <c r="Z41" s="33">
        <f>M41+O41+Q41+S41+U41+W41+Y41</f>
        <v>2915</v>
      </c>
    </row>
    <row r="42" spans="1:26" ht="15" thickBot="1" x14ac:dyDescent="0.35">
      <c r="A42" s="34">
        <f>A40-A41</f>
        <v>0</v>
      </c>
      <c r="B42" s="35">
        <f>B40-B41</f>
        <v>0</v>
      </c>
      <c r="C42" s="35">
        <f t="shared" ref="C42:F42" si="4">C40-C41</f>
        <v>0</v>
      </c>
      <c r="D42" s="35">
        <f t="shared" si="4"/>
        <v>0</v>
      </c>
      <c r="E42" s="35">
        <f t="shared" si="4"/>
        <v>0</v>
      </c>
      <c r="F42" s="35">
        <f t="shared" si="4"/>
        <v>0</v>
      </c>
      <c r="G42" s="35">
        <f>G40-G41</f>
        <v>0</v>
      </c>
      <c r="H42" s="35"/>
      <c r="I42" s="36"/>
      <c r="K42" s="68" t="s">
        <v>13</v>
      </c>
      <c r="L42" s="34">
        <f>L40-L41</f>
        <v>0</v>
      </c>
      <c r="M42" s="34">
        <f t="shared" ref="M42:Y42" si="5">M40-M41</f>
        <v>0</v>
      </c>
      <c r="N42" s="34">
        <f t="shared" si="5"/>
        <v>0</v>
      </c>
      <c r="O42" s="34">
        <f t="shared" si="5"/>
        <v>0</v>
      </c>
      <c r="P42" s="34">
        <f t="shared" si="5"/>
        <v>0</v>
      </c>
      <c r="Q42" s="34">
        <f t="shared" si="5"/>
        <v>0</v>
      </c>
      <c r="R42" s="34">
        <f t="shared" si="5"/>
        <v>0</v>
      </c>
      <c r="S42" s="34">
        <f t="shared" si="5"/>
        <v>0</v>
      </c>
      <c r="T42" s="34">
        <f t="shared" si="5"/>
        <v>0</v>
      </c>
      <c r="U42" s="34">
        <f t="shared" si="5"/>
        <v>0</v>
      </c>
      <c r="V42" s="34">
        <f t="shared" si="5"/>
        <v>0</v>
      </c>
      <c r="W42" s="34">
        <f t="shared" si="5"/>
        <v>0</v>
      </c>
      <c r="X42" s="34">
        <f t="shared" si="5"/>
        <v>0</v>
      </c>
      <c r="Y42" s="34">
        <f t="shared" si="5"/>
        <v>0</v>
      </c>
      <c r="Z42" s="36"/>
    </row>
    <row r="43" spans="1:26" ht="15.6" thickTop="1" thickBot="1" x14ac:dyDescent="0.35"/>
    <row r="44" spans="1:26" x14ac:dyDescent="0.3">
      <c r="A44" s="17">
        <v>44972</v>
      </c>
      <c r="B44" s="17">
        <v>44973</v>
      </c>
      <c r="C44" s="17">
        <v>44974</v>
      </c>
      <c r="D44" s="17">
        <v>44975</v>
      </c>
      <c r="E44" s="17">
        <v>44976</v>
      </c>
      <c r="F44" s="17">
        <v>44977</v>
      </c>
      <c r="G44" s="17">
        <v>44978</v>
      </c>
      <c r="H44" s="39"/>
      <c r="I44" s="13" t="s">
        <v>8</v>
      </c>
      <c r="J44" s="58"/>
      <c r="L44" s="59">
        <v>44972</v>
      </c>
      <c r="M44" s="59"/>
      <c r="N44" s="59">
        <v>44973</v>
      </c>
      <c r="O44" s="59"/>
      <c r="P44" s="59">
        <v>44974</v>
      </c>
      <c r="Q44" s="59"/>
      <c r="R44" s="59">
        <v>44975</v>
      </c>
      <c r="S44" s="59"/>
      <c r="T44" s="59">
        <v>44976</v>
      </c>
      <c r="U44" s="59"/>
      <c r="V44" s="59">
        <v>44977</v>
      </c>
      <c r="W44" s="59"/>
      <c r="X44" s="59">
        <v>44978</v>
      </c>
      <c r="Y44" s="60"/>
      <c r="Z44" s="13"/>
    </row>
    <row r="45" spans="1:26" ht="15" thickBot="1" x14ac:dyDescent="0.35">
      <c r="A45" s="21">
        <v>1653.8</v>
      </c>
      <c r="B45" s="22">
        <v>1555.35</v>
      </c>
      <c r="C45" s="22">
        <v>885</v>
      </c>
      <c r="D45" s="22">
        <v>1455</v>
      </c>
      <c r="E45" s="22">
        <v>540</v>
      </c>
      <c r="F45" s="22">
        <v>1815.35</v>
      </c>
      <c r="G45" s="22">
        <v>1873.8</v>
      </c>
      <c r="H45" s="37"/>
      <c r="I45" s="47">
        <v>3743.1</v>
      </c>
      <c r="L45" s="66" t="s">
        <v>10</v>
      </c>
      <c r="M45" s="66" t="s">
        <v>11</v>
      </c>
      <c r="N45" s="67" t="s">
        <v>10</v>
      </c>
      <c r="O45" s="67" t="s">
        <v>11</v>
      </c>
      <c r="P45" s="67" t="s">
        <v>10</v>
      </c>
      <c r="Q45" s="67" t="s">
        <v>11</v>
      </c>
      <c r="R45" s="67" t="s">
        <v>10</v>
      </c>
      <c r="S45" s="67" t="s">
        <v>11</v>
      </c>
      <c r="T45" s="67" t="s">
        <v>10</v>
      </c>
      <c r="U45" s="67" t="s">
        <v>11</v>
      </c>
      <c r="V45" s="67" t="s">
        <v>10</v>
      </c>
      <c r="W45" s="67" t="s">
        <v>11</v>
      </c>
      <c r="X45" s="67" t="s">
        <v>10</v>
      </c>
      <c r="Y45" s="67" t="s">
        <v>11</v>
      </c>
      <c r="Z45" s="14"/>
    </row>
    <row r="46" spans="1:26" x14ac:dyDescent="0.3">
      <c r="A46" s="24">
        <v>2283.4</v>
      </c>
      <c r="B46" s="22">
        <v>248.45</v>
      </c>
      <c r="C46" s="22">
        <v>1146.9000000000001</v>
      </c>
      <c r="D46" s="22">
        <v>2155.8200000000002</v>
      </c>
      <c r="E46" s="25">
        <v>220</v>
      </c>
      <c r="F46" s="22">
        <v>3088.09</v>
      </c>
      <c r="G46" s="22">
        <v>1426.05</v>
      </c>
      <c r="H46" s="37"/>
      <c r="I46" s="47">
        <v>3690.2</v>
      </c>
      <c r="L46" s="61">
        <v>4350</v>
      </c>
      <c r="M46" s="62">
        <v>60</v>
      </c>
      <c r="N46" s="63">
        <v>3990</v>
      </c>
      <c r="O46" s="63">
        <v>120</v>
      </c>
      <c r="P46" s="63">
        <v>2790</v>
      </c>
      <c r="Q46" s="63">
        <v>60</v>
      </c>
      <c r="R46" s="63">
        <v>2430</v>
      </c>
      <c r="S46" s="63">
        <v>45</v>
      </c>
      <c r="T46" s="64">
        <v>180</v>
      </c>
      <c r="U46" s="64"/>
      <c r="V46" s="63">
        <v>2740</v>
      </c>
      <c r="W46" s="63">
        <v>50</v>
      </c>
      <c r="X46" s="63">
        <v>3930</v>
      </c>
      <c r="Y46" s="65">
        <v>1680</v>
      </c>
      <c r="Z46" s="14"/>
    </row>
    <row r="47" spans="1:26" x14ac:dyDescent="0.3">
      <c r="A47" s="24">
        <v>1576.2</v>
      </c>
      <c r="B47" s="22">
        <v>2483.5</v>
      </c>
      <c r="C47" s="22">
        <v>1917.98</v>
      </c>
      <c r="D47" s="26">
        <v>220</v>
      </c>
      <c r="E47" s="22"/>
      <c r="F47" s="22">
        <v>914.65</v>
      </c>
      <c r="G47" s="22">
        <v>852.45</v>
      </c>
      <c r="H47" s="37"/>
      <c r="I47" s="47">
        <v>725.94</v>
      </c>
      <c r="J47" s="1"/>
      <c r="L47" s="24">
        <v>1670</v>
      </c>
      <c r="M47" s="56">
        <v>50</v>
      </c>
      <c r="N47" s="22">
        <v>1275</v>
      </c>
      <c r="O47" s="22">
        <v>472</v>
      </c>
      <c r="P47" s="22">
        <v>1410</v>
      </c>
      <c r="Q47" s="22">
        <v>65</v>
      </c>
      <c r="R47" s="26">
        <v>690</v>
      </c>
      <c r="S47" s="26">
        <v>60</v>
      </c>
      <c r="T47" s="22">
        <v>210</v>
      </c>
      <c r="U47" s="22"/>
      <c r="V47" s="22">
        <v>1410</v>
      </c>
      <c r="W47" s="22"/>
      <c r="X47" s="22">
        <v>1560</v>
      </c>
      <c r="Y47" s="37">
        <v>125</v>
      </c>
      <c r="Z47" s="15"/>
    </row>
    <row r="48" spans="1:26" x14ac:dyDescent="0.3">
      <c r="A48" s="24"/>
      <c r="B48" s="22">
        <v>746.2</v>
      </c>
      <c r="C48" s="22">
        <v>398.1</v>
      </c>
      <c r="D48" s="25"/>
      <c r="E48" s="22"/>
      <c r="F48" s="22"/>
      <c r="G48" s="22">
        <v>126.2</v>
      </c>
      <c r="H48" s="37"/>
      <c r="I48" s="47">
        <v>4797.26</v>
      </c>
      <c r="J48" s="1"/>
      <c r="L48" s="24">
        <v>150</v>
      </c>
      <c r="M48" s="56"/>
      <c r="N48" s="22">
        <v>805</v>
      </c>
      <c r="O48" s="22">
        <v>57.5</v>
      </c>
      <c r="P48" s="22">
        <v>2110</v>
      </c>
      <c r="Q48" s="22"/>
      <c r="R48" s="25">
        <v>120</v>
      </c>
      <c r="S48" s="25"/>
      <c r="T48" s="22">
        <v>72</v>
      </c>
      <c r="U48" s="22"/>
      <c r="V48" s="22">
        <v>2010</v>
      </c>
      <c r="W48" s="22"/>
      <c r="X48" s="22">
        <v>60</v>
      </c>
      <c r="Y48" s="37"/>
      <c r="Z48" s="15"/>
    </row>
    <row r="49" spans="1:26" x14ac:dyDescent="0.3">
      <c r="A49" s="24"/>
      <c r="B49" s="22"/>
      <c r="C49" s="22">
        <v>294.89999999999998</v>
      </c>
      <c r="D49" s="22"/>
      <c r="E49" s="22"/>
      <c r="F49" s="22"/>
      <c r="G49" s="22">
        <v>640</v>
      </c>
      <c r="H49" s="37"/>
      <c r="I49" s="47">
        <v>1253.72</v>
      </c>
      <c r="J49" s="1"/>
      <c r="L49" s="24">
        <v>72</v>
      </c>
      <c r="M49" s="56"/>
      <c r="N49" s="22">
        <v>280</v>
      </c>
      <c r="O49" s="22"/>
      <c r="P49" s="22">
        <v>370</v>
      </c>
      <c r="Q49" s="22"/>
      <c r="R49" s="22">
        <v>264</v>
      </c>
      <c r="S49" s="22"/>
      <c r="T49" s="22"/>
      <c r="U49" s="22"/>
      <c r="V49" s="22">
        <v>60</v>
      </c>
      <c r="W49" s="22"/>
      <c r="X49" s="22">
        <v>500</v>
      </c>
      <c r="Y49" s="37"/>
      <c r="Z49" s="15"/>
    </row>
    <row r="50" spans="1:26" x14ac:dyDescent="0.3">
      <c r="A50" s="24"/>
      <c r="B50" s="22"/>
      <c r="C50" s="22"/>
      <c r="D50" s="22"/>
      <c r="E50" s="22"/>
      <c r="F50" s="22"/>
      <c r="G50" s="22"/>
      <c r="H50" s="37"/>
      <c r="I50" s="15">
        <v>5455</v>
      </c>
      <c r="J50" s="1"/>
      <c r="L50" s="24">
        <v>102</v>
      </c>
      <c r="M50" s="56"/>
      <c r="N50" s="22"/>
      <c r="O50" s="22"/>
      <c r="P50" s="22">
        <v>72</v>
      </c>
      <c r="Q50" s="22"/>
      <c r="R50" s="22"/>
      <c r="S50" s="22"/>
      <c r="T50" s="22"/>
      <c r="U50" s="22"/>
      <c r="V50" s="22">
        <v>360</v>
      </c>
      <c r="W50" s="22"/>
      <c r="X50" s="22">
        <v>210</v>
      </c>
      <c r="Y50" s="37"/>
      <c r="Z50" s="15"/>
    </row>
    <row r="51" spans="1:26" ht="15" thickBot="1" x14ac:dyDescent="0.35">
      <c r="A51" s="24"/>
      <c r="B51" s="22"/>
      <c r="C51" s="22"/>
      <c r="D51" s="22"/>
      <c r="E51" s="22"/>
      <c r="F51" s="22"/>
      <c r="G51" s="22"/>
      <c r="H51" s="37"/>
      <c r="I51" s="16">
        <f>SUM(I45:I50)</f>
        <v>19665.22</v>
      </c>
      <c r="J51" s="1"/>
      <c r="L51" s="24"/>
      <c r="M51" s="56"/>
      <c r="N51" s="22"/>
      <c r="O51" s="22"/>
      <c r="P51" s="22">
        <v>90</v>
      </c>
      <c r="Q51" s="22"/>
      <c r="R51" s="22"/>
      <c r="S51" s="22"/>
      <c r="T51" s="22"/>
      <c r="U51" s="22"/>
      <c r="V51" s="22">
        <v>336</v>
      </c>
      <c r="W51" s="22"/>
      <c r="X51" s="22"/>
      <c r="Y51" s="37"/>
      <c r="Z51" s="16">
        <f>SUM(Z45:Z50)</f>
        <v>0</v>
      </c>
    </row>
    <row r="52" spans="1:26" ht="15" thickTop="1" x14ac:dyDescent="0.3">
      <c r="A52" s="24"/>
      <c r="B52" s="22"/>
      <c r="C52" s="22"/>
      <c r="D52" s="22"/>
      <c r="E52" s="22"/>
      <c r="F52" s="22"/>
      <c r="G52" s="22"/>
      <c r="H52" s="22"/>
      <c r="I52" s="38"/>
      <c r="L52" s="24"/>
      <c r="M52" s="56"/>
      <c r="N52" s="22"/>
      <c r="O52" s="22"/>
      <c r="P52" s="22"/>
      <c r="Q52" s="22"/>
      <c r="R52" s="22"/>
      <c r="S52" s="22"/>
      <c r="T52" s="22"/>
      <c r="U52" s="22"/>
      <c r="V52" s="22">
        <v>114</v>
      </c>
      <c r="W52" s="22"/>
      <c r="X52" s="22"/>
      <c r="Y52" s="22"/>
      <c r="Z52" s="38"/>
    </row>
    <row r="53" spans="1:26" x14ac:dyDescent="0.3">
      <c r="A53" s="24"/>
      <c r="B53" s="22"/>
      <c r="C53" s="22"/>
      <c r="D53" s="22"/>
      <c r="E53" s="22"/>
      <c r="F53" s="22"/>
      <c r="G53" s="22"/>
      <c r="H53" s="22"/>
      <c r="I53" s="23"/>
      <c r="L53" s="24"/>
      <c r="M53" s="56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3"/>
    </row>
    <row r="54" spans="1:26" x14ac:dyDescent="0.3">
      <c r="A54" s="24"/>
      <c r="B54" s="22"/>
      <c r="C54" s="22"/>
      <c r="D54" s="22"/>
      <c r="E54" s="22"/>
      <c r="F54" s="22"/>
      <c r="G54" s="22"/>
      <c r="H54" s="22"/>
      <c r="I54" s="23"/>
      <c r="L54" s="24"/>
      <c r="M54" s="56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3"/>
    </row>
    <row r="55" spans="1:26" x14ac:dyDescent="0.3">
      <c r="A55" s="24"/>
      <c r="B55" s="22"/>
      <c r="C55" s="22"/>
      <c r="D55" s="22"/>
      <c r="E55" s="22"/>
      <c r="F55" s="22"/>
      <c r="G55" s="22"/>
      <c r="H55" s="22"/>
      <c r="I55" s="23"/>
      <c r="L55" s="24"/>
      <c r="M55" s="56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3"/>
    </row>
    <row r="56" spans="1:26" x14ac:dyDescent="0.3">
      <c r="A56" s="24"/>
      <c r="B56" s="22"/>
      <c r="C56" s="22"/>
      <c r="D56" s="22"/>
      <c r="E56" s="22"/>
      <c r="F56" s="22"/>
      <c r="G56" s="22"/>
      <c r="H56" s="22"/>
      <c r="I56" s="23"/>
      <c r="L56" s="24"/>
      <c r="M56" s="56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3"/>
    </row>
    <row r="57" spans="1:26" x14ac:dyDescent="0.3">
      <c r="A57" s="24"/>
      <c r="B57" s="22"/>
      <c r="C57" s="22"/>
      <c r="D57" s="22"/>
      <c r="E57" s="22"/>
      <c r="F57" s="22"/>
      <c r="G57" s="22"/>
      <c r="H57" s="22"/>
      <c r="I57" s="23"/>
      <c r="L57" s="24"/>
      <c r="M57" s="56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3"/>
    </row>
    <row r="58" spans="1:26" x14ac:dyDescent="0.3">
      <c r="A58" s="24"/>
      <c r="B58" s="22"/>
      <c r="C58" s="22"/>
      <c r="D58" s="22"/>
      <c r="E58" s="22"/>
      <c r="F58" s="28"/>
      <c r="G58" s="22"/>
      <c r="H58" s="22"/>
      <c r="I58" s="23"/>
      <c r="L58" s="24"/>
      <c r="M58" s="56"/>
      <c r="N58" s="22"/>
      <c r="O58" s="22"/>
      <c r="P58" s="22"/>
      <c r="Q58" s="22"/>
      <c r="R58" s="22"/>
      <c r="S58" s="22"/>
      <c r="T58" s="22"/>
      <c r="U58" s="22"/>
      <c r="V58" s="28"/>
      <c r="W58" s="28"/>
      <c r="X58" s="22"/>
      <c r="Y58" s="22"/>
      <c r="Z58" s="23"/>
    </row>
    <row r="59" spans="1:26" x14ac:dyDescent="0.3">
      <c r="A59" s="24">
        <f t="shared" ref="A59:G59" si="6">SUM(A45:A58)</f>
        <v>5513.4</v>
      </c>
      <c r="B59" s="22">
        <f t="shared" si="6"/>
        <v>5033.5</v>
      </c>
      <c r="C59" s="22">
        <f t="shared" si="6"/>
        <v>4642.88</v>
      </c>
      <c r="D59" s="22">
        <f t="shared" si="6"/>
        <v>3830.82</v>
      </c>
      <c r="E59" s="22">
        <f>SUM(E45:E58)</f>
        <v>760</v>
      </c>
      <c r="F59" s="22">
        <f t="shared" si="6"/>
        <v>5818.09</v>
      </c>
      <c r="G59" s="22">
        <f t="shared" si="6"/>
        <v>4918.5</v>
      </c>
      <c r="H59" s="29">
        <f>SUM(A59:G59)+I51</f>
        <v>50182.41</v>
      </c>
      <c r="I59" s="30" t="s">
        <v>7</v>
      </c>
      <c r="J59" s="12"/>
      <c r="L59" s="22">
        <f>SUM(L46:L58)</f>
        <v>6344</v>
      </c>
      <c r="M59" s="22">
        <f t="shared" ref="M59" si="7">SUM(M46:M58)</f>
        <v>110</v>
      </c>
      <c r="N59" s="22">
        <f t="shared" ref="N59" si="8">SUM(N46:N58)</f>
        <v>6350</v>
      </c>
      <c r="O59" s="22">
        <f t="shared" ref="O59" si="9">SUM(O46:O58)</f>
        <v>649.5</v>
      </c>
      <c r="P59" s="22">
        <f t="shared" ref="P59" si="10">SUM(P46:P58)</f>
        <v>6842</v>
      </c>
      <c r="Q59" s="22">
        <f t="shared" ref="Q59" si="11">SUM(Q46:Q58)</f>
        <v>125</v>
      </c>
      <c r="R59" s="22">
        <f t="shared" ref="R59" si="12">SUM(R46:R58)</f>
        <v>3504</v>
      </c>
      <c r="S59" s="22">
        <f t="shared" ref="S59" si="13">SUM(S46:S58)</f>
        <v>105</v>
      </c>
      <c r="T59" s="22">
        <f t="shared" ref="T59" si="14">SUM(T46:T58)</f>
        <v>462</v>
      </c>
      <c r="U59" s="22">
        <f t="shared" ref="U59" si="15">SUM(U46:U58)</f>
        <v>0</v>
      </c>
      <c r="V59" s="22">
        <f t="shared" ref="V59" si="16">SUM(V46:V58)</f>
        <v>7030</v>
      </c>
      <c r="W59" s="22">
        <f t="shared" ref="W59" si="17">SUM(W46:W58)</f>
        <v>50</v>
      </c>
      <c r="X59" s="22">
        <f t="shared" ref="X59" si="18">SUM(X46:X58)</f>
        <v>6260</v>
      </c>
      <c r="Y59" s="22">
        <f>SUM(Y46:Y58)</f>
        <v>1805</v>
      </c>
      <c r="Z59" s="33">
        <f>L60+N60+P60+R60+T60+V60+X60</f>
        <v>36792</v>
      </c>
    </row>
    <row r="60" spans="1:26" x14ac:dyDescent="0.3">
      <c r="A60" s="31">
        <v>5513.4</v>
      </c>
      <c r="B60" s="32">
        <v>5033.5</v>
      </c>
      <c r="C60" s="32">
        <f>4347.98+294.9</f>
        <v>4642.8799999999992</v>
      </c>
      <c r="D60" s="32">
        <v>3830.82</v>
      </c>
      <c r="E60" s="32">
        <v>760</v>
      </c>
      <c r="F60" s="32">
        <v>5818.09</v>
      </c>
      <c r="G60" s="32">
        <v>4918.5</v>
      </c>
      <c r="H60" s="22">
        <f>SUM(A60:G60)+I51</f>
        <v>50182.41</v>
      </c>
      <c r="I60" s="33" t="s">
        <v>1</v>
      </c>
      <c r="J60" s="11"/>
      <c r="K60" s="68" t="s">
        <v>12</v>
      </c>
      <c r="L60" s="32">
        <v>6344</v>
      </c>
      <c r="M60" s="32">
        <v>110</v>
      </c>
      <c r="N60" s="32">
        <v>6350</v>
      </c>
      <c r="O60" s="32">
        <v>649.5</v>
      </c>
      <c r="P60" s="32">
        <v>6842</v>
      </c>
      <c r="Q60" s="32">
        <v>125</v>
      </c>
      <c r="R60" s="32">
        <v>3504</v>
      </c>
      <c r="S60" s="32">
        <v>105</v>
      </c>
      <c r="T60" s="32">
        <v>462</v>
      </c>
      <c r="U60" s="32"/>
      <c r="V60" s="32">
        <v>7030</v>
      </c>
      <c r="W60" s="32">
        <v>50</v>
      </c>
      <c r="X60" s="32">
        <v>6260</v>
      </c>
      <c r="Y60" s="22">
        <v>1805</v>
      </c>
      <c r="Z60" s="33">
        <f>M60+O60+Q60+S60+U60+W60+Y60</f>
        <v>2844.5</v>
      </c>
    </row>
    <row r="61" spans="1:26" ht="15" thickBot="1" x14ac:dyDescent="0.35">
      <c r="A61" s="34">
        <f>A59-A60</f>
        <v>0</v>
      </c>
      <c r="B61" s="35">
        <f>B59-B60</f>
        <v>0</v>
      </c>
      <c r="C61" s="35">
        <f t="shared" ref="C61:F61" si="19">C59-C60</f>
        <v>0</v>
      </c>
      <c r="D61" s="35">
        <f t="shared" si="19"/>
        <v>0</v>
      </c>
      <c r="E61" s="35">
        <f t="shared" si="19"/>
        <v>0</v>
      </c>
      <c r="F61" s="35">
        <f t="shared" si="19"/>
        <v>0</v>
      </c>
      <c r="G61" s="35">
        <f>G59-G60</f>
        <v>0</v>
      </c>
      <c r="H61" s="35"/>
      <c r="I61" s="36"/>
      <c r="K61" s="68" t="s">
        <v>13</v>
      </c>
      <c r="L61" s="34">
        <f t="shared" ref="L61:M61" si="20">L59-L60</f>
        <v>0</v>
      </c>
      <c r="M61" s="34">
        <f t="shared" si="20"/>
        <v>0</v>
      </c>
      <c r="N61" s="34">
        <f t="shared" ref="N61" si="21">N59-N60</f>
        <v>0</v>
      </c>
      <c r="O61" s="34">
        <f t="shared" ref="O61" si="22">O59-O60</f>
        <v>0</v>
      </c>
      <c r="P61" s="34">
        <f t="shared" ref="P61" si="23">P59-P60</f>
        <v>0</v>
      </c>
      <c r="Q61" s="34">
        <f t="shared" ref="Q61" si="24">Q59-Q60</f>
        <v>0</v>
      </c>
      <c r="R61" s="34">
        <f t="shared" ref="R61" si="25">R59-R60</f>
        <v>0</v>
      </c>
      <c r="S61" s="34">
        <f t="shared" ref="S61" si="26">S59-S60</f>
        <v>0</v>
      </c>
      <c r="T61" s="34">
        <f t="shared" ref="T61" si="27">T59-T60</f>
        <v>0</v>
      </c>
      <c r="U61" s="34">
        <f t="shared" ref="U61" si="28">U59-U60</f>
        <v>0</v>
      </c>
      <c r="V61" s="34">
        <f t="shared" ref="V61" si="29">V59-V60</f>
        <v>0</v>
      </c>
      <c r="W61" s="34">
        <f t="shared" ref="W61" si="30">W59-W60</f>
        <v>0</v>
      </c>
      <c r="X61" s="34">
        <f t="shared" ref="X61" si="31">X59-X60</f>
        <v>0</v>
      </c>
      <c r="Y61" s="34">
        <f t="shared" ref="Y61" si="32">Y59-Y60</f>
        <v>0</v>
      </c>
      <c r="Z61" s="36"/>
    </row>
    <row r="62" spans="1:26" ht="15.6" thickTop="1" thickBot="1" x14ac:dyDescent="0.35"/>
    <row r="63" spans="1:26" x14ac:dyDescent="0.3">
      <c r="A63" s="17">
        <v>44979</v>
      </c>
      <c r="B63" s="17">
        <v>44980</v>
      </c>
      <c r="C63" s="17">
        <v>44981</v>
      </c>
      <c r="D63" s="17">
        <v>44982</v>
      </c>
      <c r="E63" s="17">
        <v>44983</v>
      </c>
      <c r="F63" s="17">
        <v>44984</v>
      </c>
      <c r="G63" s="17">
        <v>44985</v>
      </c>
      <c r="H63" s="39"/>
      <c r="I63" s="13" t="s">
        <v>8</v>
      </c>
      <c r="J63" s="58"/>
      <c r="L63" s="59">
        <v>44979</v>
      </c>
      <c r="M63" s="59"/>
      <c r="N63" s="59">
        <v>44980</v>
      </c>
      <c r="O63" s="59"/>
      <c r="P63" s="59">
        <v>44981</v>
      </c>
      <c r="Q63" s="59"/>
      <c r="R63" s="59">
        <v>44982</v>
      </c>
      <c r="S63" s="59"/>
      <c r="T63" s="59">
        <v>44983</v>
      </c>
      <c r="U63" s="59"/>
      <c r="V63" s="59">
        <v>44984</v>
      </c>
      <c r="W63" s="59"/>
      <c r="X63" s="59">
        <v>44985</v>
      </c>
      <c r="Y63" s="60"/>
      <c r="Z63" s="13"/>
    </row>
    <row r="64" spans="1:26" ht="15" thickBot="1" x14ac:dyDescent="0.35">
      <c r="A64" s="21">
        <v>2055.35</v>
      </c>
      <c r="B64" s="22">
        <v>1490.35</v>
      </c>
      <c r="C64" s="22">
        <v>1913.45</v>
      </c>
      <c r="D64" s="22">
        <v>1615.35</v>
      </c>
      <c r="E64" s="22">
        <v>345</v>
      </c>
      <c r="F64" s="22">
        <v>1370.35</v>
      </c>
      <c r="G64" s="22">
        <v>1867.25</v>
      </c>
      <c r="H64" s="37"/>
      <c r="I64" s="14">
        <v>3690.2</v>
      </c>
      <c r="L64" s="66" t="s">
        <v>10</v>
      </c>
      <c r="M64" s="66" t="s">
        <v>11</v>
      </c>
      <c r="N64" s="67" t="s">
        <v>10</v>
      </c>
      <c r="O64" s="67" t="s">
        <v>11</v>
      </c>
      <c r="P64" s="67" t="s">
        <v>10</v>
      </c>
      <c r="Q64" s="67" t="s">
        <v>11</v>
      </c>
      <c r="R64" s="67" t="s">
        <v>10</v>
      </c>
      <c r="S64" s="67" t="s">
        <v>11</v>
      </c>
      <c r="T64" s="67" t="s">
        <v>10</v>
      </c>
      <c r="U64" s="67" t="s">
        <v>11</v>
      </c>
      <c r="V64" s="67" t="s">
        <v>10</v>
      </c>
      <c r="W64" s="67" t="s">
        <v>11</v>
      </c>
      <c r="X64" s="67" t="s">
        <v>10</v>
      </c>
      <c r="Y64" s="67" t="s">
        <v>11</v>
      </c>
      <c r="Z64" s="14"/>
    </row>
    <row r="65" spans="1:26" x14ac:dyDescent="0.3">
      <c r="A65" s="24">
        <v>2533.4</v>
      </c>
      <c r="B65" s="22">
        <v>2419.02</v>
      </c>
      <c r="C65" s="22">
        <v>138.44999999999999</v>
      </c>
      <c r="D65" s="22">
        <v>2447.94</v>
      </c>
      <c r="E65" s="25">
        <v>220</v>
      </c>
      <c r="F65" s="22">
        <v>2638.4</v>
      </c>
      <c r="G65" s="22">
        <v>2543.4</v>
      </c>
      <c r="H65" s="37"/>
      <c r="I65" s="14">
        <v>1253.72</v>
      </c>
      <c r="L65" s="61">
        <v>4050</v>
      </c>
      <c r="M65" s="62">
        <v>1740</v>
      </c>
      <c r="N65" s="63">
        <v>4110</v>
      </c>
      <c r="O65" s="63">
        <v>60</v>
      </c>
      <c r="P65" s="63">
        <v>3990</v>
      </c>
      <c r="Q65" s="63"/>
      <c r="R65" s="63">
        <v>2620</v>
      </c>
      <c r="S65" s="63">
        <v>4200</v>
      </c>
      <c r="T65" s="69">
        <v>120</v>
      </c>
      <c r="U65" s="69">
        <v>384.5</v>
      </c>
      <c r="V65" s="63">
        <v>4480</v>
      </c>
      <c r="W65" s="63">
        <v>95</v>
      </c>
      <c r="X65" s="63">
        <v>3960</v>
      </c>
      <c r="Y65" s="65">
        <v>125</v>
      </c>
      <c r="Z65" s="14"/>
    </row>
    <row r="66" spans="1:26" x14ac:dyDescent="0.3">
      <c r="A66" s="24">
        <v>924.65</v>
      </c>
      <c r="B66" s="22">
        <v>1019.65</v>
      </c>
      <c r="C66" s="22">
        <v>2705.9</v>
      </c>
      <c r="D66" s="26">
        <v>319.64999999999998</v>
      </c>
      <c r="E66" s="22"/>
      <c r="F66" s="22">
        <v>1229.6500000000001</v>
      </c>
      <c r="G66" s="22">
        <v>772.75</v>
      </c>
      <c r="H66" s="37"/>
      <c r="I66" s="15">
        <v>3493.56</v>
      </c>
      <c r="J66" s="1"/>
      <c r="L66" s="24">
        <v>1170</v>
      </c>
      <c r="M66" s="56">
        <v>72</v>
      </c>
      <c r="N66" s="22">
        <v>1230</v>
      </c>
      <c r="O66" s="22">
        <v>65</v>
      </c>
      <c r="P66" s="22">
        <v>1680</v>
      </c>
      <c r="Q66" s="22"/>
      <c r="R66" s="70">
        <v>1080</v>
      </c>
      <c r="S66" s="70">
        <v>50</v>
      </c>
      <c r="T66" s="22">
        <v>180</v>
      </c>
      <c r="U66" s="22">
        <v>60</v>
      </c>
      <c r="V66" s="22">
        <v>2380</v>
      </c>
      <c r="W66" s="22">
        <v>60</v>
      </c>
      <c r="X66" s="22">
        <v>1470</v>
      </c>
      <c r="Y66" s="37">
        <v>1860</v>
      </c>
      <c r="Z66" s="15"/>
    </row>
    <row r="67" spans="1:26" x14ac:dyDescent="0.3">
      <c r="A67" s="24"/>
      <c r="B67" s="22"/>
      <c r="C67" s="22">
        <v>423.1</v>
      </c>
      <c r="D67" s="25"/>
      <c r="E67" s="22"/>
      <c r="F67" s="22"/>
      <c r="G67" s="22"/>
      <c r="H67" s="37"/>
      <c r="I67" s="15">
        <v>4805</v>
      </c>
      <c r="J67" s="1"/>
      <c r="L67" s="24">
        <v>780</v>
      </c>
      <c r="M67" s="56"/>
      <c r="N67" s="22">
        <v>740</v>
      </c>
      <c r="O67" s="22"/>
      <c r="P67" s="22">
        <v>370</v>
      </c>
      <c r="Q67" s="22"/>
      <c r="R67" s="71">
        <v>90</v>
      </c>
      <c r="S67" s="71"/>
      <c r="T67" s="22">
        <v>210</v>
      </c>
      <c r="U67" s="22"/>
      <c r="V67" s="22">
        <v>600</v>
      </c>
      <c r="W67" s="22"/>
      <c r="X67" s="22">
        <v>680</v>
      </c>
      <c r="Y67" s="37"/>
      <c r="Z67" s="15"/>
    </row>
    <row r="68" spans="1:26" x14ac:dyDescent="0.3">
      <c r="A68" s="24"/>
      <c r="B68" s="22"/>
      <c r="C68" s="22"/>
      <c r="D68" s="22"/>
      <c r="E68" s="22"/>
      <c r="F68" s="22"/>
      <c r="G68" s="22"/>
      <c r="H68" s="37"/>
      <c r="I68" s="15">
        <v>4797.26</v>
      </c>
      <c r="J68" s="1"/>
      <c r="L68" s="24">
        <v>72</v>
      </c>
      <c r="M68" s="56"/>
      <c r="N68" s="22">
        <v>216</v>
      </c>
      <c r="O68" s="22"/>
      <c r="P68" s="22">
        <v>72</v>
      </c>
      <c r="Q68" s="22"/>
      <c r="R68" s="22">
        <v>227</v>
      </c>
      <c r="S68" s="22"/>
      <c r="T68" s="22">
        <v>72</v>
      </c>
      <c r="U68" s="22"/>
      <c r="V68" s="22">
        <v>333</v>
      </c>
      <c r="W68" s="22"/>
      <c r="X68" s="22">
        <v>222</v>
      </c>
      <c r="Y68" s="37"/>
      <c r="Z68" s="15"/>
    </row>
    <row r="69" spans="1:26" x14ac:dyDescent="0.3">
      <c r="A69" s="24"/>
      <c r="B69" s="22"/>
      <c r="C69" s="22"/>
      <c r="D69" s="22"/>
      <c r="E69" s="22"/>
      <c r="F69" s="22"/>
      <c r="G69" s="22"/>
      <c r="H69" s="37"/>
      <c r="I69" s="15"/>
      <c r="J69" s="1"/>
      <c r="L69" s="24">
        <v>24</v>
      </c>
      <c r="M69" s="56"/>
      <c r="N69" s="22">
        <v>24</v>
      </c>
      <c r="O69" s="22"/>
      <c r="P69" s="22">
        <v>78</v>
      </c>
      <c r="Q69" s="22"/>
      <c r="R69" s="22"/>
      <c r="S69" s="22"/>
      <c r="T69" s="22"/>
      <c r="U69" s="22"/>
      <c r="V69" s="22">
        <v>138</v>
      </c>
      <c r="W69" s="22"/>
      <c r="X69" s="22"/>
      <c r="Y69" s="37"/>
      <c r="Z69" s="15"/>
    </row>
    <row r="70" spans="1:26" ht="15" thickBot="1" x14ac:dyDescent="0.35">
      <c r="A70" s="24"/>
      <c r="B70" s="22"/>
      <c r="C70" s="22"/>
      <c r="D70" s="22"/>
      <c r="E70" s="22"/>
      <c r="F70" s="22"/>
      <c r="G70" s="22"/>
      <c r="H70" s="37"/>
      <c r="I70" s="16">
        <f>SUM(I64:I69)</f>
        <v>18039.739999999998</v>
      </c>
      <c r="J70" s="1"/>
      <c r="L70" s="24">
        <v>90</v>
      </c>
      <c r="M70" s="56"/>
      <c r="N70" s="22"/>
      <c r="O70" s="22"/>
      <c r="P70" s="22">
        <v>24</v>
      </c>
      <c r="Q70" s="22"/>
      <c r="R70" s="22"/>
      <c r="S70" s="22"/>
      <c r="T70" s="22"/>
      <c r="U70" s="22"/>
      <c r="V70" s="22"/>
      <c r="W70" s="22"/>
      <c r="X70" s="22"/>
      <c r="Y70" s="37"/>
      <c r="Z70" s="16">
        <f>SUM(Z64:Z69)</f>
        <v>0</v>
      </c>
    </row>
    <row r="71" spans="1:26" ht="15" thickTop="1" x14ac:dyDescent="0.3">
      <c r="A71" s="24"/>
      <c r="B71" s="22"/>
      <c r="C71" s="22"/>
      <c r="D71" s="22"/>
      <c r="E71" s="22"/>
      <c r="F71" s="22"/>
      <c r="G71" s="22"/>
      <c r="H71" s="22"/>
      <c r="I71" s="38"/>
      <c r="L71" s="24"/>
      <c r="M71" s="5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38"/>
    </row>
    <row r="72" spans="1:26" x14ac:dyDescent="0.3">
      <c r="A72" s="24"/>
      <c r="B72" s="22"/>
      <c r="C72" s="22"/>
      <c r="D72" s="22"/>
      <c r="E72" s="22"/>
      <c r="F72" s="22"/>
      <c r="G72" s="22"/>
      <c r="H72" s="22"/>
      <c r="I72" s="23"/>
      <c r="L72" s="24"/>
      <c r="M72" s="56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3"/>
    </row>
    <row r="73" spans="1:26" x14ac:dyDescent="0.3">
      <c r="A73" s="24"/>
      <c r="B73" s="22"/>
      <c r="C73" s="22"/>
      <c r="D73" s="22"/>
      <c r="E73" s="22"/>
      <c r="F73" s="22"/>
      <c r="G73" s="22"/>
      <c r="H73" s="22"/>
      <c r="I73" s="23"/>
      <c r="L73" s="24"/>
      <c r="M73" s="56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3"/>
    </row>
    <row r="74" spans="1:26" x14ac:dyDescent="0.3">
      <c r="A74" s="24"/>
      <c r="B74" s="22"/>
      <c r="C74" s="22"/>
      <c r="D74" s="22"/>
      <c r="E74" s="22"/>
      <c r="F74" s="22"/>
      <c r="G74" s="22"/>
      <c r="H74" s="22"/>
      <c r="I74" s="23"/>
      <c r="L74" s="24"/>
      <c r="M74" s="56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3"/>
    </row>
    <row r="75" spans="1:26" x14ac:dyDescent="0.3">
      <c r="A75" s="24"/>
      <c r="B75" s="22"/>
      <c r="C75" s="22"/>
      <c r="D75" s="22"/>
      <c r="E75" s="22"/>
      <c r="F75" s="22"/>
      <c r="G75" s="22"/>
      <c r="H75" s="22"/>
      <c r="I75" s="23"/>
      <c r="L75" s="24"/>
      <c r="M75" s="56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3"/>
    </row>
    <row r="76" spans="1:26" x14ac:dyDescent="0.3">
      <c r="A76" s="24"/>
      <c r="B76" s="22"/>
      <c r="C76" s="22"/>
      <c r="D76" s="22"/>
      <c r="E76" s="22"/>
      <c r="F76" s="22"/>
      <c r="G76" s="22"/>
      <c r="H76" s="22"/>
      <c r="I76" s="23"/>
      <c r="L76" s="24"/>
      <c r="M76" s="56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3"/>
    </row>
    <row r="77" spans="1:26" x14ac:dyDescent="0.3">
      <c r="A77" s="24"/>
      <c r="B77" s="22"/>
      <c r="C77" s="22"/>
      <c r="D77" s="22"/>
      <c r="E77" s="22"/>
      <c r="F77" s="28"/>
      <c r="G77" s="22"/>
      <c r="H77" s="22"/>
      <c r="I77" s="23"/>
      <c r="L77" s="24"/>
      <c r="M77" s="56"/>
      <c r="N77" s="22"/>
      <c r="O77" s="22"/>
      <c r="P77" s="22"/>
      <c r="Q77" s="22"/>
      <c r="R77" s="22"/>
      <c r="S77" s="22"/>
      <c r="T77" s="22"/>
      <c r="U77" s="22"/>
      <c r="V77" s="28"/>
      <c r="W77" s="28"/>
      <c r="X77" s="22"/>
      <c r="Y77" s="22"/>
      <c r="Z77" s="23"/>
    </row>
    <row r="78" spans="1:26" x14ac:dyDescent="0.3">
      <c r="A78" s="24">
        <f t="shared" ref="A78:G78" si="33">SUM(A64:A77)</f>
        <v>5513.4</v>
      </c>
      <c r="B78" s="22">
        <f t="shared" si="33"/>
        <v>4929.0199999999995</v>
      </c>
      <c r="C78" s="22">
        <f t="shared" si="33"/>
        <v>5180.9000000000005</v>
      </c>
      <c r="D78" s="22">
        <f t="shared" si="33"/>
        <v>4382.9399999999996</v>
      </c>
      <c r="E78" s="22">
        <f t="shared" si="33"/>
        <v>565</v>
      </c>
      <c r="F78" s="22">
        <f t="shared" si="33"/>
        <v>5238.3999999999996</v>
      </c>
      <c r="G78" s="22">
        <f t="shared" si="33"/>
        <v>5183.3999999999996</v>
      </c>
      <c r="H78" s="29">
        <f>SUM(A78:G78)+I70</f>
        <v>49032.799999999996</v>
      </c>
      <c r="I78" s="30" t="s">
        <v>7</v>
      </c>
      <c r="J78" s="12"/>
      <c r="L78" s="22">
        <f t="shared" ref="L78:Y78" si="34">SUM(L65:L77)</f>
        <v>6186</v>
      </c>
      <c r="M78" s="22">
        <f t="shared" si="34"/>
        <v>1812</v>
      </c>
      <c r="N78" s="22">
        <f t="shared" si="34"/>
        <v>6320</v>
      </c>
      <c r="O78" s="22">
        <f t="shared" si="34"/>
        <v>125</v>
      </c>
      <c r="P78" s="22">
        <f t="shared" si="34"/>
        <v>6214</v>
      </c>
      <c r="Q78" s="22">
        <f t="shared" si="34"/>
        <v>0</v>
      </c>
      <c r="R78" s="22">
        <f t="shared" si="34"/>
        <v>4017</v>
      </c>
      <c r="S78" s="22">
        <f t="shared" si="34"/>
        <v>4250</v>
      </c>
      <c r="T78" s="22">
        <f t="shared" si="34"/>
        <v>582</v>
      </c>
      <c r="U78" s="22">
        <f t="shared" si="34"/>
        <v>444.5</v>
      </c>
      <c r="V78" s="22">
        <f t="shared" si="34"/>
        <v>7931</v>
      </c>
      <c r="W78" s="22">
        <f t="shared" si="34"/>
        <v>155</v>
      </c>
      <c r="X78" s="22">
        <f t="shared" si="34"/>
        <v>6332</v>
      </c>
      <c r="Y78" s="22">
        <f t="shared" si="34"/>
        <v>1985</v>
      </c>
      <c r="Z78" s="33">
        <f>L79+N79+P79+R79+T79+V79+X79</f>
        <v>37582</v>
      </c>
    </row>
    <row r="79" spans="1:26" x14ac:dyDescent="0.3">
      <c r="A79" s="31">
        <v>5513.4</v>
      </c>
      <c r="B79" s="32">
        <v>4929.0200000000004</v>
      </c>
      <c r="C79" s="32">
        <v>5180.8999999999996</v>
      </c>
      <c r="D79" s="32">
        <v>4382.9399999999996</v>
      </c>
      <c r="E79" s="32">
        <v>565</v>
      </c>
      <c r="F79" s="32">
        <v>5238.3999999999996</v>
      </c>
      <c r="G79" s="32">
        <v>5183.3999999999996</v>
      </c>
      <c r="H79" s="22">
        <f>SUM(A79:G79)+I70</f>
        <v>49032.799999999996</v>
      </c>
      <c r="I79" s="33" t="s">
        <v>1</v>
      </c>
      <c r="J79" s="11"/>
      <c r="L79" s="32">
        <v>6186</v>
      </c>
      <c r="M79" s="32">
        <v>1812</v>
      </c>
      <c r="N79" s="32">
        <v>6320</v>
      </c>
      <c r="O79" s="32">
        <v>125</v>
      </c>
      <c r="P79" s="32">
        <v>6214</v>
      </c>
      <c r="Q79" s="32"/>
      <c r="R79" s="32">
        <v>4017</v>
      </c>
      <c r="S79" s="32">
        <v>4250</v>
      </c>
      <c r="T79" s="32">
        <v>582</v>
      </c>
      <c r="U79" s="32">
        <v>444.5</v>
      </c>
      <c r="V79" s="32">
        <v>7931</v>
      </c>
      <c r="W79" s="32">
        <v>155</v>
      </c>
      <c r="X79" s="32">
        <v>6332</v>
      </c>
      <c r="Y79" s="22">
        <v>1985</v>
      </c>
      <c r="Z79" s="33">
        <f>M79+O79+Q79+S79+U79+W79+Y79</f>
        <v>8771.5</v>
      </c>
    </row>
    <row r="80" spans="1:26" ht="15" thickBot="1" x14ac:dyDescent="0.35">
      <c r="A80" s="34">
        <f>A78-A79</f>
        <v>0</v>
      </c>
      <c r="B80" s="35">
        <f>B78-B79</f>
        <v>0</v>
      </c>
      <c r="C80" s="35">
        <f t="shared" ref="C80:F80" si="35">C78-C79</f>
        <v>0</v>
      </c>
      <c r="D80" s="35">
        <f t="shared" si="35"/>
        <v>0</v>
      </c>
      <c r="E80" s="35">
        <f t="shared" si="35"/>
        <v>0</v>
      </c>
      <c r="F80" s="35">
        <f t="shared" si="35"/>
        <v>0</v>
      </c>
      <c r="G80" s="35">
        <f>G78-G79</f>
        <v>0</v>
      </c>
      <c r="H80" s="35"/>
      <c r="I80" s="36"/>
      <c r="L80" s="34">
        <f t="shared" ref="L80:Y80" si="36">L78-L79</f>
        <v>0</v>
      </c>
      <c r="M80" s="34">
        <f t="shared" si="36"/>
        <v>0</v>
      </c>
      <c r="N80" s="34">
        <f t="shared" si="36"/>
        <v>0</v>
      </c>
      <c r="O80" s="34">
        <f t="shared" si="36"/>
        <v>0</v>
      </c>
      <c r="P80" s="34">
        <f t="shared" si="36"/>
        <v>0</v>
      </c>
      <c r="Q80" s="34">
        <f t="shared" si="36"/>
        <v>0</v>
      </c>
      <c r="R80" s="34">
        <f t="shared" si="36"/>
        <v>0</v>
      </c>
      <c r="S80" s="34">
        <f t="shared" si="36"/>
        <v>0</v>
      </c>
      <c r="T80" s="34">
        <f t="shared" si="36"/>
        <v>0</v>
      </c>
      <c r="U80" s="34">
        <f t="shared" si="36"/>
        <v>0</v>
      </c>
      <c r="V80" s="34">
        <f t="shared" si="36"/>
        <v>0</v>
      </c>
      <c r="W80" s="34">
        <f t="shared" si="36"/>
        <v>0</v>
      </c>
      <c r="X80" s="34">
        <f t="shared" si="36"/>
        <v>0</v>
      </c>
      <c r="Y80" s="34">
        <f t="shared" si="36"/>
        <v>0</v>
      </c>
      <c r="Z80" s="36"/>
    </row>
    <row r="81" spans="26:26" ht="16.2" customHeight="1" thickTop="1" x14ac:dyDescent="0.3"/>
    <row r="85" spans="26:26" x14ac:dyDescent="0.3">
      <c r="Z85" s="1"/>
    </row>
    <row r="87" spans="26:26" x14ac:dyDescent="0.3">
      <c r="Z87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E12-633E-43D9-B717-AEB7375BB194}">
  <dimension ref="A1:Z95"/>
  <sheetViews>
    <sheetView topLeftCell="D61" workbookViewId="0">
      <selection activeCell="I100" sqref="I100"/>
    </sheetView>
  </sheetViews>
  <sheetFormatPr defaultRowHeight="14.4" x14ac:dyDescent="0.3"/>
  <cols>
    <col min="1" max="8" width="14.6640625" customWidth="1"/>
    <col min="9" max="9" width="13" bestFit="1" customWidth="1"/>
    <col min="10" max="10" width="0" hidden="1" customWidth="1"/>
    <col min="11" max="11" width="3.6640625" customWidth="1"/>
    <col min="12" max="12" width="13.5546875" customWidth="1"/>
    <col min="13" max="13" width="11.88671875" customWidth="1"/>
    <col min="14" max="14" width="12.33203125" customWidth="1"/>
    <col min="15" max="15" width="11.88671875" customWidth="1"/>
    <col min="16" max="16" width="11.44140625" customWidth="1"/>
    <col min="17" max="17" width="10.6640625" bestFit="1" customWidth="1"/>
    <col min="18" max="18" width="12" customWidth="1"/>
    <col min="19" max="19" width="10.6640625" bestFit="1" customWidth="1"/>
    <col min="20" max="20" width="11.6640625" customWidth="1"/>
    <col min="21" max="21" width="10.6640625" bestFit="1" customWidth="1"/>
    <col min="22" max="22" width="11.33203125" customWidth="1"/>
    <col min="23" max="23" width="12.109375" customWidth="1"/>
    <col min="24" max="24" width="10.5546875" customWidth="1"/>
    <col min="25" max="25" width="10.6640625" bestFit="1" customWidth="1"/>
    <col min="26" max="26" width="10.109375" customWidth="1"/>
  </cols>
  <sheetData>
    <row r="1" spans="1:26" x14ac:dyDescent="0.3">
      <c r="A1" s="17">
        <v>44986</v>
      </c>
      <c r="B1" s="17">
        <v>44987</v>
      </c>
      <c r="C1" s="17">
        <v>44988</v>
      </c>
      <c r="D1" s="17">
        <v>44989</v>
      </c>
      <c r="E1" s="17">
        <v>44990</v>
      </c>
      <c r="F1" s="17">
        <v>44991</v>
      </c>
      <c r="G1" s="17">
        <v>44992</v>
      </c>
      <c r="H1" s="19"/>
      <c r="I1" s="20" t="s">
        <v>8</v>
      </c>
      <c r="L1" s="59">
        <v>44986</v>
      </c>
      <c r="M1" s="59"/>
      <c r="N1" s="59">
        <v>44987</v>
      </c>
      <c r="O1" s="59"/>
      <c r="P1" s="59">
        <v>44988</v>
      </c>
      <c r="Q1" s="59"/>
      <c r="R1" s="59">
        <v>44989</v>
      </c>
      <c r="S1" s="59"/>
      <c r="T1" s="59">
        <v>44990</v>
      </c>
      <c r="U1" s="59"/>
      <c r="V1" s="59">
        <v>44991</v>
      </c>
      <c r="W1" s="59"/>
      <c r="X1" s="59">
        <v>44992</v>
      </c>
      <c r="Y1" s="60"/>
      <c r="Z1" s="13"/>
    </row>
    <row r="2" spans="1:26" ht="15" thickBot="1" x14ac:dyDescent="0.35">
      <c r="A2" s="21">
        <v>1596.9</v>
      </c>
      <c r="B2" s="22">
        <v>1530.35</v>
      </c>
      <c r="C2" s="22">
        <v>2186.9</v>
      </c>
      <c r="D2" s="22">
        <v>1508.8</v>
      </c>
      <c r="E2" s="22">
        <v>370</v>
      </c>
      <c r="F2" s="22"/>
      <c r="G2" s="22">
        <v>1828.8</v>
      </c>
      <c r="H2" s="22"/>
      <c r="I2" s="22">
        <v>700</v>
      </c>
      <c r="L2" s="66" t="s">
        <v>10</v>
      </c>
      <c r="M2" s="66" t="s">
        <v>11</v>
      </c>
      <c r="N2" s="67" t="s">
        <v>10</v>
      </c>
      <c r="O2" s="67" t="s">
        <v>11</v>
      </c>
      <c r="P2" s="67" t="s">
        <v>10</v>
      </c>
      <c r="Q2" s="67" t="s">
        <v>11</v>
      </c>
      <c r="R2" s="67" t="s">
        <v>10</v>
      </c>
      <c r="S2" s="67" t="s">
        <v>11</v>
      </c>
      <c r="T2" s="67" t="s">
        <v>10</v>
      </c>
      <c r="U2" s="67" t="s">
        <v>11</v>
      </c>
      <c r="V2" s="67" t="s">
        <v>10</v>
      </c>
      <c r="W2" s="67" t="s">
        <v>11</v>
      </c>
      <c r="X2" s="67" t="s">
        <v>10</v>
      </c>
      <c r="Y2" s="67" t="s">
        <v>11</v>
      </c>
      <c r="Z2" s="14"/>
    </row>
    <row r="3" spans="1:26" x14ac:dyDescent="0.3">
      <c r="A3" s="24">
        <v>2108.19</v>
      </c>
      <c r="B3" s="22">
        <v>3264.02</v>
      </c>
      <c r="C3" s="22">
        <v>1809.02</v>
      </c>
      <c r="D3" s="22">
        <v>2060.8200000000002</v>
      </c>
      <c r="E3" s="25">
        <v>110</v>
      </c>
      <c r="F3" s="22"/>
      <c r="G3" s="22">
        <v>1254.5999999999999</v>
      </c>
      <c r="H3" s="22"/>
      <c r="I3" s="23">
        <v>510.42</v>
      </c>
      <c r="L3" s="61">
        <v>4350</v>
      </c>
      <c r="M3" s="62">
        <v>60</v>
      </c>
      <c r="N3" s="22">
        <v>4080</v>
      </c>
      <c r="O3" s="63">
        <v>220</v>
      </c>
      <c r="P3" s="63">
        <v>3930</v>
      </c>
      <c r="Q3" s="63">
        <v>80</v>
      </c>
      <c r="R3" s="63">
        <v>2820</v>
      </c>
      <c r="S3" s="63">
        <v>65</v>
      </c>
      <c r="T3" s="69">
        <v>120</v>
      </c>
      <c r="U3" s="69"/>
      <c r="V3" s="63">
        <v>4440</v>
      </c>
      <c r="W3" s="63">
        <v>372</v>
      </c>
      <c r="X3" s="63">
        <v>4020</v>
      </c>
      <c r="Y3" s="65">
        <v>125</v>
      </c>
      <c r="Z3" s="14"/>
    </row>
    <row r="4" spans="1:26" x14ac:dyDescent="0.3">
      <c r="A4" s="24">
        <v>983.1</v>
      </c>
      <c r="B4" s="22">
        <v>609.65</v>
      </c>
      <c r="C4" s="22">
        <v>313.10000000000002</v>
      </c>
      <c r="D4" s="26">
        <v>511.2</v>
      </c>
      <c r="E4" s="22"/>
      <c r="F4" s="22"/>
      <c r="G4" s="22">
        <v>882.45</v>
      </c>
      <c r="H4" s="22"/>
      <c r="I4" s="27">
        <v>4455</v>
      </c>
      <c r="L4" s="24">
        <v>1060</v>
      </c>
      <c r="M4" s="56">
        <v>237.5</v>
      </c>
      <c r="N4" s="22">
        <v>2570</v>
      </c>
      <c r="O4" s="22">
        <v>120</v>
      </c>
      <c r="P4" s="22">
        <v>1890</v>
      </c>
      <c r="Q4" s="22">
        <v>180</v>
      </c>
      <c r="R4" s="70">
        <v>1170</v>
      </c>
      <c r="S4" s="70"/>
      <c r="T4" s="22">
        <v>360</v>
      </c>
      <c r="U4" s="22"/>
      <c r="V4" s="22">
        <v>2190</v>
      </c>
      <c r="W4" s="22">
        <v>290</v>
      </c>
      <c r="X4" s="22">
        <v>1485</v>
      </c>
      <c r="Y4" s="37">
        <v>24</v>
      </c>
      <c r="Z4" s="15"/>
    </row>
    <row r="5" spans="1:26" x14ac:dyDescent="0.3">
      <c r="A5" s="24"/>
      <c r="B5" s="22"/>
      <c r="C5" s="22"/>
      <c r="D5" s="25"/>
      <c r="E5" s="22"/>
      <c r="F5" s="22"/>
      <c r="G5" s="22">
        <v>256.2</v>
      </c>
      <c r="H5" s="22"/>
      <c r="I5" s="27">
        <v>4797.26</v>
      </c>
      <c r="L5" s="24">
        <v>540</v>
      </c>
      <c r="M5" s="56"/>
      <c r="N5" s="22">
        <v>460</v>
      </c>
      <c r="O5" s="22"/>
      <c r="P5" s="22">
        <v>980</v>
      </c>
      <c r="Q5" s="22"/>
      <c r="R5" s="71">
        <v>90</v>
      </c>
      <c r="S5" s="71"/>
      <c r="T5" s="22">
        <v>120</v>
      </c>
      <c r="U5" s="22"/>
      <c r="V5" s="22">
        <v>800</v>
      </c>
      <c r="W5" s="22"/>
      <c r="X5" s="22">
        <v>275</v>
      </c>
      <c r="Y5" s="37"/>
      <c r="Z5" s="15"/>
    </row>
    <row r="6" spans="1:26" x14ac:dyDescent="0.3">
      <c r="A6" s="24"/>
      <c r="B6" s="22"/>
      <c r="C6" s="22"/>
      <c r="D6" s="22"/>
      <c r="E6" s="22"/>
      <c r="F6" s="22">
        <v>1518.8</v>
      </c>
      <c r="G6" s="22">
        <v>165</v>
      </c>
      <c r="H6" s="22"/>
      <c r="I6" s="27">
        <v>4943.92</v>
      </c>
      <c r="L6" s="24">
        <v>72</v>
      </c>
      <c r="M6" s="56"/>
      <c r="N6" s="22">
        <v>222</v>
      </c>
      <c r="O6" s="22"/>
      <c r="P6" s="22">
        <v>72</v>
      </c>
      <c r="Q6" s="22"/>
      <c r="R6" s="22">
        <v>395</v>
      </c>
      <c r="S6" s="22"/>
      <c r="T6" s="22">
        <v>72</v>
      </c>
      <c r="U6" s="22"/>
      <c r="V6" s="22">
        <v>300</v>
      </c>
      <c r="W6" s="22"/>
      <c r="X6" s="22">
        <v>228</v>
      </c>
      <c r="Y6" s="37"/>
      <c r="Z6" s="15"/>
    </row>
    <row r="7" spans="1:26" x14ac:dyDescent="0.3">
      <c r="A7" s="24"/>
      <c r="B7" s="22"/>
      <c r="C7" s="22"/>
      <c r="D7" s="22"/>
      <c r="E7" s="22"/>
      <c r="F7" s="22">
        <v>2072.88</v>
      </c>
      <c r="G7" s="22"/>
      <c r="H7" s="22"/>
      <c r="I7" s="27">
        <v>3924.6</v>
      </c>
      <c r="L7" s="24">
        <v>24</v>
      </c>
      <c r="M7" s="56"/>
      <c r="N7" s="22"/>
      <c r="O7" s="22"/>
      <c r="P7" s="22">
        <v>90</v>
      </c>
      <c r="Q7" s="22"/>
      <c r="R7" s="22">
        <v>24</v>
      </c>
      <c r="S7" s="22"/>
      <c r="T7" s="22"/>
      <c r="U7" s="22"/>
      <c r="V7" s="22">
        <v>90</v>
      </c>
      <c r="W7" s="22"/>
      <c r="X7" s="22">
        <v>60</v>
      </c>
      <c r="Y7" s="37"/>
      <c r="Z7" s="15"/>
    </row>
    <row r="8" spans="1:26" ht="15" thickBot="1" x14ac:dyDescent="0.35">
      <c r="A8" s="24"/>
      <c r="B8" s="22"/>
      <c r="C8" s="22"/>
      <c r="D8" s="22"/>
      <c r="E8" s="22"/>
      <c r="F8" s="22">
        <v>1026.2</v>
      </c>
      <c r="G8" s="22"/>
      <c r="H8" s="37"/>
      <c r="I8" s="16">
        <f>SUM(I2:I7)</f>
        <v>19331.2</v>
      </c>
      <c r="L8" s="24">
        <v>90</v>
      </c>
      <c r="M8" s="56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7"/>
      <c r="Z8" s="16">
        <f>SUM(Z2:Z7)</f>
        <v>0</v>
      </c>
    </row>
    <row r="9" spans="1:26" ht="15" thickTop="1" x14ac:dyDescent="0.3">
      <c r="A9" s="24"/>
      <c r="B9" s="22"/>
      <c r="C9" s="22"/>
      <c r="D9" s="22"/>
      <c r="E9" s="22"/>
      <c r="F9" s="22"/>
      <c r="G9" s="22"/>
      <c r="H9" s="22"/>
      <c r="I9" s="38"/>
      <c r="L9" s="24"/>
      <c r="M9" s="56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38"/>
    </row>
    <row r="10" spans="1:26" x14ac:dyDescent="0.3">
      <c r="A10" s="24"/>
      <c r="B10" s="22"/>
      <c r="C10" s="22"/>
      <c r="D10" s="22"/>
      <c r="E10" s="22"/>
      <c r="F10" s="22"/>
      <c r="G10" s="22"/>
      <c r="H10" s="22"/>
      <c r="I10" s="23"/>
      <c r="L10" s="24"/>
      <c r="M10" s="5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3"/>
    </row>
    <row r="11" spans="1:26" x14ac:dyDescent="0.3">
      <c r="A11" s="24"/>
      <c r="B11" s="22"/>
      <c r="C11" s="22"/>
      <c r="D11" s="22"/>
      <c r="E11" s="22"/>
      <c r="F11" s="22"/>
      <c r="G11" s="22"/>
      <c r="H11" s="22"/>
      <c r="I11" s="23"/>
      <c r="L11" s="24"/>
      <c r="M11" s="5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3"/>
    </row>
    <row r="12" spans="1:26" x14ac:dyDescent="0.3">
      <c r="A12" s="24"/>
      <c r="B12" s="22"/>
      <c r="C12" s="22"/>
      <c r="D12" s="22"/>
      <c r="E12" s="22"/>
      <c r="F12" s="22"/>
      <c r="G12" s="22"/>
      <c r="H12" s="22"/>
      <c r="I12" s="23"/>
      <c r="L12" s="24"/>
      <c r="M12" s="5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3"/>
    </row>
    <row r="13" spans="1:26" x14ac:dyDescent="0.3">
      <c r="A13" s="24"/>
      <c r="B13" s="22"/>
      <c r="C13" s="22"/>
      <c r="D13" s="22"/>
      <c r="E13" s="22"/>
      <c r="F13" s="22"/>
      <c r="G13" s="22"/>
      <c r="H13" s="22"/>
      <c r="I13" s="23"/>
      <c r="L13" s="24"/>
      <c r="M13" s="5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3"/>
    </row>
    <row r="14" spans="1:26" x14ac:dyDescent="0.3">
      <c r="A14" s="24"/>
      <c r="B14" s="22"/>
      <c r="C14" s="22"/>
      <c r="D14" s="22"/>
      <c r="E14" s="22"/>
      <c r="F14" s="22"/>
      <c r="G14" s="22"/>
      <c r="H14" s="22"/>
      <c r="I14" s="23"/>
      <c r="L14" s="24"/>
      <c r="M14" s="5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</row>
    <row r="15" spans="1:26" x14ac:dyDescent="0.3">
      <c r="A15" s="24"/>
      <c r="B15" s="22"/>
      <c r="C15" s="22"/>
      <c r="D15" s="22"/>
      <c r="E15" s="22"/>
      <c r="F15" s="28"/>
      <c r="G15" s="22"/>
      <c r="H15" s="22"/>
      <c r="I15" s="23"/>
      <c r="L15" s="24"/>
      <c r="M15" s="56"/>
      <c r="N15" s="22"/>
      <c r="O15" s="22"/>
      <c r="P15" s="22"/>
      <c r="Q15" s="22"/>
      <c r="R15" s="22"/>
      <c r="S15" s="22"/>
      <c r="T15" s="22"/>
      <c r="U15" s="22"/>
      <c r="V15" s="28"/>
      <c r="W15" s="28"/>
      <c r="X15" s="22"/>
      <c r="Y15" s="22"/>
      <c r="Z15" s="23"/>
    </row>
    <row r="16" spans="1:26" x14ac:dyDescent="0.3">
      <c r="A16" s="24">
        <f t="shared" ref="A16:G16" si="0">SUM(A2:A15)</f>
        <v>4688.1900000000005</v>
      </c>
      <c r="B16" s="22">
        <f t="shared" si="0"/>
        <v>5404.0199999999995</v>
      </c>
      <c r="C16" s="22">
        <f t="shared" si="0"/>
        <v>4309.0200000000004</v>
      </c>
      <c r="D16" s="22">
        <f t="shared" si="0"/>
        <v>4080.8199999999997</v>
      </c>
      <c r="E16" s="22">
        <f t="shared" si="0"/>
        <v>480</v>
      </c>
      <c r="F16" s="22">
        <f t="shared" si="0"/>
        <v>4617.88</v>
      </c>
      <c r="G16" s="22">
        <f t="shared" si="0"/>
        <v>4387.0499999999993</v>
      </c>
      <c r="H16" s="29">
        <f>SUM(A16:G16)+I8</f>
        <v>47298.18</v>
      </c>
      <c r="I16" s="30" t="s">
        <v>7</v>
      </c>
      <c r="L16" s="22">
        <f t="shared" ref="L16:Y16" si="1">SUM(L3:L15)</f>
        <v>6136</v>
      </c>
      <c r="M16" s="22">
        <f t="shared" si="1"/>
        <v>297.5</v>
      </c>
      <c r="N16" s="22">
        <f t="shared" si="1"/>
        <v>7332</v>
      </c>
      <c r="O16" s="22">
        <f>SUM(O3:O15)</f>
        <v>340</v>
      </c>
      <c r="P16" s="22">
        <f t="shared" si="1"/>
        <v>6962</v>
      </c>
      <c r="Q16" s="22">
        <f t="shared" si="1"/>
        <v>260</v>
      </c>
      <c r="R16" s="22">
        <f t="shared" si="1"/>
        <v>4499</v>
      </c>
      <c r="S16" s="22">
        <f t="shared" si="1"/>
        <v>65</v>
      </c>
      <c r="T16" s="22">
        <f t="shared" si="1"/>
        <v>672</v>
      </c>
      <c r="U16" s="22">
        <f t="shared" si="1"/>
        <v>0</v>
      </c>
      <c r="V16" s="22">
        <f t="shared" si="1"/>
        <v>7820</v>
      </c>
      <c r="W16" s="22">
        <f t="shared" si="1"/>
        <v>662</v>
      </c>
      <c r="X16" s="22">
        <f t="shared" si="1"/>
        <v>6068</v>
      </c>
      <c r="Y16" s="22">
        <f t="shared" si="1"/>
        <v>149</v>
      </c>
      <c r="Z16" s="33">
        <f>L17+N17+P17+R17+T17+V17+X17</f>
        <v>39489</v>
      </c>
    </row>
    <row r="17" spans="1:26" x14ac:dyDescent="0.3">
      <c r="A17" s="31">
        <v>4688.1899999999996</v>
      </c>
      <c r="B17" s="32">
        <v>5404.02</v>
      </c>
      <c r="C17" s="32">
        <v>4309.0200000000004</v>
      </c>
      <c r="D17" s="32">
        <v>4080.82</v>
      </c>
      <c r="E17" s="32">
        <v>480</v>
      </c>
      <c r="F17" s="32">
        <v>4617.88</v>
      </c>
      <c r="G17" s="32">
        <v>4387.05</v>
      </c>
      <c r="H17" s="22">
        <f>SUM(A17:G17)+I8</f>
        <v>47298.18</v>
      </c>
      <c r="I17" s="33" t="s">
        <v>1</v>
      </c>
      <c r="L17" s="32">
        <v>6136</v>
      </c>
      <c r="M17" s="32">
        <v>297.5</v>
      </c>
      <c r="N17" s="32">
        <v>7332</v>
      </c>
      <c r="O17" s="32">
        <v>340</v>
      </c>
      <c r="P17" s="32">
        <v>6962</v>
      </c>
      <c r="Q17" s="32">
        <v>260</v>
      </c>
      <c r="R17" s="32">
        <v>4499</v>
      </c>
      <c r="S17" s="32">
        <v>65</v>
      </c>
      <c r="T17" s="32">
        <v>672</v>
      </c>
      <c r="U17" s="32">
        <v>0</v>
      </c>
      <c r="V17" s="32">
        <v>7820</v>
      </c>
      <c r="W17" s="32">
        <v>662</v>
      </c>
      <c r="X17" s="32">
        <v>6068</v>
      </c>
      <c r="Y17" s="22">
        <v>149</v>
      </c>
      <c r="Z17" s="33">
        <f>M17+O17+Q17+S17+U17+W17+Y17</f>
        <v>1773.5</v>
      </c>
    </row>
    <row r="18" spans="1:26" ht="15" thickBot="1" x14ac:dyDescent="0.35">
      <c r="A18" s="34">
        <f>A16-A17</f>
        <v>0</v>
      </c>
      <c r="B18" s="35">
        <f>B16-B17</f>
        <v>0</v>
      </c>
      <c r="C18" s="35">
        <f t="shared" ref="C18:F18" si="2">C16-C17</f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>G16-G17</f>
        <v>0</v>
      </c>
      <c r="H18" s="35"/>
      <c r="I18" s="36"/>
      <c r="L18" s="34">
        <f t="shared" ref="L18:Y18" si="3">L16-L17</f>
        <v>0</v>
      </c>
      <c r="M18" s="34">
        <f t="shared" si="3"/>
        <v>0</v>
      </c>
      <c r="N18" s="34">
        <f t="shared" si="3"/>
        <v>0</v>
      </c>
      <c r="O18" s="34">
        <f t="shared" si="3"/>
        <v>0</v>
      </c>
      <c r="P18" s="34">
        <f t="shared" si="3"/>
        <v>0</v>
      </c>
      <c r="Q18" s="34">
        <f t="shared" si="3"/>
        <v>0</v>
      </c>
      <c r="R18" s="34">
        <f t="shared" si="3"/>
        <v>0</v>
      </c>
      <c r="S18" s="34">
        <f t="shared" si="3"/>
        <v>0</v>
      </c>
      <c r="T18" s="34">
        <f t="shared" si="3"/>
        <v>0</v>
      </c>
      <c r="U18" s="34">
        <f t="shared" si="3"/>
        <v>0</v>
      </c>
      <c r="V18" s="34">
        <f t="shared" si="3"/>
        <v>0</v>
      </c>
      <c r="W18" s="34">
        <f t="shared" si="3"/>
        <v>0</v>
      </c>
      <c r="X18" s="34">
        <f t="shared" si="3"/>
        <v>0</v>
      </c>
      <c r="Y18" s="34">
        <f t="shared" si="3"/>
        <v>0</v>
      </c>
      <c r="Z18" s="36"/>
    </row>
    <row r="19" spans="1:26" ht="15.6" thickTop="1" thickBot="1" x14ac:dyDescent="0.35"/>
    <row r="20" spans="1:26" x14ac:dyDescent="0.3">
      <c r="A20" s="17">
        <v>44993</v>
      </c>
      <c r="B20" s="17">
        <v>44994</v>
      </c>
      <c r="C20" s="17">
        <v>44995</v>
      </c>
      <c r="D20" s="17">
        <v>44996</v>
      </c>
      <c r="E20" s="17">
        <v>44997</v>
      </c>
      <c r="F20" s="17">
        <v>44998</v>
      </c>
      <c r="G20" s="17">
        <v>44999</v>
      </c>
      <c r="H20" s="39"/>
      <c r="I20" s="13" t="s">
        <v>8</v>
      </c>
      <c r="L20" s="59">
        <v>44993</v>
      </c>
      <c r="M20" s="59"/>
      <c r="N20" s="59">
        <v>44994</v>
      </c>
      <c r="O20" s="59"/>
      <c r="P20" s="59">
        <v>44995</v>
      </c>
      <c r="Q20" s="59"/>
      <c r="R20" s="59">
        <v>44996</v>
      </c>
      <c r="S20" s="59"/>
      <c r="T20" s="59">
        <v>44997</v>
      </c>
      <c r="U20" s="59"/>
      <c r="V20" s="59">
        <v>44998</v>
      </c>
      <c r="W20" s="59"/>
      <c r="X20" s="59">
        <v>44999</v>
      </c>
      <c r="Y20" s="60"/>
      <c r="Z20" s="13"/>
    </row>
    <row r="21" spans="1:26" ht="15" thickBot="1" x14ac:dyDescent="0.35">
      <c r="A21" s="21">
        <v>1668.8</v>
      </c>
      <c r="B21" s="22">
        <v>1637.25</v>
      </c>
      <c r="C21" s="22">
        <v>1275</v>
      </c>
      <c r="D21" s="22">
        <v>1633.8</v>
      </c>
      <c r="E21" s="22">
        <v>185</v>
      </c>
      <c r="F21" s="22">
        <v>936.9</v>
      </c>
      <c r="G21" s="22">
        <v>1338.45</v>
      </c>
      <c r="H21" s="37"/>
      <c r="I21" s="14">
        <v>5238.82</v>
      </c>
      <c r="L21" s="66" t="s">
        <v>10</v>
      </c>
      <c r="M21" s="66" t="s">
        <v>11</v>
      </c>
      <c r="N21" s="67" t="s">
        <v>10</v>
      </c>
      <c r="O21" s="67" t="s">
        <v>11</v>
      </c>
      <c r="P21" s="67" t="s">
        <v>10</v>
      </c>
      <c r="Q21" s="67" t="s">
        <v>11</v>
      </c>
      <c r="R21" s="67" t="s">
        <v>10</v>
      </c>
      <c r="S21" s="67" t="s">
        <v>11</v>
      </c>
      <c r="T21" s="67" t="s">
        <v>10</v>
      </c>
      <c r="U21" s="67" t="s">
        <v>11</v>
      </c>
      <c r="V21" s="67" t="s">
        <v>10</v>
      </c>
      <c r="W21" s="67" t="s">
        <v>11</v>
      </c>
      <c r="X21" s="67" t="s">
        <v>10</v>
      </c>
      <c r="Y21" s="67" t="s">
        <v>11</v>
      </c>
      <c r="Z21" s="14"/>
    </row>
    <row r="22" spans="1:26" x14ac:dyDescent="0.3">
      <c r="A22" s="24">
        <v>1792.88</v>
      </c>
      <c r="B22" s="22">
        <v>1917.98</v>
      </c>
      <c r="C22" s="22">
        <v>635.35</v>
      </c>
      <c r="D22" s="22">
        <v>1825.82</v>
      </c>
      <c r="E22" s="25">
        <v>220</v>
      </c>
      <c r="F22" s="22">
        <v>3182.26</v>
      </c>
      <c r="G22" s="22">
        <v>2242.0500000000002</v>
      </c>
      <c r="H22" s="37"/>
      <c r="I22" s="14">
        <v>294.89999999999998</v>
      </c>
      <c r="L22" s="61">
        <v>4380</v>
      </c>
      <c r="M22" s="62">
        <v>65</v>
      </c>
      <c r="N22" s="63">
        <v>4080</v>
      </c>
      <c r="O22" s="63">
        <v>237.9</v>
      </c>
      <c r="P22" s="63">
        <v>3990</v>
      </c>
      <c r="Q22" s="63">
        <v>107</v>
      </c>
      <c r="R22" s="63">
        <v>2770</v>
      </c>
      <c r="S22" s="63">
        <v>120</v>
      </c>
      <c r="T22" s="69">
        <v>60</v>
      </c>
      <c r="U22" s="69">
        <v>0</v>
      </c>
      <c r="V22" s="63">
        <v>2980</v>
      </c>
      <c r="W22" s="63">
        <v>57.5</v>
      </c>
      <c r="X22" s="63">
        <v>2430</v>
      </c>
      <c r="Y22" s="65">
        <v>125</v>
      </c>
      <c r="Z22" s="14"/>
    </row>
    <row r="23" spans="1:26" x14ac:dyDescent="0.3">
      <c r="A23" s="24">
        <v>406.2</v>
      </c>
      <c r="B23" s="22">
        <v>822.75</v>
      </c>
      <c r="C23" s="22">
        <v>1838.5</v>
      </c>
      <c r="D23" s="26">
        <v>346.2</v>
      </c>
      <c r="E23" s="22">
        <v>110</v>
      </c>
      <c r="F23" s="22">
        <v>165</v>
      </c>
      <c r="G23" s="22">
        <v>341.55</v>
      </c>
      <c r="H23" s="37"/>
      <c r="I23" s="14">
        <v>4820.7</v>
      </c>
      <c r="L23" s="24">
        <v>1050</v>
      </c>
      <c r="M23" s="56">
        <v>1980</v>
      </c>
      <c r="N23" s="22">
        <v>1410</v>
      </c>
      <c r="O23" s="22">
        <v>65</v>
      </c>
      <c r="P23" s="22">
        <v>60</v>
      </c>
      <c r="Q23" s="22">
        <v>120</v>
      </c>
      <c r="R23" s="70">
        <v>1320</v>
      </c>
      <c r="S23" s="70">
        <v>12</v>
      </c>
      <c r="T23" s="22">
        <v>180</v>
      </c>
      <c r="U23" s="22"/>
      <c r="V23" s="22">
        <v>1510</v>
      </c>
      <c r="W23" s="22">
        <v>242.2</v>
      </c>
      <c r="X23" s="22">
        <v>1700</v>
      </c>
      <c r="Y23" s="37">
        <v>900</v>
      </c>
      <c r="Z23" s="15"/>
    </row>
    <row r="24" spans="1:26" x14ac:dyDescent="0.3">
      <c r="A24" s="24"/>
      <c r="B24" s="22"/>
      <c r="C24" s="22">
        <v>509.65</v>
      </c>
      <c r="D24" s="25"/>
      <c r="E24" s="22"/>
      <c r="F24" s="22">
        <v>223.1</v>
      </c>
      <c r="G24" s="22"/>
      <c r="H24" s="37"/>
      <c r="I24" s="15">
        <v>1750</v>
      </c>
      <c r="L24" s="24">
        <v>610</v>
      </c>
      <c r="M24" s="56"/>
      <c r="N24" s="22">
        <v>710</v>
      </c>
      <c r="O24" s="22"/>
      <c r="P24" s="22">
        <v>1760</v>
      </c>
      <c r="Q24" s="22">
        <v>130</v>
      </c>
      <c r="R24" s="71">
        <v>228</v>
      </c>
      <c r="S24" s="71">
        <v>57.5</v>
      </c>
      <c r="T24" s="22">
        <v>60</v>
      </c>
      <c r="U24" s="22"/>
      <c r="V24" s="22">
        <v>1050</v>
      </c>
      <c r="W24" s="22"/>
      <c r="X24" s="22">
        <v>60</v>
      </c>
      <c r="Y24" s="37"/>
      <c r="Z24" s="15"/>
    </row>
    <row r="25" spans="1:26" x14ac:dyDescent="0.3">
      <c r="A25" s="24"/>
      <c r="B25" s="22"/>
      <c r="C25" s="22"/>
      <c r="D25" s="22"/>
      <c r="E25" s="22"/>
      <c r="F25" s="22"/>
      <c r="G25" s="22"/>
      <c r="H25" s="37"/>
      <c r="I25" s="15">
        <v>4797.26</v>
      </c>
      <c r="L25" s="24">
        <v>72</v>
      </c>
      <c r="M25" s="56"/>
      <c r="N25" s="22">
        <v>228</v>
      </c>
      <c r="O25" s="22"/>
      <c r="P25" s="22">
        <v>340</v>
      </c>
      <c r="Q25" s="22"/>
      <c r="R25" s="22"/>
      <c r="S25" s="22">
        <v>65</v>
      </c>
      <c r="T25" s="22">
        <v>72</v>
      </c>
      <c r="U25" s="22"/>
      <c r="V25" s="22">
        <v>252</v>
      </c>
      <c r="W25" s="22"/>
      <c r="X25" s="22">
        <v>660</v>
      </c>
      <c r="Y25" s="37"/>
      <c r="Z25" s="15"/>
    </row>
    <row r="26" spans="1:26" x14ac:dyDescent="0.3">
      <c r="A26" s="24"/>
      <c r="B26" s="22"/>
      <c r="C26" s="22"/>
      <c r="D26" s="22"/>
      <c r="E26" s="22"/>
      <c r="F26" s="22"/>
      <c r="G26" s="22"/>
      <c r="H26" s="37"/>
      <c r="I26" s="15">
        <v>3950</v>
      </c>
      <c r="L26" s="24">
        <v>90</v>
      </c>
      <c r="M26" s="56"/>
      <c r="N26" s="22"/>
      <c r="O26" s="22"/>
      <c r="P26" s="22">
        <v>72</v>
      </c>
      <c r="Q26" s="22"/>
      <c r="R26" s="22"/>
      <c r="S26" s="22"/>
      <c r="T26" s="22"/>
      <c r="U26" s="22"/>
      <c r="V26" s="22">
        <v>90</v>
      </c>
      <c r="W26" s="22"/>
      <c r="X26" s="22">
        <v>300</v>
      </c>
      <c r="Y26" s="37"/>
      <c r="Z26" s="15"/>
    </row>
    <row r="27" spans="1:26" ht="15" thickBot="1" x14ac:dyDescent="0.35">
      <c r="A27" s="24"/>
      <c r="B27" s="22"/>
      <c r="C27" s="22"/>
      <c r="D27" s="22"/>
      <c r="E27" s="22"/>
      <c r="F27" s="22"/>
      <c r="G27" s="22"/>
      <c r="H27" s="37"/>
      <c r="I27" s="16"/>
      <c r="L27" s="24"/>
      <c r="M27" s="56"/>
      <c r="N27" s="22"/>
      <c r="O27" s="22"/>
      <c r="P27" s="22">
        <v>72</v>
      </c>
      <c r="Q27" s="22"/>
      <c r="R27" s="22"/>
      <c r="S27" s="22"/>
      <c r="T27" s="22"/>
      <c r="U27" s="22"/>
      <c r="V27" s="22"/>
      <c r="W27" s="22"/>
      <c r="X27" s="22">
        <v>48</v>
      </c>
      <c r="Y27" s="37"/>
      <c r="Z27" s="16">
        <f>SUM(Z21:Z26)</f>
        <v>0</v>
      </c>
    </row>
    <row r="28" spans="1:26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16">
        <f>SUM(I21:I27)</f>
        <v>20851.68</v>
      </c>
      <c r="L28" s="24"/>
      <c r="M28" s="5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38"/>
    </row>
    <row r="29" spans="1:26" ht="15.6" thickTop="1" thickBot="1" x14ac:dyDescent="0.35">
      <c r="A29" s="24"/>
      <c r="B29" s="22"/>
      <c r="C29" s="22"/>
      <c r="D29" s="22"/>
      <c r="E29" s="22"/>
      <c r="F29" s="22"/>
      <c r="G29" s="22"/>
      <c r="H29" s="22"/>
      <c r="I29" s="16"/>
      <c r="L29" s="24"/>
      <c r="M29" s="5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3"/>
    </row>
    <row r="30" spans="1:26" ht="15" thickTop="1" x14ac:dyDescent="0.3">
      <c r="A30" s="24"/>
      <c r="B30" s="22"/>
      <c r="C30" s="22"/>
      <c r="D30" s="22"/>
      <c r="E30" s="22"/>
      <c r="F30" s="22"/>
      <c r="G30" s="22"/>
      <c r="H30" s="22"/>
      <c r="I30" s="23"/>
      <c r="L30" s="24"/>
      <c r="M30" s="56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3"/>
    </row>
    <row r="31" spans="1:26" x14ac:dyDescent="0.3">
      <c r="A31" s="24"/>
      <c r="B31" s="22"/>
      <c r="C31" s="22"/>
      <c r="D31" s="22"/>
      <c r="E31" s="22"/>
      <c r="F31" s="22"/>
      <c r="G31" s="22"/>
      <c r="H31" s="22"/>
      <c r="I31" s="23"/>
      <c r="L31" s="24"/>
      <c r="M31" s="5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3"/>
    </row>
    <row r="32" spans="1:26" x14ac:dyDescent="0.3">
      <c r="A32" s="24"/>
      <c r="B32" s="22"/>
      <c r="C32" s="22"/>
      <c r="D32" s="22"/>
      <c r="E32" s="22"/>
      <c r="F32" s="22"/>
      <c r="G32" s="22"/>
      <c r="H32" s="22"/>
      <c r="I32" s="23"/>
      <c r="L32" s="24"/>
      <c r="M32" s="5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</row>
    <row r="33" spans="1:26" x14ac:dyDescent="0.3">
      <c r="A33" s="24"/>
      <c r="B33" s="22"/>
      <c r="C33" s="22"/>
      <c r="D33" s="22"/>
      <c r="E33" s="22"/>
      <c r="F33" s="22"/>
      <c r="G33" s="22"/>
      <c r="H33" s="22"/>
      <c r="I33" s="23"/>
      <c r="L33" s="24"/>
      <c r="M33" s="5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</row>
    <row r="34" spans="1:26" x14ac:dyDescent="0.3">
      <c r="A34" s="24"/>
      <c r="B34" s="22"/>
      <c r="C34" s="22"/>
      <c r="D34" s="22"/>
      <c r="E34" s="22"/>
      <c r="F34" s="28"/>
      <c r="G34" s="22"/>
      <c r="H34" s="22"/>
      <c r="I34" s="23"/>
      <c r="L34" s="24"/>
      <c r="M34" s="56"/>
      <c r="N34" s="22"/>
      <c r="O34" s="22"/>
      <c r="P34" s="22"/>
      <c r="Q34" s="22"/>
      <c r="R34" s="22"/>
      <c r="S34" s="22"/>
      <c r="T34" s="22"/>
      <c r="U34" s="22"/>
      <c r="V34" s="28"/>
      <c r="W34" s="28"/>
      <c r="X34" s="22"/>
      <c r="Y34" s="22"/>
      <c r="Z34" s="23"/>
    </row>
    <row r="35" spans="1:26" x14ac:dyDescent="0.3">
      <c r="A35" s="24">
        <f t="shared" ref="A35:G35" si="4">SUM(A21:A34)</f>
        <v>3867.88</v>
      </c>
      <c r="B35" s="22">
        <f t="shared" si="4"/>
        <v>4377.9799999999996</v>
      </c>
      <c r="C35" s="22">
        <f t="shared" si="4"/>
        <v>4258.5</v>
      </c>
      <c r="D35" s="22">
        <f t="shared" si="4"/>
        <v>3805.8199999999997</v>
      </c>
      <c r="E35" s="22">
        <f t="shared" si="4"/>
        <v>515</v>
      </c>
      <c r="F35" s="22">
        <f t="shared" si="4"/>
        <v>4507.26</v>
      </c>
      <c r="G35" s="22">
        <f t="shared" si="4"/>
        <v>3922.05</v>
      </c>
      <c r="H35" s="29">
        <f>SUM(A35:G35)+I28</f>
        <v>46106.17</v>
      </c>
      <c r="I35" s="30" t="s">
        <v>7</v>
      </c>
      <c r="L35" s="22">
        <f t="shared" ref="L35:Y35" si="5">SUM(L22:L34)</f>
        <v>6202</v>
      </c>
      <c r="M35" s="22">
        <f t="shared" si="5"/>
        <v>2045</v>
      </c>
      <c r="N35" s="22">
        <f t="shared" si="5"/>
        <v>6428</v>
      </c>
      <c r="O35" s="22">
        <f t="shared" si="5"/>
        <v>302.89999999999998</v>
      </c>
      <c r="P35" s="22">
        <f t="shared" si="5"/>
        <v>6294</v>
      </c>
      <c r="Q35" s="22">
        <f t="shared" si="5"/>
        <v>357</v>
      </c>
      <c r="R35" s="22">
        <f t="shared" si="5"/>
        <v>4318</v>
      </c>
      <c r="S35" s="22">
        <f t="shared" si="5"/>
        <v>254.5</v>
      </c>
      <c r="T35" s="22">
        <f t="shared" si="5"/>
        <v>372</v>
      </c>
      <c r="U35" s="22">
        <f t="shared" si="5"/>
        <v>0</v>
      </c>
      <c r="V35" s="22">
        <f t="shared" si="5"/>
        <v>5882</v>
      </c>
      <c r="W35" s="22">
        <f t="shared" si="5"/>
        <v>299.7</v>
      </c>
      <c r="X35" s="22">
        <f t="shared" si="5"/>
        <v>5198</v>
      </c>
      <c r="Y35" s="22">
        <f t="shared" si="5"/>
        <v>1025</v>
      </c>
      <c r="Z35" s="33">
        <f>L36+N36+P36+R36+T36+V36+X36</f>
        <v>34694</v>
      </c>
    </row>
    <row r="36" spans="1:26" x14ac:dyDescent="0.3">
      <c r="A36" s="31">
        <v>3867.88</v>
      </c>
      <c r="B36" s="32">
        <v>4377.9799999999996</v>
      </c>
      <c r="C36" s="32">
        <v>4258.5</v>
      </c>
      <c r="D36" s="32">
        <v>3805.82</v>
      </c>
      <c r="E36" s="32">
        <v>515</v>
      </c>
      <c r="F36" s="32">
        <v>4507.26</v>
      </c>
      <c r="G36" s="32">
        <v>3922.05</v>
      </c>
      <c r="H36" s="22">
        <f>SUM(A36:G36)+I28</f>
        <v>46106.17</v>
      </c>
      <c r="I36" s="33" t="s">
        <v>1</v>
      </c>
      <c r="L36" s="32">
        <v>6202</v>
      </c>
      <c r="M36" s="32">
        <v>2045</v>
      </c>
      <c r="N36" s="32">
        <v>6428</v>
      </c>
      <c r="O36" s="32">
        <v>302.89999999999998</v>
      </c>
      <c r="P36" s="32">
        <v>6294</v>
      </c>
      <c r="Q36" s="32">
        <v>357</v>
      </c>
      <c r="R36" s="32">
        <v>4318</v>
      </c>
      <c r="S36" s="32">
        <v>254.5</v>
      </c>
      <c r="T36" s="32">
        <v>372</v>
      </c>
      <c r="U36" s="32">
        <v>0</v>
      </c>
      <c r="V36" s="32">
        <v>5882</v>
      </c>
      <c r="W36" s="32">
        <v>299.7</v>
      </c>
      <c r="X36" s="32">
        <v>5198</v>
      </c>
      <c r="Y36" s="22">
        <v>1025</v>
      </c>
      <c r="Z36" s="33">
        <f>M36+O36+Q36+S36+U36+W36+Y36</f>
        <v>4284.1000000000004</v>
      </c>
    </row>
    <row r="37" spans="1:26" ht="15" thickBot="1" x14ac:dyDescent="0.35">
      <c r="A37" s="34">
        <f>A35-A36</f>
        <v>0</v>
      </c>
      <c r="B37" s="35">
        <f>B35-B36</f>
        <v>0</v>
      </c>
      <c r="C37" s="35">
        <f t="shared" ref="C37:F37" si="6">C35-C36</f>
        <v>0</v>
      </c>
      <c r="D37" s="35">
        <f t="shared" si="6"/>
        <v>0</v>
      </c>
      <c r="E37" s="35">
        <f t="shared" si="6"/>
        <v>0</v>
      </c>
      <c r="F37" s="35">
        <f t="shared" si="6"/>
        <v>0</v>
      </c>
      <c r="G37" s="35">
        <f>G35-G36</f>
        <v>0</v>
      </c>
      <c r="H37" s="35"/>
      <c r="I37" s="36"/>
      <c r="L37" s="34">
        <f t="shared" ref="L37:Y37" si="7">L35-L36</f>
        <v>0</v>
      </c>
      <c r="M37" s="34">
        <f t="shared" si="7"/>
        <v>0</v>
      </c>
      <c r="N37" s="34">
        <f t="shared" si="7"/>
        <v>0</v>
      </c>
      <c r="O37" s="34">
        <f t="shared" si="7"/>
        <v>0</v>
      </c>
      <c r="P37" s="34">
        <f t="shared" si="7"/>
        <v>0</v>
      </c>
      <c r="Q37" s="34">
        <f t="shared" si="7"/>
        <v>0</v>
      </c>
      <c r="R37" s="34">
        <f t="shared" si="7"/>
        <v>0</v>
      </c>
      <c r="S37" s="34">
        <f t="shared" si="7"/>
        <v>0</v>
      </c>
      <c r="T37" s="34">
        <f t="shared" si="7"/>
        <v>0</v>
      </c>
      <c r="U37" s="34">
        <f t="shared" si="7"/>
        <v>0</v>
      </c>
      <c r="V37" s="34">
        <f t="shared" si="7"/>
        <v>0</v>
      </c>
      <c r="W37" s="34">
        <f t="shared" si="7"/>
        <v>0</v>
      </c>
      <c r="X37" s="34">
        <f t="shared" si="7"/>
        <v>0</v>
      </c>
      <c r="Y37" s="34">
        <f t="shared" si="7"/>
        <v>0</v>
      </c>
      <c r="Z37" s="36"/>
    </row>
    <row r="38" spans="1:26" ht="15.6" thickTop="1" thickBot="1" x14ac:dyDescent="0.35"/>
    <row r="39" spans="1:26" x14ac:dyDescent="0.3">
      <c r="A39" s="17">
        <v>45000</v>
      </c>
      <c r="B39" s="17">
        <v>45001</v>
      </c>
      <c r="C39" s="17">
        <v>45002</v>
      </c>
      <c r="D39" s="17">
        <v>45003</v>
      </c>
      <c r="E39" s="17">
        <v>45004</v>
      </c>
      <c r="F39" s="17">
        <v>45005</v>
      </c>
      <c r="G39" s="17">
        <v>45006</v>
      </c>
      <c r="H39" s="39"/>
      <c r="I39" s="13" t="s">
        <v>8</v>
      </c>
      <c r="L39" s="59">
        <v>45000</v>
      </c>
      <c r="M39" s="59"/>
      <c r="N39" s="59">
        <v>45001</v>
      </c>
      <c r="O39" s="59"/>
      <c r="P39" s="59">
        <v>45002</v>
      </c>
      <c r="Q39" s="59"/>
      <c r="R39" s="59">
        <v>45003</v>
      </c>
      <c r="S39" s="59"/>
      <c r="T39" s="59">
        <v>45004</v>
      </c>
      <c r="U39" s="59"/>
      <c r="V39" s="59">
        <v>45005</v>
      </c>
      <c r="W39" s="59"/>
      <c r="X39" s="59">
        <v>45006</v>
      </c>
      <c r="Y39" s="60"/>
      <c r="Z39" s="13"/>
    </row>
    <row r="40" spans="1:26" ht="15" thickBot="1" x14ac:dyDescent="0.35">
      <c r="A40" s="21">
        <v>1740.35</v>
      </c>
      <c r="B40" s="22">
        <v>1575.35</v>
      </c>
      <c r="C40" s="22">
        <v>1590.35</v>
      </c>
      <c r="D40" s="22">
        <v>1243.45</v>
      </c>
      <c r="E40" s="22">
        <v>195</v>
      </c>
      <c r="F40" s="22">
        <v>1225.3499999999999</v>
      </c>
      <c r="G40" s="22">
        <v>1075.3499999999999</v>
      </c>
      <c r="H40" s="37"/>
      <c r="I40" s="14">
        <v>5135</v>
      </c>
      <c r="L40" s="66" t="s">
        <v>10</v>
      </c>
      <c r="M40" s="66" t="s">
        <v>11</v>
      </c>
      <c r="N40" s="67" t="s">
        <v>10</v>
      </c>
      <c r="O40" s="67" t="s">
        <v>11</v>
      </c>
      <c r="P40" s="67" t="s">
        <v>10</v>
      </c>
      <c r="Q40" s="67" t="s">
        <v>11</v>
      </c>
      <c r="R40" s="67" t="s">
        <v>10</v>
      </c>
      <c r="S40" s="67" t="s">
        <v>11</v>
      </c>
      <c r="T40" s="67" t="s">
        <v>10</v>
      </c>
      <c r="U40" s="67" t="s">
        <v>11</v>
      </c>
      <c r="V40" s="67" t="s">
        <v>10</v>
      </c>
      <c r="W40" s="67" t="s">
        <v>11</v>
      </c>
      <c r="X40" s="67" t="s">
        <v>10</v>
      </c>
      <c r="Y40" s="67" t="s">
        <v>11</v>
      </c>
      <c r="Z40" s="14"/>
    </row>
    <row r="41" spans="1:26" x14ac:dyDescent="0.3">
      <c r="A41" s="24">
        <v>1868.19</v>
      </c>
      <c r="B41" s="22">
        <v>2682.57</v>
      </c>
      <c r="C41" s="22">
        <v>2237.88</v>
      </c>
      <c r="D41" s="22">
        <v>540</v>
      </c>
      <c r="E41" s="25">
        <v>220</v>
      </c>
      <c r="F41" s="22">
        <v>2558.19</v>
      </c>
      <c r="G41" s="22">
        <v>570</v>
      </c>
      <c r="H41" s="37"/>
      <c r="I41" s="14">
        <v>4605.18</v>
      </c>
      <c r="L41" s="61">
        <v>2420</v>
      </c>
      <c r="M41" s="62">
        <v>31.5</v>
      </c>
      <c r="N41" s="63">
        <v>2370</v>
      </c>
      <c r="O41" s="63">
        <v>57.5</v>
      </c>
      <c r="P41" s="63">
        <v>2550</v>
      </c>
      <c r="Q41" s="63">
        <v>94</v>
      </c>
      <c r="R41" s="63">
        <v>1860</v>
      </c>
      <c r="S41" s="63">
        <v>3960</v>
      </c>
      <c r="T41" s="69">
        <v>60</v>
      </c>
      <c r="U41" s="69"/>
      <c r="V41" s="63">
        <v>2700</v>
      </c>
      <c r="W41" s="63">
        <v>120</v>
      </c>
      <c r="X41" s="63">
        <v>2710</v>
      </c>
      <c r="Y41" s="65">
        <v>65</v>
      </c>
      <c r="Z41" s="14"/>
    </row>
    <row r="42" spans="1:26" x14ac:dyDescent="0.3">
      <c r="A42" s="24">
        <v>1009.65</v>
      </c>
      <c r="B42" s="22">
        <v>894.65</v>
      </c>
      <c r="C42" s="22">
        <v>579.65</v>
      </c>
      <c r="D42" s="26">
        <v>431.55</v>
      </c>
      <c r="E42" s="22">
        <v>110</v>
      </c>
      <c r="F42" s="22">
        <v>679.65</v>
      </c>
      <c r="G42" s="22">
        <v>165</v>
      </c>
      <c r="H42" s="37"/>
      <c r="I42" s="15">
        <v>5238.82</v>
      </c>
      <c r="L42" s="24">
        <v>1770</v>
      </c>
      <c r="M42" s="56">
        <v>65</v>
      </c>
      <c r="N42" s="22">
        <v>1230</v>
      </c>
      <c r="O42" s="22">
        <v>182.5</v>
      </c>
      <c r="P42" s="22">
        <v>2165</v>
      </c>
      <c r="Q42" s="22"/>
      <c r="R42" s="70">
        <v>1100</v>
      </c>
      <c r="S42" s="70">
        <v>47.5</v>
      </c>
      <c r="T42" s="22">
        <v>180</v>
      </c>
      <c r="U42" s="22"/>
      <c r="V42" s="22">
        <v>2120</v>
      </c>
      <c r="W42" s="22">
        <v>50</v>
      </c>
      <c r="X42" s="22">
        <v>1290</v>
      </c>
      <c r="Y42" s="37">
        <v>20</v>
      </c>
      <c r="Z42" s="15"/>
    </row>
    <row r="43" spans="1:26" x14ac:dyDescent="0.3">
      <c r="A43" s="24"/>
      <c r="B43" s="22"/>
      <c r="C43" s="22"/>
      <c r="D43" s="25"/>
      <c r="E43" s="22"/>
      <c r="F43" s="22"/>
      <c r="G43" s="22">
        <v>209.65</v>
      </c>
      <c r="H43" s="37"/>
      <c r="I43" s="15">
        <v>1315.74</v>
      </c>
      <c r="L43" s="24">
        <v>780</v>
      </c>
      <c r="M43" s="56">
        <v>42</v>
      </c>
      <c r="N43" s="22">
        <v>990</v>
      </c>
      <c r="O43" s="22"/>
      <c r="P43" s="22">
        <v>705</v>
      </c>
      <c r="R43" s="71">
        <v>300</v>
      </c>
      <c r="S43" s="71"/>
      <c r="T43" s="22">
        <v>120</v>
      </c>
      <c r="U43" s="22"/>
      <c r="V43" s="22">
        <v>710</v>
      </c>
      <c r="W43" s="22">
        <v>391.9</v>
      </c>
      <c r="X43" s="22">
        <v>700</v>
      </c>
      <c r="Y43" s="37">
        <v>60</v>
      </c>
      <c r="Z43" s="15"/>
    </row>
    <row r="44" spans="1:26" x14ac:dyDescent="0.3">
      <c r="A44" s="24"/>
      <c r="B44" s="22"/>
      <c r="C44" s="22"/>
      <c r="D44" s="22"/>
      <c r="E44" s="22"/>
      <c r="F44" s="22"/>
      <c r="G44" s="22"/>
      <c r="H44" s="37"/>
      <c r="I44" s="15">
        <v>5166.28</v>
      </c>
      <c r="L44" s="24">
        <v>144</v>
      </c>
      <c r="M44" s="56"/>
      <c r="N44" s="22">
        <v>300</v>
      </c>
      <c r="O44" s="22"/>
      <c r="P44" s="22">
        <v>144</v>
      </c>
      <c r="Q44" s="22"/>
      <c r="R44" s="22">
        <v>306</v>
      </c>
      <c r="S44" s="22"/>
      <c r="T44" s="22">
        <v>72</v>
      </c>
      <c r="U44" s="22"/>
      <c r="V44" s="22">
        <v>744</v>
      </c>
      <c r="W44" s="22"/>
      <c r="X44" s="22">
        <v>300</v>
      </c>
      <c r="Y44" s="37"/>
      <c r="Z44" s="15"/>
    </row>
    <row r="45" spans="1:26" x14ac:dyDescent="0.3">
      <c r="A45" s="24"/>
      <c r="B45" s="22"/>
      <c r="C45" s="22"/>
      <c r="D45" s="22"/>
      <c r="E45" s="22"/>
      <c r="F45" s="22"/>
      <c r="G45" s="22"/>
      <c r="H45" s="37"/>
      <c r="I45" s="15">
        <v>1050</v>
      </c>
      <c r="L45" s="24">
        <v>66</v>
      </c>
      <c r="M45" s="56"/>
      <c r="N45" s="22">
        <v>26</v>
      </c>
      <c r="O45" s="22"/>
      <c r="P45" s="22">
        <v>90</v>
      </c>
      <c r="Q45" s="22"/>
      <c r="R45" s="22">
        <v>26</v>
      </c>
      <c r="S45" s="22"/>
      <c r="T45" s="22"/>
      <c r="U45" s="22"/>
      <c r="V45" s="22">
        <v>114</v>
      </c>
      <c r="W45" s="22"/>
      <c r="X45" s="22"/>
      <c r="Y45" s="37"/>
      <c r="Z45" s="15"/>
    </row>
    <row r="46" spans="1:26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22511.02</v>
      </c>
      <c r="L46" s="24"/>
      <c r="M46" s="56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37"/>
      <c r="Z46" s="16">
        <f>SUM(Z40:Z45)</f>
        <v>0</v>
      </c>
    </row>
    <row r="47" spans="1:26" ht="15" thickTop="1" x14ac:dyDescent="0.3">
      <c r="A47" s="24"/>
      <c r="B47" s="22"/>
      <c r="C47" s="22"/>
      <c r="D47" s="22"/>
      <c r="E47" s="22"/>
      <c r="F47" s="22"/>
      <c r="G47" s="22"/>
      <c r="H47" s="22"/>
      <c r="I47" s="38"/>
      <c r="L47" s="24"/>
      <c r="M47" s="5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38"/>
    </row>
    <row r="48" spans="1:26" x14ac:dyDescent="0.3">
      <c r="A48" s="24"/>
      <c r="B48" s="22"/>
      <c r="C48" s="22"/>
      <c r="D48" s="22"/>
      <c r="E48" s="22"/>
      <c r="F48" s="22"/>
      <c r="G48" s="22"/>
      <c r="H48" s="22"/>
      <c r="I48" s="23"/>
      <c r="L48" s="24"/>
      <c r="M48" s="5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3"/>
    </row>
    <row r="49" spans="1:26" x14ac:dyDescent="0.3">
      <c r="A49" s="24"/>
      <c r="B49" s="22"/>
      <c r="C49" s="22"/>
      <c r="D49" s="22"/>
      <c r="E49" s="22"/>
      <c r="F49" s="22"/>
      <c r="G49" s="22"/>
      <c r="H49" s="22"/>
      <c r="I49" s="23"/>
      <c r="L49" s="24"/>
      <c r="M49" s="5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3"/>
    </row>
    <row r="50" spans="1:26" x14ac:dyDescent="0.3">
      <c r="A50" s="24"/>
      <c r="B50" s="22"/>
      <c r="C50" s="22"/>
      <c r="D50" s="22"/>
      <c r="E50" s="22"/>
      <c r="F50" s="22"/>
      <c r="G50" s="22"/>
      <c r="H50" s="22"/>
      <c r="I50" s="23"/>
      <c r="L50" s="24"/>
      <c r="M50" s="5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3"/>
    </row>
    <row r="51" spans="1:26" x14ac:dyDescent="0.3">
      <c r="A51" s="24"/>
      <c r="B51" s="22"/>
      <c r="C51" s="22"/>
      <c r="D51" s="22"/>
      <c r="E51" s="22"/>
      <c r="F51" s="22"/>
      <c r="G51" s="22"/>
      <c r="H51" s="22"/>
      <c r="I51" s="23"/>
      <c r="L51" s="24"/>
      <c r="M51" s="5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3"/>
    </row>
    <row r="52" spans="1:26" x14ac:dyDescent="0.3">
      <c r="A52" s="24"/>
      <c r="B52" s="22"/>
      <c r="C52" s="22"/>
      <c r="D52" s="22"/>
      <c r="E52" s="22"/>
      <c r="F52" s="22"/>
      <c r="G52" s="22"/>
      <c r="H52" s="22"/>
      <c r="I52" s="23"/>
      <c r="L52" s="24"/>
      <c r="M52" s="5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3"/>
    </row>
    <row r="53" spans="1:26" x14ac:dyDescent="0.3">
      <c r="A53" s="24"/>
      <c r="B53" s="22"/>
      <c r="C53" s="22"/>
      <c r="D53" s="22"/>
      <c r="E53" s="22"/>
      <c r="F53" s="28"/>
      <c r="G53" s="22"/>
      <c r="H53" s="22"/>
      <c r="I53" s="23"/>
      <c r="L53" s="24"/>
      <c r="M53" s="56"/>
      <c r="N53" s="22"/>
      <c r="O53" s="22"/>
      <c r="P53" s="22"/>
      <c r="Q53" s="22"/>
      <c r="R53" s="22"/>
      <c r="S53" s="22"/>
      <c r="T53" s="22"/>
      <c r="U53" s="22"/>
      <c r="V53" s="28"/>
      <c r="W53" s="28"/>
      <c r="X53" s="22"/>
      <c r="Y53" s="22"/>
      <c r="Z53" s="23"/>
    </row>
    <row r="54" spans="1:26" x14ac:dyDescent="0.3">
      <c r="A54" s="24">
        <f t="shared" ref="A54:G54" si="8">SUM(A40:A53)</f>
        <v>4618.1899999999996</v>
      </c>
      <c r="B54" s="22">
        <f t="shared" si="8"/>
        <v>5152.57</v>
      </c>
      <c r="C54" s="22">
        <f t="shared" si="8"/>
        <v>4407.88</v>
      </c>
      <c r="D54" s="22">
        <f t="shared" si="8"/>
        <v>2215</v>
      </c>
      <c r="E54" s="22">
        <f>SUM(E40:E53)</f>
        <v>525</v>
      </c>
      <c r="F54" s="22">
        <f t="shared" si="8"/>
        <v>4463.1899999999996</v>
      </c>
      <c r="G54" s="22">
        <f t="shared" si="8"/>
        <v>2020</v>
      </c>
      <c r="H54" s="29">
        <f>SUM(A54:G54)+I46</f>
        <v>45912.85</v>
      </c>
      <c r="I54" s="30" t="s">
        <v>7</v>
      </c>
      <c r="L54" s="22">
        <f t="shared" ref="L54:Y54" si="9">SUM(L41:L53)</f>
        <v>5180</v>
      </c>
      <c r="M54" s="22">
        <f t="shared" si="9"/>
        <v>138.5</v>
      </c>
      <c r="N54" s="22">
        <f t="shared" si="9"/>
        <v>4916</v>
      </c>
      <c r="O54" s="22">
        <f t="shared" si="9"/>
        <v>240</v>
      </c>
      <c r="P54" s="22">
        <f t="shared" si="9"/>
        <v>5654</v>
      </c>
      <c r="Q54" s="22">
        <f t="shared" si="9"/>
        <v>94</v>
      </c>
      <c r="R54" s="22">
        <f t="shared" si="9"/>
        <v>3592</v>
      </c>
      <c r="S54" s="22">
        <f t="shared" si="9"/>
        <v>4007.5</v>
      </c>
      <c r="T54" s="22">
        <f t="shared" si="9"/>
        <v>432</v>
      </c>
      <c r="U54" s="22">
        <f t="shared" si="9"/>
        <v>0</v>
      </c>
      <c r="V54" s="22">
        <f t="shared" si="9"/>
        <v>6388</v>
      </c>
      <c r="W54" s="22">
        <f t="shared" si="9"/>
        <v>561.9</v>
      </c>
      <c r="X54" s="22">
        <f t="shared" si="9"/>
        <v>5000</v>
      </c>
      <c r="Y54" s="22">
        <f t="shared" si="9"/>
        <v>145</v>
      </c>
      <c r="Z54" s="33">
        <f>L55+N55+P55+R55+T55+V55+X55</f>
        <v>31162</v>
      </c>
    </row>
    <row r="55" spans="1:26" x14ac:dyDescent="0.3">
      <c r="A55" s="31">
        <v>4618.1899999999996</v>
      </c>
      <c r="B55" s="32">
        <v>5152.57</v>
      </c>
      <c r="C55" s="32">
        <v>4407.88</v>
      </c>
      <c r="D55" s="32">
        <v>2215</v>
      </c>
      <c r="E55" s="32">
        <v>525</v>
      </c>
      <c r="F55" s="32">
        <v>4463.1899999999996</v>
      </c>
      <c r="G55" s="32">
        <v>2020</v>
      </c>
      <c r="H55" s="22">
        <f>SUM(A55:G55)+I46</f>
        <v>45912.85</v>
      </c>
      <c r="I55" s="33" t="s">
        <v>1</v>
      </c>
      <c r="L55" s="32">
        <v>5180</v>
      </c>
      <c r="M55" s="32">
        <v>138.5</v>
      </c>
      <c r="N55" s="32">
        <v>4916</v>
      </c>
      <c r="O55" s="32">
        <v>240</v>
      </c>
      <c r="P55" s="32">
        <v>5654</v>
      </c>
      <c r="Q55" s="32">
        <v>94</v>
      </c>
      <c r="R55" s="32">
        <v>3592</v>
      </c>
      <c r="S55" s="32">
        <v>4007.5</v>
      </c>
      <c r="T55" s="32">
        <v>432</v>
      </c>
      <c r="U55" s="32">
        <v>0</v>
      </c>
      <c r="V55" s="32">
        <v>6388</v>
      </c>
      <c r="W55" s="32">
        <v>561.9</v>
      </c>
      <c r="X55" s="32">
        <v>5000</v>
      </c>
      <c r="Y55" s="22">
        <v>145</v>
      </c>
      <c r="Z55" s="33">
        <f>M55+O55+Q55+S55+U55+W55+Y55</f>
        <v>5186.8999999999996</v>
      </c>
    </row>
    <row r="56" spans="1:26" ht="15" thickBot="1" x14ac:dyDescent="0.35">
      <c r="A56" s="34">
        <f>A54-A55</f>
        <v>0</v>
      </c>
      <c r="B56" s="35">
        <f>B54-B55</f>
        <v>0</v>
      </c>
      <c r="C56" s="35">
        <f t="shared" ref="C56:F56" si="10">C54-C55</f>
        <v>0</v>
      </c>
      <c r="D56" s="35">
        <f t="shared" si="10"/>
        <v>0</v>
      </c>
      <c r="E56" s="35">
        <f t="shared" si="10"/>
        <v>0</v>
      </c>
      <c r="F56" s="35">
        <f t="shared" si="10"/>
        <v>0</v>
      </c>
      <c r="G56" s="35">
        <f>G54-G55</f>
        <v>0</v>
      </c>
      <c r="H56" s="35"/>
      <c r="I56" s="36"/>
      <c r="L56" s="34">
        <f t="shared" ref="L56:Y56" si="11">L54-L55</f>
        <v>0</v>
      </c>
      <c r="M56" s="34">
        <f t="shared" si="11"/>
        <v>0</v>
      </c>
      <c r="N56" s="34">
        <f t="shared" si="11"/>
        <v>0</v>
      </c>
      <c r="O56" s="34">
        <f t="shared" si="11"/>
        <v>0</v>
      </c>
      <c r="P56" s="34">
        <f t="shared" si="11"/>
        <v>0</v>
      </c>
      <c r="Q56" s="34">
        <f t="shared" si="11"/>
        <v>0</v>
      </c>
      <c r="R56" s="34">
        <f t="shared" si="11"/>
        <v>0</v>
      </c>
      <c r="S56" s="34">
        <f t="shared" si="11"/>
        <v>0</v>
      </c>
      <c r="T56" s="34">
        <f t="shared" si="11"/>
        <v>0</v>
      </c>
      <c r="U56" s="34">
        <f t="shared" si="11"/>
        <v>0</v>
      </c>
      <c r="V56" s="74">
        <f t="shared" si="11"/>
        <v>0</v>
      </c>
      <c r="W56" s="74">
        <f t="shared" si="11"/>
        <v>0</v>
      </c>
      <c r="X56" s="34">
        <f t="shared" si="11"/>
        <v>0</v>
      </c>
      <c r="Y56" s="34">
        <f t="shared" si="11"/>
        <v>0</v>
      </c>
      <c r="Z56" s="36"/>
    </row>
    <row r="57" spans="1:26" ht="15.6" thickTop="1" thickBot="1" x14ac:dyDescent="0.35"/>
    <row r="58" spans="1:26" x14ac:dyDescent="0.3">
      <c r="A58" s="17">
        <v>45007</v>
      </c>
      <c r="B58" s="17">
        <v>45008</v>
      </c>
      <c r="C58" s="17">
        <v>45009</v>
      </c>
      <c r="D58" s="17">
        <v>45010</v>
      </c>
      <c r="E58" s="17">
        <v>45011</v>
      </c>
      <c r="F58" s="17">
        <v>45012</v>
      </c>
      <c r="G58" s="17">
        <v>45013</v>
      </c>
      <c r="H58" s="39"/>
      <c r="I58" s="13" t="s">
        <v>8</v>
      </c>
      <c r="L58" s="59">
        <v>45007</v>
      </c>
      <c r="M58" s="59">
        <v>45007</v>
      </c>
      <c r="N58" s="59">
        <v>45008</v>
      </c>
      <c r="O58" s="59"/>
      <c r="P58" s="59">
        <v>45009</v>
      </c>
      <c r="Q58" s="59"/>
      <c r="R58" s="59">
        <v>45010</v>
      </c>
      <c r="S58" s="59"/>
      <c r="T58" s="59">
        <v>45011</v>
      </c>
      <c r="U58" s="59"/>
      <c r="V58" s="59">
        <v>45012</v>
      </c>
      <c r="W58" s="59"/>
      <c r="X58" s="59">
        <v>45013</v>
      </c>
      <c r="Y58" s="60"/>
      <c r="Z58" s="13"/>
    </row>
    <row r="59" spans="1:26" ht="15" thickBot="1" x14ac:dyDescent="0.35">
      <c r="A59" s="21">
        <v>1373.8</v>
      </c>
      <c r="B59" s="22">
        <v>1445.35</v>
      </c>
      <c r="C59" s="22">
        <v>1696.9</v>
      </c>
      <c r="D59" s="22">
        <v>940</v>
      </c>
      <c r="E59" s="22">
        <v>110</v>
      </c>
      <c r="F59" s="22">
        <v>1555.35</v>
      </c>
      <c r="G59" s="22">
        <v>1448.8</v>
      </c>
      <c r="H59" s="37"/>
      <c r="I59" s="14">
        <v>4571.16</v>
      </c>
      <c r="L59" s="66" t="s">
        <v>10</v>
      </c>
      <c r="M59" s="66" t="s">
        <v>11</v>
      </c>
      <c r="N59" s="67" t="s">
        <v>10</v>
      </c>
      <c r="O59" s="67" t="s">
        <v>11</v>
      </c>
      <c r="P59" s="67" t="s">
        <v>10</v>
      </c>
      <c r="Q59" s="67" t="s">
        <v>11</v>
      </c>
      <c r="R59" s="67" t="s">
        <v>10</v>
      </c>
      <c r="S59" s="67" t="s">
        <v>11</v>
      </c>
      <c r="T59" s="67" t="s">
        <v>10</v>
      </c>
      <c r="U59" s="67" t="s">
        <v>11</v>
      </c>
      <c r="V59" s="67" t="s">
        <v>10</v>
      </c>
      <c r="W59" s="67" t="s">
        <v>11</v>
      </c>
      <c r="X59" s="67" t="s">
        <v>10</v>
      </c>
      <c r="Y59" s="67" t="s">
        <v>11</v>
      </c>
      <c r="Z59" s="14"/>
    </row>
    <row r="60" spans="1:26" x14ac:dyDescent="0.3">
      <c r="A60" s="24">
        <v>1787.67</v>
      </c>
      <c r="B60" s="22">
        <v>110</v>
      </c>
      <c r="C60" s="22">
        <v>2018.19</v>
      </c>
      <c r="D60" s="22">
        <v>3706.39</v>
      </c>
      <c r="E60" s="25">
        <v>850</v>
      </c>
      <c r="F60" s="22">
        <v>2128.5</v>
      </c>
      <c r="G60" s="22">
        <v>1400.22</v>
      </c>
      <c r="H60" s="37"/>
      <c r="I60" s="14">
        <v>294.89999999999998</v>
      </c>
      <c r="L60" s="61">
        <v>2700</v>
      </c>
      <c r="M60" s="62">
        <v>50</v>
      </c>
      <c r="N60" s="63">
        <v>2220</v>
      </c>
      <c r="O60" s="63">
        <v>110</v>
      </c>
      <c r="P60" s="63">
        <v>2370</v>
      </c>
      <c r="Q60" s="63">
        <v>65</v>
      </c>
      <c r="R60" s="63">
        <v>1980</v>
      </c>
      <c r="S60" s="63">
        <v>45</v>
      </c>
      <c r="T60" s="63">
        <v>120</v>
      </c>
      <c r="U60" s="63">
        <v>0</v>
      </c>
      <c r="V60" s="63">
        <v>2590</v>
      </c>
      <c r="W60" s="63">
        <v>117.5</v>
      </c>
      <c r="X60" s="63">
        <v>2490</v>
      </c>
      <c r="Y60" s="65">
        <v>2010</v>
      </c>
      <c r="Z60" s="14"/>
    </row>
    <row r="61" spans="1:26" x14ac:dyDescent="0.3">
      <c r="A61" s="24">
        <v>951.2</v>
      </c>
      <c r="B61" s="22">
        <v>2273.19</v>
      </c>
      <c r="C61" s="22">
        <v>508.1</v>
      </c>
      <c r="D61" s="26">
        <v>220</v>
      </c>
      <c r="E61" s="22"/>
      <c r="F61" s="22">
        <v>644.65</v>
      </c>
      <c r="G61" s="22">
        <v>767.45</v>
      </c>
      <c r="H61" s="37"/>
      <c r="I61" s="15">
        <v>4797.26</v>
      </c>
      <c r="L61" s="24">
        <v>1710</v>
      </c>
      <c r="M61" s="56"/>
      <c r="N61" s="22">
        <v>1615</v>
      </c>
      <c r="O61" s="22"/>
      <c r="P61" s="22">
        <v>1915</v>
      </c>
      <c r="Q61" s="22">
        <v>30</v>
      </c>
      <c r="R61" s="70">
        <v>1670</v>
      </c>
      <c r="S61" s="70">
        <v>60</v>
      </c>
      <c r="T61" s="22">
        <v>1200</v>
      </c>
      <c r="U61" s="22"/>
      <c r="V61" s="22">
        <v>1970</v>
      </c>
      <c r="W61" s="22">
        <v>74</v>
      </c>
      <c r="X61" s="22">
        <v>1970</v>
      </c>
      <c r="Y61" s="37">
        <v>57.5</v>
      </c>
      <c r="Z61" s="15"/>
    </row>
    <row r="62" spans="1:26" x14ac:dyDescent="0.3">
      <c r="A62" s="24"/>
      <c r="B62" s="22">
        <v>944.65</v>
      </c>
      <c r="C62" s="22"/>
      <c r="D62" s="25"/>
      <c r="E62" s="22"/>
      <c r="F62" s="22"/>
      <c r="G62" s="22">
        <v>421.2</v>
      </c>
      <c r="H62" s="37"/>
      <c r="I62" s="15">
        <v>5640</v>
      </c>
      <c r="L62" s="24">
        <v>970</v>
      </c>
      <c r="M62" s="56"/>
      <c r="N62" s="22">
        <v>1045</v>
      </c>
      <c r="O62" s="22"/>
      <c r="P62" s="22">
        <v>60</v>
      </c>
      <c r="Q62" s="22"/>
      <c r="R62" s="71">
        <v>440</v>
      </c>
      <c r="S62" s="71"/>
      <c r="T62" s="22">
        <v>210</v>
      </c>
      <c r="U62" s="22"/>
      <c r="V62" s="22">
        <v>660</v>
      </c>
      <c r="W62" s="22"/>
      <c r="X62" s="22">
        <v>610</v>
      </c>
      <c r="Y62" s="37"/>
      <c r="Z62" s="15"/>
    </row>
    <row r="63" spans="1:26" x14ac:dyDescent="0.3">
      <c r="A63" s="24"/>
      <c r="B63" s="22"/>
      <c r="C63" s="22"/>
      <c r="D63" s="22"/>
      <c r="E63" s="22"/>
      <c r="F63" s="22"/>
      <c r="G63" s="22">
        <v>150</v>
      </c>
      <c r="H63" s="37"/>
      <c r="I63" s="15">
        <v>3690.2</v>
      </c>
      <c r="L63" s="24">
        <v>144</v>
      </c>
      <c r="M63" s="56"/>
      <c r="N63" s="22">
        <v>300</v>
      </c>
      <c r="O63" s="22"/>
      <c r="P63" s="22">
        <v>785</v>
      </c>
      <c r="Q63" s="22"/>
      <c r="R63" s="22">
        <v>198</v>
      </c>
      <c r="S63" s="22"/>
      <c r="T63" s="22">
        <v>72</v>
      </c>
      <c r="U63" s="22"/>
      <c r="V63" s="22">
        <v>300</v>
      </c>
      <c r="W63" s="22"/>
      <c r="X63" s="22">
        <v>300</v>
      </c>
      <c r="Y63" s="37"/>
      <c r="Z63" s="15"/>
    </row>
    <row r="64" spans="1:26" x14ac:dyDescent="0.3">
      <c r="A64" s="24"/>
      <c r="B64" s="22"/>
      <c r="C64" s="22"/>
      <c r="D64" s="22"/>
      <c r="E64" s="22"/>
      <c r="F64" s="22"/>
      <c r="G64" s="22"/>
      <c r="H64" s="37"/>
      <c r="I64" s="15">
        <v>1548.62</v>
      </c>
      <c r="L64" s="24">
        <v>96</v>
      </c>
      <c r="M64" s="56"/>
      <c r="N64" s="22">
        <v>26</v>
      </c>
      <c r="O64" s="22"/>
      <c r="P64" s="22">
        <v>144</v>
      </c>
      <c r="Q64" s="22"/>
      <c r="R64" s="22"/>
      <c r="S64" s="22"/>
      <c r="T64" s="22"/>
      <c r="U64" s="22"/>
      <c r="V64" s="22">
        <v>120</v>
      </c>
      <c r="W64" s="22"/>
      <c r="X64" s="22"/>
      <c r="Y64" s="37"/>
      <c r="Z64" s="15"/>
    </row>
    <row r="65" spans="1:26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20542.14</v>
      </c>
      <c r="L65" s="24"/>
      <c r="M65" s="56"/>
      <c r="N65" s="22"/>
      <c r="O65" s="22"/>
      <c r="P65" s="22">
        <v>72</v>
      </c>
      <c r="Q65" s="22"/>
      <c r="R65" s="22"/>
      <c r="S65" s="22"/>
      <c r="T65" s="22"/>
      <c r="U65" s="22"/>
      <c r="V65" s="22"/>
      <c r="W65" s="22"/>
      <c r="X65" s="22"/>
      <c r="Y65" s="37"/>
      <c r="Z65" s="16">
        <f>SUM(Z59:Z64)</f>
        <v>0</v>
      </c>
    </row>
    <row r="66" spans="1:26" ht="15" thickTop="1" x14ac:dyDescent="0.3">
      <c r="A66" s="24"/>
      <c r="B66" s="22"/>
      <c r="C66" s="22"/>
      <c r="D66" s="22"/>
      <c r="E66" s="22"/>
      <c r="F66" s="22"/>
      <c r="G66" s="22"/>
      <c r="H66" s="22"/>
      <c r="I66" s="38"/>
      <c r="L66" s="24"/>
      <c r="M66" s="5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38"/>
    </row>
    <row r="67" spans="1:26" x14ac:dyDescent="0.3">
      <c r="A67" s="24"/>
      <c r="B67" s="22"/>
      <c r="C67" s="22"/>
      <c r="D67" s="22"/>
      <c r="E67" s="22"/>
      <c r="F67" s="22"/>
      <c r="G67" s="22"/>
      <c r="H67" s="22"/>
      <c r="I67" s="23"/>
      <c r="L67" s="24"/>
      <c r="M67" s="5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3"/>
    </row>
    <row r="68" spans="1:26" x14ac:dyDescent="0.3">
      <c r="A68" s="24"/>
      <c r="B68" s="22"/>
      <c r="C68" s="22"/>
      <c r="D68" s="22"/>
      <c r="E68" s="22"/>
      <c r="F68" s="22"/>
      <c r="G68" s="22"/>
      <c r="H68" s="22"/>
      <c r="I68" s="23"/>
      <c r="L68" s="24"/>
      <c r="M68" s="5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</row>
    <row r="69" spans="1:26" x14ac:dyDescent="0.3">
      <c r="A69" s="24"/>
      <c r="B69" s="22"/>
      <c r="C69" s="22"/>
      <c r="D69" s="22"/>
      <c r="E69" s="22"/>
      <c r="F69" s="22"/>
      <c r="G69" s="22"/>
      <c r="H69" s="22"/>
      <c r="I69" s="23"/>
      <c r="L69" s="24"/>
      <c r="M69" s="5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</row>
    <row r="70" spans="1:26" x14ac:dyDescent="0.3">
      <c r="A70" s="24"/>
      <c r="B70" s="22"/>
      <c r="C70" s="22"/>
      <c r="D70" s="22"/>
      <c r="E70" s="22"/>
      <c r="F70" s="22"/>
      <c r="G70" s="22"/>
      <c r="H70" s="22"/>
      <c r="I70" s="23"/>
      <c r="L70" s="24"/>
      <c r="M70" s="5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</row>
    <row r="71" spans="1:26" x14ac:dyDescent="0.3">
      <c r="A71" s="24"/>
      <c r="B71" s="22"/>
      <c r="C71" s="22"/>
      <c r="D71" s="22"/>
      <c r="E71" s="22"/>
      <c r="F71" s="22"/>
      <c r="G71" s="22"/>
      <c r="H71" s="22"/>
      <c r="I71" s="23"/>
      <c r="L71" s="24"/>
      <c r="M71" s="5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3"/>
    </row>
    <row r="72" spans="1:26" x14ac:dyDescent="0.3">
      <c r="A72" s="24"/>
      <c r="B72" s="22"/>
      <c r="C72" s="22"/>
      <c r="D72" s="22"/>
      <c r="E72" s="22"/>
      <c r="F72" s="28"/>
      <c r="G72" s="22"/>
      <c r="H72" s="22"/>
      <c r="I72" s="23"/>
      <c r="L72" s="24"/>
      <c r="M72" s="56"/>
      <c r="N72" s="22"/>
      <c r="O72" s="22"/>
      <c r="P72" s="22"/>
      <c r="Q72" s="22"/>
      <c r="R72" s="22"/>
      <c r="S72" s="22"/>
      <c r="T72" s="22"/>
      <c r="U72" s="22"/>
      <c r="V72" s="28"/>
      <c r="W72" s="28"/>
      <c r="X72" s="22"/>
      <c r="Y72" s="22"/>
      <c r="Z72" s="23"/>
    </row>
    <row r="73" spans="1:26" x14ac:dyDescent="0.3">
      <c r="A73" s="24">
        <f t="shared" ref="A73:G73" si="12">SUM(A59:A72)</f>
        <v>4112.67</v>
      </c>
      <c r="B73" s="22">
        <f t="shared" si="12"/>
        <v>4773.1899999999996</v>
      </c>
      <c r="C73" s="22">
        <f t="shared" si="12"/>
        <v>4223.1900000000005</v>
      </c>
      <c r="D73" s="22">
        <f t="shared" si="12"/>
        <v>4866.3899999999994</v>
      </c>
      <c r="E73" s="22">
        <f t="shared" si="12"/>
        <v>960</v>
      </c>
      <c r="F73" s="22">
        <f t="shared" si="12"/>
        <v>4328.5</v>
      </c>
      <c r="G73" s="22">
        <f t="shared" si="12"/>
        <v>4187.67</v>
      </c>
      <c r="H73" s="29">
        <f>SUM(A73:G73)+I65</f>
        <v>47993.75</v>
      </c>
      <c r="I73" s="30" t="s">
        <v>7</v>
      </c>
      <c r="L73" s="22">
        <f t="shared" ref="L73:Y73" si="13">SUM(L60:L72)</f>
        <v>5620</v>
      </c>
      <c r="M73" s="22">
        <f t="shared" si="13"/>
        <v>50</v>
      </c>
      <c r="N73" s="22">
        <f t="shared" si="13"/>
        <v>5206</v>
      </c>
      <c r="O73" s="22">
        <f t="shared" si="13"/>
        <v>110</v>
      </c>
      <c r="P73" s="22">
        <f t="shared" si="13"/>
        <v>5346</v>
      </c>
      <c r="Q73" s="22">
        <f t="shared" si="13"/>
        <v>95</v>
      </c>
      <c r="R73" s="22">
        <f t="shared" si="13"/>
        <v>4288</v>
      </c>
      <c r="S73" s="22">
        <f t="shared" si="13"/>
        <v>105</v>
      </c>
      <c r="T73" s="22">
        <f t="shared" si="13"/>
        <v>1602</v>
      </c>
      <c r="U73" s="22">
        <f t="shared" si="13"/>
        <v>0</v>
      </c>
      <c r="V73" s="22">
        <f t="shared" si="13"/>
        <v>5640</v>
      </c>
      <c r="W73" s="22">
        <f t="shared" si="13"/>
        <v>191.5</v>
      </c>
      <c r="X73" s="22">
        <f t="shared" si="13"/>
        <v>5370</v>
      </c>
      <c r="Y73" s="22">
        <f t="shared" si="13"/>
        <v>2067.5</v>
      </c>
      <c r="Z73" s="33">
        <f>L74+N74+P74+R74+T74+V74+X74</f>
        <v>33072</v>
      </c>
    </row>
    <row r="74" spans="1:26" x14ac:dyDescent="0.3">
      <c r="A74" s="31">
        <v>4112.67</v>
      </c>
      <c r="B74" s="32">
        <v>4773.1899999999996</v>
      </c>
      <c r="C74" s="32">
        <v>4223.1899999999996</v>
      </c>
      <c r="D74" s="32">
        <v>4866.3900000000003</v>
      </c>
      <c r="E74" s="32">
        <v>960</v>
      </c>
      <c r="F74" s="32">
        <v>4328.5</v>
      </c>
      <c r="G74" s="32">
        <v>4187.67</v>
      </c>
      <c r="H74" s="22">
        <f>SUM(A74:G74)+I65</f>
        <v>47993.75</v>
      </c>
      <c r="I74" s="33" t="s">
        <v>1</v>
      </c>
      <c r="L74" s="32">
        <v>5620</v>
      </c>
      <c r="M74" s="32">
        <v>50</v>
      </c>
      <c r="N74" s="32">
        <v>5206</v>
      </c>
      <c r="O74" s="32">
        <v>110</v>
      </c>
      <c r="P74" s="32">
        <v>5346</v>
      </c>
      <c r="Q74" s="32">
        <v>95</v>
      </c>
      <c r="R74" s="32">
        <v>4288</v>
      </c>
      <c r="S74" s="32">
        <v>105</v>
      </c>
      <c r="T74" s="32">
        <v>1602</v>
      </c>
      <c r="U74" s="32">
        <v>0</v>
      </c>
      <c r="V74" s="32">
        <v>5640</v>
      </c>
      <c r="W74" s="32">
        <v>191.5</v>
      </c>
      <c r="X74" s="32">
        <v>5370</v>
      </c>
      <c r="Y74" s="22">
        <v>2067.5</v>
      </c>
      <c r="Z74" s="33">
        <f>M74+O74+Q74+S74+U74+W74+Y74</f>
        <v>2619</v>
      </c>
    </row>
    <row r="75" spans="1:26" ht="15" thickBot="1" x14ac:dyDescent="0.35">
      <c r="A75" s="34">
        <f>A73-A74</f>
        <v>0</v>
      </c>
      <c r="B75" s="35">
        <f>B73-B74</f>
        <v>0</v>
      </c>
      <c r="C75" s="35">
        <f t="shared" ref="C75:F75" si="14">C73-C74</f>
        <v>0</v>
      </c>
      <c r="D75" s="35">
        <f>D73-D74</f>
        <v>0</v>
      </c>
      <c r="E75" s="35">
        <f t="shared" si="14"/>
        <v>0</v>
      </c>
      <c r="F75" s="35">
        <f t="shared" si="14"/>
        <v>0</v>
      </c>
      <c r="G75" s="35">
        <f>G73-G74</f>
        <v>0</v>
      </c>
      <c r="H75" s="35"/>
      <c r="I75" s="36"/>
      <c r="L75" s="34">
        <f t="shared" ref="L75:Y75" si="15">L73-L74</f>
        <v>0</v>
      </c>
      <c r="M75" s="34">
        <f t="shared" si="15"/>
        <v>0</v>
      </c>
      <c r="N75" s="34">
        <f t="shared" si="15"/>
        <v>0</v>
      </c>
      <c r="O75" s="34">
        <f t="shared" si="15"/>
        <v>0</v>
      </c>
      <c r="P75" s="34">
        <f t="shared" si="15"/>
        <v>0</v>
      </c>
      <c r="Q75" s="34">
        <f t="shared" si="15"/>
        <v>0</v>
      </c>
      <c r="R75" s="34">
        <f t="shared" si="15"/>
        <v>0</v>
      </c>
      <c r="S75" s="34">
        <f t="shared" si="15"/>
        <v>0</v>
      </c>
      <c r="T75" s="34">
        <f t="shared" si="15"/>
        <v>0</v>
      </c>
      <c r="U75" s="34">
        <f t="shared" si="15"/>
        <v>0</v>
      </c>
      <c r="V75" s="34">
        <f t="shared" si="15"/>
        <v>0</v>
      </c>
      <c r="W75" s="34">
        <f t="shared" si="15"/>
        <v>0</v>
      </c>
      <c r="X75" s="34">
        <f t="shared" si="15"/>
        <v>0</v>
      </c>
      <c r="Y75" s="34">
        <f t="shared" si="15"/>
        <v>0</v>
      </c>
      <c r="Z75" s="36"/>
    </row>
    <row r="76" spans="1:26" ht="15.6" thickTop="1" thickBot="1" x14ac:dyDescent="0.35"/>
    <row r="77" spans="1:26" x14ac:dyDescent="0.3">
      <c r="A77" s="17">
        <v>45014</v>
      </c>
      <c r="B77" s="17">
        <v>45015</v>
      </c>
      <c r="C77" s="17">
        <v>45016</v>
      </c>
      <c r="D77" s="17">
        <v>45017</v>
      </c>
      <c r="E77" s="17">
        <v>45018</v>
      </c>
      <c r="F77" s="17">
        <v>45019</v>
      </c>
      <c r="G77" s="17">
        <v>45020</v>
      </c>
      <c r="H77" s="39"/>
      <c r="I77" s="13" t="s">
        <v>8</v>
      </c>
      <c r="L77" s="59">
        <v>45014</v>
      </c>
      <c r="M77" s="59">
        <v>45014</v>
      </c>
      <c r="N77" s="59">
        <v>45015</v>
      </c>
      <c r="O77" s="59"/>
      <c r="P77" s="59">
        <v>45016</v>
      </c>
      <c r="Q77" s="59"/>
      <c r="R77" s="59">
        <v>45017</v>
      </c>
      <c r="S77" s="59"/>
      <c r="T77" s="59">
        <v>45018</v>
      </c>
      <c r="U77" s="59"/>
      <c r="V77" s="59">
        <v>45019</v>
      </c>
      <c r="W77" s="59"/>
      <c r="X77" s="59">
        <v>45020</v>
      </c>
      <c r="Y77" s="60"/>
      <c r="Z77" s="13"/>
    </row>
    <row r="78" spans="1:26" ht="15" thickBot="1" x14ac:dyDescent="0.35">
      <c r="A78" s="21">
        <v>1718.8</v>
      </c>
      <c r="B78" s="22">
        <v>1410.35</v>
      </c>
      <c r="C78" s="22">
        <v>1645.35</v>
      </c>
      <c r="D78" s="22">
        <v>1086.9000000000001</v>
      </c>
      <c r="E78" s="22">
        <v>110</v>
      </c>
      <c r="F78" s="22">
        <v>1260.3499999999999</v>
      </c>
      <c r="G78" s="22">
        <v>1271.9000000000001</v>
      </c>
      <c r="H78" s="37"/>
      <c r="I78" s="14">
        <v>4610</v>
      </c>
      <c r="L78" s="66" t="s">
        <v>10</v>
      </c>
      <c r="M78" s="66" t="s">
        <v>11</v>
      </c>
      <c r="N78" s="67" t="s">
        <v>10</v>
      </c>
      <c r="O78" s="67" t="s">
        <v>11</v>
      </c>
      <c r="P78" s="67" t="s">
        <v>10</v>
      </c>
      <c r="Q78" s="67" t="s">
        <v>11</v>
      </c>
      <c r="R78" s="67" t="s">
        <v>10</v>
      </c>
      <c r="S78" s="67" t="s">
        <v>11</v>
      </c>
      <c r="T78" s="67" t="s">
        <v>10</v>
      </c>
      <c r="U78" s="67" t="s">
        <v>11</v>
      </c>
      <c r="V78" s="67" t="s">
        <v>10</v>
      </c>
      <c r="W78" s="67" t="s">
        <v>11</v>
      </c>
      <c r="X78" s="67" t="s">
        <v>10</v>
      </c>
      <c r="Y78" s="67" t="s">
        <v>11</v>
      </c>
      <c r="Z78" s="14"/>
    </row>
    <row r="79" spans="1:26" x14ac:dyDescent="0.3">
      <c r="A79" s="24">
        <v>2052.67</v>
      </c>
      <c r="B79" s="22">
        <v>2778.19</v>
      </c>
      <c r="C79" s="22">
        <v>1998.5</v>
      </c>
      <c r="D79" s="22">
        <v>2247.56</v>
      </c>
      <c r="E79" s="22">
        <v>295</v>
      </c>
      <c r="F79" s="22">
        <v>2467.5700000000002</v>
      </c>
      <c r="G79" s="22">
        <v>138.44999999999999</v>
      </c>
      <c r="H79" s="37"/>
      <c r="I79" s="14">
        <v>4797.26</v>
      </c>
      <c r="L79" s="61">
        <v>2490</v>
      </c>
      <c r="M79" s="62">
        <v>1620</v>
      </c>
      <c r="N79" s="63">
        <v>2530</v>
      </c>
      <c r="O79" s="63">
        <v>108.5</v>
      </c>
      <c r="P79" s="63">
        <v>2490</v>
      </c>
      <c r="Q79" s="63">
        <v>1800</v>
      </c>
      <c r="R79" s="63">
        <v>1960</v>
      </c>
      <c r="S79" s="63">
        <v>40</v>
      </c>
      <c r="T79" s="63">
        <v>120</v>
      </c>
      <c r="U79" s="63">
        <v>0</v>
      </c>
      <c r="V79" s="63">
        <v>2700</v>
      </c>
      <c r="W79" s="63">
        <v>290</v>
      </c>
      <c r="X79" s="63">
        <v>2520</v>
      </c>
      <c r="Y79" s="65">
        <v>480</v>
      </c>
      <c r="Z79" s="14"/>
    </row>
    <row r="80" spans="1:26" x14ac:dyDescent="0.3">
      <c r="A80" s="24">
        <v>546.20000000000005</v>
      </c>
      <c r="B80" s="22">
        <v>699.65</v>
      </c>
      <c r="C80" s="22">
        <v>544.65</v>
      </c>
      <c r="D80" s="26">
        <v>478.1</v>
      </c>
      <c r="E80" s="22">
        <v>75</v>
      </c>
      <c r="F80" s="22">
        <v>554.65</v>
      </c>
      <c r="G80" s="22">
        <v>1732.67</v>
      </c>
      <c r="H80" s="37"/>
      <c r="I80" s="15">
        <v>4943.92</v>
      </c>
      <c r="L80" s="24">
        <v>1660</v>
      </c>
      <c r="M80" s="56">
        <v>42.5</v>
      </c>
      <c r="N80" s="22">
        <v>1190</v>
      </c>
      <c r="O80" s="22"/>
      <c r="P80" s="22">
        <v>1950</v>
      </c>
      <c r="Q80" s="22">
        <v>65</v>
      </c>
      <c r="R80" s="22">
        <v>760</v>
      </c>
      <c r="S80" s="70"/>
      <c r="T80" s="22">
        <v>120</v>
      </c>
      <c r="U80" s="22"/>
      <c r="V80" s="22">
        <v>1790</v>
      </c>
      <c r="W80" s="22"/>
      <c r="X80" s="22">
        <v>1910</v>
      </c>
      <c r="Y80" s="37">
        <v>57.5</v>
      </c>
      <c r="Z80" s="15"/>
    </row>
    <row r="81" spans="1:26" x14ac:dyDescent="0.3">
      <c r="A81" s="24"/>
      <c r="B81" s="22"/>
      <c r="C81" s="22"/>
      <c r="D81" s="25"/>
      <c r="E81" s="22"/>
      <c r="F81" s="22"/>
      <c r="G81" s="22">
        <v>165</v>
      </c>
      <c r="H81" s="37"/>
      <c r="I81" s="15">
        <v>4820.7</v>
      </c>
      <c r="L81" s="24">
        <v>570</v>
      </c>
      <c r="M81" s="56"/>
      <c r="N81" s="22">
        <v>650</v>
      </c>
      <c r="O81" s="22"/>
      <c r="P81" s="22">
        <v>610</v>
      </c>
      <c r="Q81" s="22">
        <v>99.9</v>
      </c>
      <c r="R81" s="22">
        <v>300</v>
      </c>
      <c r="S81" s="71"/>
      <c r="T81" s="22">
        <v>150</v>
      </c>
      <c r="U81" s="22"/>
      <c r="V81" s="22">
        <v>1100</v>
      </c>
      <c r="W81" s="22"/>
      <c r="X81" s="22">
        <v>880</v>
      </c>
      <c r="Y81" s="37">
        <v>38.9</v>
      </c>
      <c r="Z81" s="15"/>
    </row>
    <row r="82" spans="1:26" x14ac:dyDescent="0.3">
      <c r="A82" s="24"/>
      <c r="B82" s="22"/>
      <c r="C82" s="22"/>
      <c r="D82" s="22"/>
      <c r="E82" s="22"/>
      <c r="F82" s="22"/>
      <c r="G82" s="22">
        <v>744.65</v>
      </c>
      <c r="H82" s="37"/>
      <c r="I82" s="15">
        <v>215.52</v>
      </c>
      <c r="L82" s="24">
        <v>144</v>
      </c>
      <c r="M82" s="56"/>
      <c r="N82" s="22">
        <v>300</v>
      </c>
      <c r="O82" s="22"/>
      <c r="P82" s="22">
        <v>144</v>
      </c>
      <c r="Q82" s="22">
        <v>372</v>
      </c>
      <c r="R82" s="22">
        <v>204</v>
      </c>
      <c r="S82" s="22"/>
      <c r="T82" s="22">
        <v>72</v>
      </c>
      <c r="U82" s="22"/>
      <c r="V82" s="22">
        <v>287</v>
      </c>
      <c r="W82" s="22"/>
      <c r="X82" s="22">
        <v>288</v>
      </c>
      <c r="Y82" s="37"/>
      <c r="Z82" s="15"/>
    </row>
    <row r="83" spans="1:26" x14ac:dyDescent="0.3">
      <c r="A83" s="24"/>
      <c r="B83" s="22"/>
      <c r="C83" s="22"/>
      <c r="D83" s="22"/>
      <c r="E83" s="22"/>
      <c r="F83" s="22"/>
      <c r="G83" s="22"/>
      <c r="H83" s="37"/>
      <c r="I83" s="15"/>
      <c r="L83" s="24">
        <v>90</v>
      </c>
      <c r="M83" s="56"/>
      <c r="N83" s="22"/>
      <c r="O83" s="22"/>
      <c r="P83" s="22">
        <v>72</v>
      </c>
      <c r="Q83" s="22"/>
      <c r="R83" s="22"/>
      <c r="S83" s="22"/>
      <c r="T83" s="22"/>
      <c r="U83" s="22"/>
      <c r="V83" s="22">
        <v>90</v>
      </c>
      <c r="W83" s="22"/>
      <c r="X83" s="22">
        <v>24</v>
      </c>
      <c r="Y83" s="37"/>
      <c r="Z83" s="15"/>
    </row>
    <row r="84" spans="1:26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19387.400000000001</v>
      </c>
      <c r="L84" s="24"/>
      <c r="M84" s="56"/>
      <c r="N84" s="22"/>
      <c r="O84" s="22"/>
      <c r="P84" s="22"/>
      <c r="Q84" s="22"/>
      <c r="R84" s="22"/>
      <c r="S84" s="22"/>
      <c r="T84" s="22"/>
      <c r="U84" s="22"/>
      <c r="V84" s="22"/>
      <c r="W84" s="22" t="s">
        <v>9</v>
      </c>
      <c r="X84" s="22"/>
      <c r="Y84" s="37"/>
      <c r="Z84" s="16">
        <f>SUM(Z78:Z83)</f>
        <v>0</v>
      </c>
    </row>
    <row r="85" spans="1:26" ht="15" thickTop="1" x14ac:dyDescent="0.3">
      <c r="A85" s="24"/>
      <c r="B85" s="22"/>
      <c r="C85" s="22"/>
      <c r="D85" s="22"/>
      <c r="E85" s="22"/>
      <c r="F85" s="22"/>
      <c r="G85" s="22"/>
      <c r="H85" s="22"/>
      <c r="I85" s="38"/>
      <c r="L85" s="24"/>
      <c r="M85" s="56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38"/>
    </row>
    <row r="86" spans="1:26" x14ac:dyDescent="0.3">
      <c r="A86" s="24"/>
      <c r="B86" s="22"/>
      <c r="C86" s="22"/>
      <c r="D86" s="22"/>
      <c r="E86" s="22"/>
      <c r="F86" s="22"/>
      <c r="G86" s="22"/>
      <c r="H86" s="22"/>
      <c r="I86" s="23"/>
      <c r="L86" s="24"/>
      <c r="M86" s="5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3"/>
    </row>
    <row r="87" spans="1:26" x14ac:dyDescent="0.3">
      <c r="A87" s="24"/>
      <c r="B87" s="22"/>
      <c r="C87" s="22"/>
      <c r="D87" s="22"/>
      <c r="E87" s="22"/>
      <c r="F87" s="22"/>
      <c r="G87" s="22"/>
      <c r="H87" s="22"/>
      <c r="I87" s="23"/>
      <c r="L87" s="24"/>
      <c r="M87" s="5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3"/>
    </row>
    <row r="88" spans="1:26" x14ac:dyDescent="0.3">
      <c r="A88" s="24"/>
      <c r="B88" s="22"/>
      <c r="C88" s="22"/>
      <c r="D88" s="22"/>
      <c r="E88" s="22"/>
      <c r="F88" s="22"/>
      <c r="G88" s="22"/>
      <c r="H88" s="22"/>
      <c r="I88" s="23"/>
      <c r="L88" s="24"/>
      <c r="M88" s="5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3"/>
    </row>
    <row r="89" spans="1:26" x14ac:dyDescent="0.3">
      <c r="A89" s="24"/>
      <c r="B89" s="22"/>
      <c r="C89" s="22"/>
      <c r="D89" s="22"/>
      <c r="E89" s="22"/>
      <c r="F89" s="22"/>
      <c r="G89" s="22"/>
      <c r="H89" s="22"/>
      <c r="I89" s="23"/>
      <c r="L89" s="24"/>
      <c r="M89" s="5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3"/>
    </row>
    <row r="90" spans="1:26" x14ac:dyDescent="0.3">
      <c r="A90" s="24"/>
      <c r="B90" s="22"/>
      <c r="C90" s="22"/>
      <c r="D90" s="22"/>
      <c r="E90" s="22"/>
      <c r="F90" s="22"/>
      <c r="G90" s="22"/>
      <c r="H90" s="22"/>
      <c r="I90" s="23"/>
      <c r="L90" s="24"/>
      <c r="M90" s="5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3"/>
    </row>
    <row r="91" spans="1:26" x14ac:dyDescent="0.3">
      <c r="A91" s="24"/>
      <c r="B91" s="22"/>
      <c r="C91" s="22"/>
      <c r="D91" s="22"/>
      <c r="E91" s="22"/>
      <c r="F91" s="28"/>
      <c r="G91" s="22"/>
      <c r="H91" s="22"/>
      <c r="I91" s="23"/>
      <c r="L91" s="24"/>
      <c r="M91" s="56"/>
      <c r="N91" s="22"/>
      <c r="O91" s="22"/>
      <c r="P91" s="22"/>
      <c r="Q91" s="22"/>
      <c r="R91" s="22"/>
      <c r="S91" s="22"/>
      <c r="T91" s="22"/>
      <c r="U91" s="22"/>
      <c r="V91" s="28"/>
      <c r="W91" s="28"/>
      <c r="X91" s="22"/>
      <c r="Y91" s="22"/>
      <c r="Z91" s="23"/>
    </row>
    <row r="92" spans="1:26" x14ac:dyDescent="0.3">
      <c r="A92" s="24">
        <f>SUM(A78:A91)</f>
        <v>4317.67</v>
      </c>
      <c r="B92" s="22">
        <f>SUM(B78:B91)</f>
        <v>4888.1899999999996</v>
      </c>
      <c r="C92" s="22">
        <f t="shared" ref="C92:G92" si="16">SUM(C78:C91)</f>
        <v>4188.5</v>
      </c>
      <c r="D92" s="22">
        <f t="shared" si="16"/>
        <v>3812.56</v>
      </c>
      <c r="E92" s="22">
        <f t="shared" si="16"/>
        <v>480</v>
      </c>
      <c r="F92" s="22">
        <f t="shared" si="16"/>
        <v>4282.57</v>
      </c>
      <c r="G92" s="22">
        <f t="shared" si="16"/>
        <v>4052.6700000000005</v>
      </c>
      <c r="H92" s="29">
        <f>SUM(A92:G92)+I84</f>
        <v>45409.560000000005</v>
      </c>
      <c r="I92" s="30" t="s">
        <v>7</v>
      </c>
      <c r="L92" s="24">
        <f>SUM(L79:L91)</f>
        <v>4954</v>
      </c>
      <c r="M92" s="22">
        <f>SUM(M79:M91)</f>
        <v>1662.5</v>
      </c>
      <c r="N92" s="22">
        <f t="shared" ref="N92:Y92" si="17">SUM(N79:N91)</f>
        <v>4670</v>
      </c>
      <c r="O92" s="22">
        <f t="shared" si="17"/>
        <v>108.5</v>
      </c>
      <c r="P92" s="22">
        <f t="shared" si="17"/>
        <v>5266</v>
      </c>
      <c r="Q92" s="22">
        <f t="shared" si="17"/>
        <v>2336.9</v>
      </c>
      <c r="R92" s="22">
        <f t="shared" si="17"/>
        <v>3224</v>
      </c>
      <c r="S92" s="22">
        <f t="shared" si="17"/>
        <v>40</v>
      </c>
      <c r="T92" s="22">
        <f t="shared" si="17"/>
        <v>462</v>
      </c>
      <c r="U92" s="22">
        <f t="shared" si="17"/>
        <v>0</v>
      </c>
      <c r="V92" s="22">
        <f t="shared" si="17"/>
        <v>5967</v>
      </c>
      <c r="W92" s="22">
        <f t="shared" si="17"/>
        <v>290</v>
      </c>
      <c r="X92" s="22">
        <f t="shared" si="17"/>
        <v>5622</v>
      </c>
      <c r="Y92" s="22">
        <f t="shared" si="17"/>
        <v>576.4</v>
      </c>
      <c r="Z92" s="33">
        <f>L92+N92+P92+R92+T92+V92+X92</f>
        <v>30165</v>
      </c>
    </row>
    <row r="93" spans="1:26" x14ac:dyDescent="0.3">
      <c r="A93" s="31">
        <v>4317.67</v>
      </c>
      <c r="B93" s="32">
        <v>4888.1899999999996</v>
      </c>
      <c r="C93" s="32">
        <v>4188.5</v>
      </c>
      <c r="D93" s="32">
        <v>3812.56</v>
      </c>
      <c r="E93" s="32">
        <v>480</v>
      </c>
      <c r="F93" s="32">
        <v>4282.57</v>
      </c>
      <c r="G93" s="32">
        <v>4052.67</v>
      </c>
      <c r="H93" s="22">
        <f>SUM(A93:G93)+I84</f>
        <v>45409.560000000005</v>
      </c>
      <c r="I93" s="33" t="s">
        <v>1</v>
      </c>
      <c r="L93" s="24">
        <v>4954</v>
      </c>
      <c r="M93" s="32">
        <v>1662.5</v>
      </c>
      <c r="N93" s="32">
        <v>4670</v>
      </c>
      <c r="O93" s="32">
        <v>108.5</v>
      </c>
      <c r="P93" s="32">
        <v>5266</v>
      </c>
      <c r="Q93" s="32">
        <v>2336.9</v>
      </c>
      <c r="R93" s="32">
        <v>3224</v>
      </c>
      <c r="S93" s="32">
        <v>40</v>
      </c>
      <c r="T93" s="32">
        <v>462</v>
      </c>
      <c r="U93" s="32">
        <v>0</v>
      </c>
      <c r="V93" s="32">
        <v>5967</v>
      </c>
      <c r="W93" s="32">
        <v>290</v>
      </c>
      <c r="X93" s="32">
        <v>5622</v>
      </c>
      <c r="Y93" s="32">
        <v>576.4</v>
      </c>
      <c r="Z93" s="33">
        <f>M93+O93+Q93+S93+U93+W93+Y93</f>
        <v>5014.2999999999993</v>
      </c>
    </row>
    <row r="94" spans="1:26" ht="15" thickBot="1" x14ac:dyDescent="0.35">
      <c r="A94" s="34">
        <f>A92-A93</f>
        <v>0</v>
      </c>
      <c r="B94" s="35">
        <f>B92-B93</f>
        <v>0</v>
      </c>
      <c r="C94" s="35">
        <f t="shared" ref="C94" si="18">C92-C93</f>
        <v>0</v>
      </c>
      <c r="D94" s="35">
        <f>D92-D93</f>
        <v>0</v>
      </c>
      <c r="E94" s="35">
        <f t="shared" ref="E94:F94" si="19">E92-E93</f>
        <v>0</v>
      </c>
      <c r="F94" s="35">
        <f t="shared" si="19"/>
        <v>0</v>
      </c>
      <c r="G94" s="35">
        <f>G92-G93</f>
        <v>0</v>
      </c>
      <c r="H94" s="35"/>
      <c r="I94" s="36"/>
      <c r="L94" s="34">
        <f t="shared" ref="L94:Y94" si="20">L92-L93</f>
        <v>0</v>
      </c>
      <c r="M94" s="34">
        <f t="shared" si="20"/>
        <v>0</v>
      </c>
      <c r="N94" s="34">
        <f t="shared" si="20"/>
        <v>0</v>
      </c>
      <c r="O94" s="34">
        <f t="shared" si="20"/>
        <v>0</v>
      </c>
      <c r="P94" s="34">
        <f t="shared" si="20"/>
        <v>0</v>
      </c>
      <c r="Q94" s="34">
        <f t="shared" si="20"/>
        <v>0</v>
      </c>
      <c r="R94" s="34">
        <f t="shared" si="20"/>
        <v>0</v>
      </c>
      <c r="S94" s="34">
        <f t="shared" si="20"/>
        <v>0</v>
      </c>
      <c r="T94" s="34">
        <f t="shared" si="20"/>
        <v>0</v>
      </c>
      <c r="U94" s="34">
        <f t="shared" si="20"/>
        <v>0</v>
      </c>
      <c r="V94" s="34">
        <f t="shared" si="20"/>
        <v>0</v>
      </c>
      <c r="W94" s="34">
        <f t="shared" si="20"/>
        <v>0</v>
      </c>
      <c r="X94" s="34">
        <f t="shared" si="20"/>
        <v>0</v>
      </c>
      <c r="Y94" s="34">
        <f t="shared" si="20"/>
        <v>0</v>
      </c>
      <c r="Z94" s="36"/>
    </row>
    <row r="95" spans="1:26" ht="15" thickTop="1" x14ac:dyDescent="0.3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2898-A381-4B1C-BF5A-7E933D1A5AB7}">
  <dimension ref="A1:Z133"/>
  <sheetViews>
    <sheetView topLeftCell="E66" workbookViewId="0">
      <selection activeCell="L77" sqref="L77:Z94"/>
    </sheetView>
  </sheetViews>
  <sheetFormatPr defaultRowHeight="14.4" x14ac:dyDescent="0.3"/>
  <cols>
    <col min="1" max="8" width="14.6640625" customWidth="1"/>
    <col min="9" max="9" width="16.44140625" customWidth="1"/>
    <col min="10" max="10" width="1.33203125" customWidth="1"/>
    <col min="11" max="11" width="13.44140625" customWidth="1"/>
    <col min="12" max="12" width="11.6640625" customWidth="1"/>
    <col min="13" max="13" width="12.33203125" bestFit="1" customWidth="1"/>
    <col min="14" max="14" width="11" customWidth="1"/>
    <col min="15" max="15" width="11.109375" customWidth="1"/>
    <col min="16" max="16" width="10" customWidth="1"/>
    <col min="18" max="18" width="11.33203125" customWidth="1"/>
    <col min="19" max="19" width="10.33203125" customWidth="1"/>
    <col min="20" max="20" width="10.5546875" customWidth="1"/>
    <col min="22" max="22" width="12.33203125" bestFit="1" customWidth="1"/>
    <col min="24" max="24" width="10.33203125" customWidth="1"/>
    <col min="25" max="25" width="11.6640625" customWidth="1"/>
    <col min="26" max="26" width="14.33203125" customWidth="1"/>
  </cols>
  <sheetData>
    <row r="1" spans="1:26" x14ac:dyDescent="0.3">
      <c r="A1" s="17">
        <v>45014</v>
      </c>
      <c r="B1" s="17">
        <v>45015</v>
      </c>
      <c r="C1" s="17">
        <v>45016</v>
      </c>
      <c r="D1" s="17">
        <v>45017</v>
      </c>
      <c r="E1" s="17">
        <v>45018</v>
      </c>
      <c r="F1" s="17">
        <v>45019</v>
      </c>
      <c r="G1" s="17">
        <v>45020</v>
      </c>
      <c r="H1" s="19"/>
      <c r="I1" s="20" t="s">
        <v>8</v>
      </c>
      <c r="L1" s="59">
        <v>45014</v>
      </c>
      <c r="M1" s="59">
        <v>45014</v>
      </c>
      <c r="N1" s="59">
        <v>45015</v>
      </c>
      <c r="O1" s="59"/>
      <c r="P1" s="59">
        <v>45016</v>
      </c>
      <c r="Q1" s="59"/>
      <c r="R1" s="59">
        <v>45017</v>
      </c>
      <c r="S1" s="59"/>
      <c r="T1" s="59">
        <v>45018</v>
      </c>
      <c r="U1" s="59"/>
      <c r="V1" s="59">
        <v>45019</v>
      </c>
      <c r="W1" s="59"/>
      <c r="X1" s="59">
        <v>45020</v>
      </c>
      <c r="Y1" s="60"/>
      <c r="Z1" s="13"/>
    </row>
    <row r="2" spans="1:26" ht="15" thickBot="1" x14ac:dyDescent="0.35">
      <c r="A2" s="21"/>
      <c r="B2" s="22"/>
      <c r="C2" s="22"/>
      <c r="D2" s="22"/>
      <c r="E2" s="22"/>
      <c r="F2" s="22"/>
      <c r="G2" s="22"/>
      <c r="H2" s="22"/>
      <c r="I2" s="23"/>
      <c r="L2" s="66" t="s">
        <v>10</v>
      </c>
      <c r="M2" s="66" t="s">
        <v>11</v>
      </c>
      <c r="N2" s="67" t="s">
        <v>10</v>
      </c>
      <c r="O2" s="67" t="s">
        <v>11</v>
      </c>
      <c r="P2" s="67" t="s">
        <v>10</v>
      </c>
      <c r="Q2" s="67" t="s">
        <v>11</v>
      </c>
      <c r="R2" s="67" t="s">
        <v>10</v>
      </c>
      <c r="S2" s="67" t="s">
        <v>11</v>
      </c>
      <c r="T2" s="67" t="s">
        <v>10</v>
      </c>
      <c r="U2" s="67" t="s">
        <v>11</v>
      </c>
      <c r="V2" s="67" t="s">
        <v>10</v>
      </c>
      <c r="W2" s="67" t="s">
        <v>11</v>
      </c>
      <c r="X2" s="67" t="s">
        <v>10</v>
      </c>
      <c r="Y2" s="67" t="s">
        <v>11</v>
      </c>
      <c r="Z2" s="14"/>
    </row>
    <row r="3" spans="1:26" x14ac:dyDescent="0.3">
      <c r="A3" s="24"/>
      <c r="B3" s="22"/>
      <c r="C3" s="22"/>
      <c r="D3" s="22"/>
      <c r="E3" s="25"/>
      <c r="F3" s="22"/>
      <c r="G3" s="22"/>
      <c r="H3" s="22"/>
      <c r="I3" s="23"/>
      <c r="L3" s="61">
        <v>2490</v>
      </c>
      <c r="M3" s="62">
        <v>1620</v>
      </c>
      <c r="N3" s="63">
        <v>2530</v>
      </c>
      <c r="O3" s="63">
        <v>108.5</v>
      </c>
      <c r="P3" s="63">
        <v>2490</v>
      </c>
      <c r="Q3" s="63">
        <v>1800</v>
      </c>
      <c r="R3" s="63">
        <v>1960</v>
      </c>
      <c r="S3" s="63">
        <v>40</v>
      </c>
      <c r="T3" s="63">
        <v>120</v>
      </c>
      <c r="U3" s="63">
        <v>0</v>
      </c>
      <c r="V3" s="63">
        <v>2700</v>
      </c>
      <c r="W3" s="63">
        <v>290</v>
      </c>
      <c r="X3" s="63">
        <v>2520</v>
      </c>
      <c r="Y3" s="65">
        <v>480</v>
      </c>
      <c r="Z3" s="14"/>
    </row>
    <row r="4" spans="1:26" x14ac:dyDescent="0.3">
      <c r="A4" s="24"/>
      <c r="B4" s="22"/>
      <c r="C4" s="22"/>
      <c r="D4" s="26"/>
      <c r="E4" s="22"/>
      <c r="F4" s="22"/>
      <c r="G4" s="22"/>
      <c r="H4" s="22"/>
      <c r="I4" s="27"/>
      <c r="L4" s="24">
        <v>1660</v>
      </c>
      <c r="M4" s="56">
        <v>42.5</v>
      </c>
      <c r="N4" s="22">
        <v>1190</v>
      </c>
      <c r="O4" s="22"/>
      <c r="P4" s="22">
        <v>1950</v>
      </c>
      <c r="Q4" s="22">
        <v>65</v>
      </c>
      <c r="R4" s="22">
        <v>760</v>
      </c>
      <c r="S4" s="70"/>
      <c r="T4" s="22">
        <v>120</v>
      </c>
      <c r="U4" s="22"/>
      <c r="V4" s="22">
        <v>1790</v>
      </c>
      <c r="W4" s="22"/>
      <c r="X4" s="22">
        <v>1910</v>
      </c>
      <c r="Y4" s="37">
        <v>57.5</v>
      </c>
      <c r="Z4" s="15"/>
    </row>
    <row r="5" spans="1:26" x14ac:dyDescent="0.3">
      <c r="A5" s="24"/>
      <c r="B5" s="22"/>
      <c r="C5" s="22"/>
      <c r="D5" s="25"/>
      <c r="E5" s="22"/>
      <c r="F5" s="22"/>
      <c r="G5" s="22"/>
      <c r="H5" s="22"/>
      <c r="I5" s="27"/>
      <c r="L5" s="24">
        <v>570</v>
      </c>
      <c r="M5" s="56"/>
      <c r="N5" s="22">
        <v>650</v>
      </c>
      <c r="O5" s="22"/>
      <c r="P5" s="22">
        <v>610</v>
      </c>
      <c r="Q5" s="22">
        <v>99.9</v>
      </c>
      <c r="R5" s="22">
        <v>300</v>
      </c>
      <c r="S5" s="71"/>
      <c r="T5" s="22">
        <v>150</v>
      </c>
      <c r="U5" s="22"/>
      <c r="V5" s="22">
        <v>1100</v>
      </c>
      <c r="W5" s="22"/>
      <c r="X5" s="22">
        <v>880</v>
      </c>
      <c r="Y5" s="37">
        <v>38.9</v>
      </c>
      <c r="Z5" s="15"/>
    </row>
    <row r="6" spans="1:26" x14ac:dyDescent="0.3">
      <c r="A6" s="24"/>
      <c r="B6" s="22"/>
      <c r="C6" s="22"/>
      <c r="D6" s="22"/>
      <c r="E6" s="22"/>
      <c r="F6" s="22"/>
      <c r="G6" s="22"/>
      <c r="H6" s="22"/>
      <c r="I6" s="27"/>
      <c r="L6" s="24">
        <v>144</v>
      </c>
      <c r="M6" s="56"/>
      <c r="N6" s="22">
        <v>300</v>
      </c>
      <c r="O6" s="22"/>
      <c r="P6" s="22">
        <v>144</v>
      </c>
      <c r="Q6" s="22">
        <v>372</v>
      </c>
      <c r="R6" s="22">
        <v>204</v>
      </c>
      <c r="S6" s="22"/>
      <c r="T6" s="22">
        <v>72</v>
      </c>
      <c r="U6" s="22"/>
      <c r="V6" s="22">
        <v>287</v>
      </c>
      <c r="W6" s="22"/>
      <c r="X6" s="22">
        <v>288</v>
      </c>
      <c r="Y6" s="37"/>
      <c r="Z6" s="15"/>
    </row>
    <row r="7" spans="1:26" x14ac:dyDescent="0.3">
      <c r="A7" s="24"/>
      <c r="B7" s="22"/>
      <c r="C7" s="22"/>
      <c r="D7" s="22"/>
      <c r="E7" s="22"/>
      <c r="F7" s="22"/>
      <c r="G7" s="22"/>
      <c r="H7" s="22"/>
      <c r="I7" s="27"/>
      <c r="L7" s="24">
        <v>90</v>
      </c>
      <c r="M7" s="56"/>
      <c r="N7" s="22"/>
      <c r="O7" s="22"/>
      <c r="P7" s="22">
        <v>72</v>
      </c>
      <c r="Q7" s="22"/>
      <c r="R7" s="22"/>
      <c r="S7" s="22"/>
      <c r="T7" s="22"/>
      <c r="U7" s="22"/>
      <c r="V7" s="22">
        <v>90</v>
      </c>
      <c r="W7" s="22"/>
      <c r="X7" s="22">
        <v>24</v>
      </c>
      <c r="Y7" s="37"/>
      <c r="Z7" s="15"/>
    </row>
    <row r="8" spans="1:26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0</v>
      </c>
      <c r="L8" s="24"/>
      <c r="M8" s="56"/>
      <c r="N8" s="22"/>
      <c r="O8" s="22"/>
      <c r="P8" s="22"/>
      <c r="Q8" s="22"/>
      <c r="R8" s="22"/>
      <c r="S8" s="22"/>
      <c r="T8" s="22"/>
      <c r="U8" s="22"/>
      <c r="V8" s="22"/>
      <c r="W8" s="22" t="s">
        <v>9</v>
      </c>
      <c r="X8" s="22"/>
      <c r="Y8" s="37"/>
      <c r="Z8" s="16">
        <f>SUM(Z2:Z7)</f>
        <v>0</v>
      </c>
    </row>
    <row r="9" spans="1:26" ht="15" thickTop="1" x14ac:dyDescent="0.3">
      <c r="A9" s="24"/>
      <c r="B9" s="22"/>
      <c r="C9" s="22"/>
      <c r="D9" s="22"/>
      <c r="E9" s="22"/>
      <c r="F9" s="22"/>
      <c r="G9" s="22"/>
      <c r="H9" s="22"/>
      <c r="I9" s="38"/>
      <c r="L9" s="24"/>
      <c r="M9" s="56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38"/>
    </row>
    <row r="10" spans="1:26" x14ac:dyDescent="0.3">
      <c r="A10" s="24"/>
      <c r="B10" s="22"/>
      <c r="C10" s="22"/>
      <c r="D10" s="22"/>
      <c r="E10" s="22"/>
      <c r="F10" s="22"/>
      <c r="G10" s="22"/>
      <c r="H10" s="22"/>
      <c r="I10" s="23"/>
      <c r="L10" s="24"/>
      <c r="M10" s="5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3"/>
    </row>
    <row r="11" spans="1:26" x14ac:dyDescent="0.3">
      <c r="A11" s="24"/>
      <c r="B11" s="22"/>
      <c r="C11" s="22"/>
      <c r="D11" s="22"/>
      <c r="E11" s="22"/>
      <c r="F11" s="22"/>
      <c r="G11" s="22"/>
      <c r="H11" s="22"/>
      <c r="I11" s="23"/>
      <c r="L11" s="24"/>
      <c r="M11" s="5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3"/>
    </row>
    <row r="12" spans="1:26" x14ac:dyDescent="0.3">
      <c r="A12" s="24"/>
      <c r="B12" s="22"/>
      <c r="C12" s="22"/>
      <c r="D12" s="22"/>
      <c r="E12" s="22"/>
      <c r="F12" s="22"/>
      <c r="G12" s="22"/>
      <c r="H12" s="22"/>
      <c r="I12" s="23"/>
      <c r="L12" s="24"/>
      <c r="M12" s="5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3"/>
    </row>
    <row r="13" spans="1:26" x14ac:dyDescent="0.3">
      <c r="A13" s="24"/>
      <c r="B13" s="22"/>
      <c r="C13" s="22"/>
      <c r="D13" s="22"/>
      <c r="E13" s="22"/>
      <c r="F13" s="22"/>
      <c r="G13" s="22"/>
      <c r="H13" s="22"/>
      <c r="I13" s="23"/>
      <c r="L13" s="24"/>
      <c r="M13" s="5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3"/>
    </row>
    <row r="14" spans="1:26" x14ac:dyDescent="0.3">
      <c r="A14" s="24"/>
      <c r="B14" s="22"/>
      <c r="C14" s="22"/>
      <c r="D14" s="22"/>
      <c r="E14" s="22"/>
      <c r="F14" s="22"/>
      <c r="G14" s="22"/>
      <c r="H14" s="22"/>
      <c r="I14" s="23"/>
      <c r="L14" s="24"/>
      <c r="M14" s="5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</row>
    <row r="15" spans="1:26" x14ac:dyDescent="0.3">
      <c r="A15" s="24"/>
      <c r="B15" s="22"/>
      <c r="C15" s="22"/>
      <c r="D15" s="22"/>
      <c r="E15" s="22"/>
      <c r="F15" s="28"/>
      <c r="G15" s="22"/>
      <c r="H15" s="22"/>
      <c r="I15" s="23"/>
      <c r="L15" s="24"/>
      <c r="M15" s="56"/>
      <c r="N15" s="22"/>
      <c r="O15" s="22"/>
      <c r="P15" s="22"/>
      <c r="Q15" s="22"/>
      <c r="R15" s="22"/>
      <c r="S15" s="22"/>
      <c r="T15" s="22"/>
      <c r="U15" s="22"/>
      <c r="V15" s="28"/>
      <c r="W15" s="28"/>
      <c r="X15" s="22"/>
      <c r="Y15" s="22"/>
      <c r="Z15" s="23"/>
    </row>
    <row r="16" spans="1:26" x14ac:dyDescent="0.3">
      <c r="A16" s="24">
        <f t="shared" ref="A16:G16" si="0">SUM(A2:A15)</f>
        <v>0</v>
      </c>
      <c r="B16" s="22">
        <f t="shared" si="0"/>
        <v>0</v>
      </c>
      <c r="C16" s="22">
        <f t="shared" si="0"/>
        <v>0</v>
      </c>
      <c r="D16" s="22">
        <f t="shared" si="0"/>
        <v>0</v>
      </c>
      <c r="E16" s="22">
        <f t="shared" si="0"/>
        <v>0</v>
      </c>
      <c r="F16" s="22">
        <f t="shared" si="0"/>
        <v>0</v>
      </c>
      <c r="G16" s="22">
        <f t="shared" si="0"/>
        <v>0</v>
      </c>
      <c r="H16" s="29">
        <f>SUM(A16:G16)+I8</f>
        <v>0</v>
      </c>
      <c r="I16" s="30" t="s">
        <v>7</v>
      </c>
      <c r="L16" s="24">
        <f>SUM(L3:L15)</f>
        <v>4954</v>
      </c>
      <c r="M16" s="22">
        <f>SUM(M3:M15)</f>
        <v>1662.5</v>
      </c>
      <c r="N16" s="22">
        <f t="shared" ref="N16:Y16" si="1">SUM(N3:N15)</f>
        <v>4670</v>
      </c>
      <c r="O16" s="22">
        <f t="shared" si="1"/>
        <v>108.5</v>
      </c>
      <c r="P16" s="22">
        <f t="shared" si="1"/>
        <v>5266</v>
      </c>
      <c r="Q16" s="22">
        <f t="shared" si="1"/>
        <v>2336.9</v>
      </c>
      <c r="R16" s="22">
        <f t="shared" si="1"/>
        <v>3224</v>
      </c>
      <c r="S16" s="22">
        <f t="shared" si="1"/>
        <v>40</v>
      </c>
      <c r="T16" s="22">
        <f t="shared" si="1"/>
        <v>462</v>
      </c>
      <c r="U16" s="22">
        <f t="shared" si="1"/>
        <v>0</v>
      </c>
      <c r="V16" s="22">
        <f t="shared" si="1"/>
        <v>5967</v>
      </c>
      <c r="W16" s="22">
        <f t="shared" si="1"/>
        <v>290</v>
      </c>
      <c r="X16" s="22">
        <f t="shared" si="1"/>
        <v>5622</v>
      </c>
      <c r="Y16" s="22">
        <f t="shared" si="1"/>
        <v>576.4</v>
      </c>
      <c r="Z16" s="33">
        <f>L16+N16+P16+R16+T16+V16+X16</f>
        <v>30165</v>
      </c>
    </row>
    <row r="17" spans="1:26" x14ac:dyDescent="0.3">
      <c r="A17" s="31"/>
      <c r="B17" s="32"/>
      <c r="C17" s="32"/>
      <c r="D17" s="32"/>
      <c r="E17" s="32"/>
      <c r="F17" s="32"/>
      <c r="G17" s="32"/>
      <c r="H17" s="22">
        <f>SUM(A17:G17)</f>
        <v>0</v>
      </c>
      <c r="I17" s="33" t="s">
        <v>1</v>
      </c>
      <c r="L17" s="24">
        <v>4954</v>
      </c>
      <c r="M17" s="32">
        <v>1662.5</v>
      </c>
      <c r="N17" s="32">
        <v>4670</v>
      </c>
      <c r="O17" s="32">
        <v>108.5</v>
      </c>
      <c r="P17" s="32">
        <v>5266</v>
      </c>
      <c r="Q17" s="32">
        <v>2336.9</v>
      </c>
      <c r="R17" s="32">
        <v>3224</v>
      </c>
      <c r="S17" s="32">
        <v>40</v>
      </c>
      <c r="T17" s="32">
        <v>462</v>
      </c>
      <c r="U17" s="32">
        <v>0</v>
      </c>
      <c r="V17" s="32">
        <v>5967</v>
      </c>
      <c r="W17" s="32">
        <v>290</v>
      </c>
      <c r="X17" s="32">
        <v>5622</v>
      </c>
      <c r="Y17" s="32">
        <v>576.4</v>
      </c>
      <c r="Z17" s="33">
        <f>M17+O17+Q17+S17+U17+W17+Y17</f>
        <v>5014.2999999999993</v>
      </c>
    </row>
    <row r="18" spans="1:26" ht="15" thickBot="1" x14ac:dyDescent="0.35">
      <c r="A18" s="34">
        <f>A16-A17</f>
        <v>0</v>
      </c>
      <c r="B18" s="35">
        <f>B16-B17</f>
        <v>0</v>
      </c>
      <c r="C18" s="35">
        <f t="shared" ref="C18:F18" si="2">C16-C17</f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>G16-G17</f>
        <v>0</v>
      </c>
      <c r="H18" s="35"/>
      <c r="I18" s="36"/>
      <c r="L18" s="34">
        <f t="shared" ref="L18:Y18" si="3">L16-L17</f>
        <v>0</v>
      </c>
      <c r="M18" s="34">
        <f t="shared" si="3"/>
        <v>0</v>
      </c>
      <c r="N18" s="34">
        <f t="shared" si="3"/>
        <v>0</v>
      </c>
      <c r="O18" s="34">
        <f t="shared" si="3"/>
        <v>0</v>
      </c>
      <c r="P18" s="34">
        <f t="shared" si="3"/>
        <v>0</v>
      </c>
      <c r="Q18" s="34">
        <f t="shared" si="3"/>
        <v>0</v>
      </c>
      <c r="R18" s="34">
        <f t="shared" si="3"/>
        <v>0</v>
      </c>
      <c r="S18" s="34">
        <f t="shared" si="3"/>
        <v>0</v>
      </c>
      <c r="T18" s="34">
        <f t="shared" si="3"/>
        <v>0</v>
      </c>
      <c r="U18" s="34">
        <f t="shared" si="3"/>
        <v>0</v>
      </c>
      <c r="V18" s="34">
        <f t="shared" si="3"/>
        <v>0</v>
      </c>
      <c r="W18" s="34">
        <f t="shared" si="3"/>
        <v>0</v>
      </c>
      <c r="X18" s="34">
        <f t="shared" si="3"/>
        <v>0</v>
      </c>
      <c r="Y18" s="34">
        <f t="shared" si="3"/>
        <v>0</v>
      </c>
      <c r="Z18" s="36"/>
    </row>
    <row r="19" spans="1:26" ht="15.6" thickTop="1" thickBot="1" x14ac:dyDescent="0.35"/>
    <row r="20" spans="1:26" x14ac:dyDescent="0.3">
      <c r="A20" s="17">
        <v>45021</v>
      </c>
      <c r="B20" s="17">
        <v>45022</v>
      </c>
      <c r="C20" s="17">
        <v>45023</v>
      </c>
      <c r="D20" s="17">
        <v>45024</v>
      </c>
      <c r="E20" s="17">
        <v>45025</v>
      </c>
      <c r="F20" s="17">
        <v>45026</v>
      </c>
      <c r="G20" s="17">
        <v>45027</v>
      </c>
      <c r="H20" s="39"/>
      <c r="I20" s="13" t="s">
        <v>8</v>
      </c>
      <c r="L20" s="176">
        <v>45021</v>
      </c>
      <c r="M20" s="177"/>
      <c r="N20" s="176">
        <v>45022</v>
      </c>
      <c r="O20" s="177"/>
      <c r="P20" s="176">
        <v>45023</v>
      </c>
      <c r="Q20" s="177"/>
      <c r="R20" s="176">
        <v>45024</v>
      </c>
      <c r="S20" s="177"/>
      <c r="T20" s="176">
        <v>45025</v>
      </c>
      <c r="U20" s="177"/>
      <c r="V20" s="176">
        <v>45026</v>
      </c>
      <c r="W20" s="177"/>
      <c r="X20" s="176">
        <v>45027</v>
      </c>
      <c r="Y20" s="177"/>
      <c r="Z20" s="13"/>
    </row>
    <row r="21" spans="1:26" ht="15" thickBot="1" x14ac:dyDescent="0.35">
      <c r="A21" s="21">
        <v>1633.8</v>
      </c>
      <c r="B21" s="22">
        <v>1485.35</v>
      </c>
      <c r="C21" s="22">
        <v>1720.35</v>
      </c>
      <c r="D21" s="22">
        <v>1433.45</v>
      </c>
      <c r="E21" s="22">
        <v>110</v>
      </c>
      <c r="F21" s="22">
        <v>1925.35</v>
      </c>
      <c r="G21" s="22">
        <v>1378.8</v>
      </c>
      <c r="H21" s="37"/>
      <c r="I21" s="14">
        <v>5828.62</v>
      </c>
      <c r="L21" s="66" t="s">
        <v>10</v>
      </c>
      <c r="M21" s="66" t="s">
        <v>11</v>
      </c>
      <c r="N21" s="67" t="s">
        <v>10</v>
      </c>
      <c r="O21" s="67" t="s">
        <v>11</v>
      </c>
      <c r="P21" s="67" t="s">
        <v>10</v>
      </c>
      <c r="Q21" s="67" t="s">
        <v>11</v>
      </c>
      <c r="R21" s="67" t="s">
        <v>10</v>
      </c>
      <c r="S21" s="67" t="s">
        <v>11</v>
      </c>
      <c r="T21" s="67" t="s">
        <v>10</v>
      </c>
      <c r="U21" s="67" t="s">
        <v>11</v>
      </c>
      <c r="V21" s="67" t="s">
        <v>10</v>
      </c>
      <c r="W21" s="67" t="s">
        <v>11</v>
      </c>
      <c r="X21" s="67" t="s">
        <v>10</v>
      </c>
      <c r="Y21" s="67" t="s">
        <v>11</v>
      </c>
      <c r="Z21" s="14"/>
    </row>
    <row r="22" spans="1:26" x14ac:dyDescent="0.3">
      <c r="A22" s="24">
        <v>2072.0500000000002</v>
      </c>
      <c r="B22" s="22">
        <v>2547.5700000000002</v>
      </c>
      <c r="C22" s="22">
        <v>375</v>
      </c>
      <c r="D22" s="22">
        <v>2998.38</v>
      </c>
      <c r="E22" s="22">
        <v>185</v>
      </c>
      <c r="F22" s="22">
        <v>710</v>
      </c>
      <c r="G22" s="22">
        <v>2177.0500000000002</v>
      </c>
      <c r="H22" s="37"/>
      <c r="I22" s="14">
        <v>5535.3</v>
      </c>
      <c r="L22" s="61">
        <v>2550</v>
      </c>
      <c r="M22" s="62">
        <v>60</v>
      </c>
      <c r="N22" s="63">
        <v>2460</v>
      </c>
      <c r="O22" s="63">
        <v>57.5</v>
      </c>
      <c r="P22" s="63">
        <v>2460</v>
      </c>
      <c r="Q22" s="63">
        <v>1380</v>
      </c>
      <c r="R22" s="22">
        <v>1680</v>
      </c>
      <c r="S22" s="63">
        <v>1620</v>
      </c>
      <c r="T22" s="63">
        <v>60</v>
      </c>
      <c r="U22" s="63">
        <v>0</v>
      </c>
      <c r="V22" s="63">
        <v>2320</v>
      </c>
      <c r="W22" s="63">
        <v>50</v>
      </c>
      <c r="X22" s="63">
        <v>2510</v>
      </c>
      <c r="Y22" s="65">
        <v>840</v>
      </c>
      <c r="Z22" s="14"/>
    </row>
    <row r="23" spans="1:26" x14ac:dyDescent="0.3">
      <c r="A23" s="24">
        <v>731.2</v>
      </c>
      <c r="B23" s="22">
        <v>764.65</v>
      </c>
      <c r="C23" s="22">
        <v>669.65</v>
      </c>
      <c r="D23" s="26">
        <v>156.55000000000001</v>
      </c>
      <c r="E23" s="22">
        <v>75</v>
      </c>
      <c r="F23" s="22">
        <v>719.65</v>
      </c>
      <c r="G23" s="22">
        <v>561.20000000000005</v>
      </c>
      <c r="H23" s="37"/>
      <c r="I23" s="15">
        <v>4264.8900000000003</v>
      </c>
      <c r="L23" s="24">
        <v>1850</v>
      </c>
      <c r="M23" s="56">
        <v>60</v>
      </c>
      <c r="N23" s="22">
        <v>1280</v>
      </c>
      <c r="O23" s="22">
        <v>200</v>
      </c>
      <c r="P23" s="22">
        <v>1455</v>
      </c>
      <c r="Q23" s="22">
        <v>65</v>
      </c>
      <c r="R23" s="22">
        <v>1470</v>
      </c>
      <c r="S23" s="70">
        <v>45</v>
      </c>
      <c r="T23" s="22">
        <v>150</v>
      </c>
      <c r="U23" s="22"/>
      <c r="V23" s="22">
        <v>1730</v>
      </c>
      <c r="W23" s="22"/>
      <c r="X23" s="22">
        <v>1665</v>
      </c>
      <c r="Y23" s="37">
        <v>372</v>
      </c>
      <c r="Z23" s="15"/>
    </row>
    <row r="24" spans="1:26" x14ac:dyDescent="0.3">
      <c r="A24" s="24"/>
      <c r="B24" s="22"/>
      <c r="C24" s="22"/>
      <c r="D24" s="25"/>
      <c r="E24" s="22"/>
      <c r="F24" s="22"/>
      <c r="G24" s="22"/>
      <c r="H24" s="37"/>
      <c r="I24" s="15">
        <v>2336.58</v>
      </c>
      <c r="L24" s="24">
        <v>120</v>
      </c>
      <c r="M24" s="56"/>
      <c r="N24" s="22">
        <v>500</v>
      </c>
      <c r="O24" s="22">
        <v>200</v>
      </c>
      <c r="P24" s="22">
        <v>555</v>
      </c>
      <c r="Q24" s="22"/>
      <c r="R24" s="22">
        <v>430</v>
      </c>
      <c r="S24" s="71"/>
      <c r="T24" s="22">
        <v>48</v>
      </c>
      <c r="U24" s="22"/>
      <c r="V24" s="22">
        <v>720</v>
      </c>
      <c r="W24" s="22"/>
      <c r="X24" s="22">
        <v>60</v>
      </c>
      <c r="Y24" s="37">
        <v>50</v>
      </c>
      <c r="Z24" s="15"/>
    </row>
    <row r="25" spans="1:26" x14ac:dyDescent="0.3">
      <c r="A25" s="24"/>
      <c r="B25" s="22"/>
      <c r="C25" s="22"/>
      <c r="D25" s="22"/>
      <c r="E25" s="22"/>
      <c r="F25" s="22"/>
      <c r="G25" s="22"/>
      <c r="H25" s="37"/>
      <c r="I25" s="15">
        <v>3785</v>
      </c>
      <c r="L25" s="24">
        <v>1120</v>
      </c>
      <c r="M25" s="56"/>
      <c r="N25" s="22">
        <v>300</v>
      </c>
      <c r="O25" s="22"/>
      <c r="P25" s="22">
        <v>72</v>
      </c>
      <c r="Q25" s="22"/>
      <c r="R25" s="22">
        <v>348</v>
      </c>
      <c r="S25" s="22"/>
      <c r="T25" s="22"/>
      <c r="U25" s="22"/>
      <c r="V25" s="22">
        <v>475</v>
      </c>
      <c r="W25" s="22"/>
      <c r="X25" s="22">
        <v>535</v>
      </c>
      <c r="Y25" s="37"/>
      <c r="Z25" s="15"/>
    </row>
    <row r="26" spans="1:26" x14ac:dyDescent="0.3">
      <c r="A26" s="24"/>
      <c r="B26" s="22"/>
      <c r="C26" s="22"/>
      <c r="D26" s="22"/>
      <c r="E26" s="22"/>
      <c r="F26" s="22"/>
      <c r="G26" s="22"/>
      <c r="H26" s="37"/>
      <c r="I26" s="15">
        <v>1320</v>
      </c>
      <c r="L26" s="24">
        <v>222</v>
      </c>
      <c r="M26" s="56"/>
      <c r="N26" s="22">
        <v>26</v>
      </c>
      <c r="O26" s="22"/>
      <c r="P26" s="22">
        <v>72</v>
      </c>
      <c r="Q26" s="22"/>
      <c r="R26" s="22">
        <v>24</v>
      </c>
      <c r="S26" s="22"/>
      <c r="T26" s="22"/>
      <c r="U26" s="22"/>
      <c r="V26" s="22"/>
      <c r="W26" s="22"/>
      <c r="X26" s="22">
        <v>144</v>
      </c>
      <c r="Y26" s="37"/>
      <c r="Z26" s="15"/>
    </row>
    <row r="27" spans="1:26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23070.39</v>
      </c>
      <c r="L27" s="24">
        <v>90</v>
      </c>
      <c r="M27" s="56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>
        <v>24</v>
      </c>
      <c r="Y27" s="37"/>
      <c r="Z27" s="16">
        <f>SUM(Z21:Z26)</f>
        <v>0</v>
      </c>
    </row>
    <row r="28" spans="1:26" ht="15" thickTop="1" x14ac:dyDescent="0.3">
      <c r="A28" s="24"/>
      <c r="B28" s="22"/>
      <c r="C28" s="22"/>
      <c r="D28" s="22"/>
      <c r="E28" s="22"/>
      <c r="F28" s="22"/>
      <c r="G28" s="22"/>
      <c r="H28" s="22"/>
      <c r="I28" s="38"/>
      <c r="L28" s="24"/>
      <c r="M28" s="5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38"/>
    </row>
    <row r="29" spans="1:26" x14ac:dyDescent="0.3">
      <c r="A29" s="24"/>
      <c r="B29" s="22"/>
      <c r="C29" s="22"/>
      <c r="D29" s="22"/>
      <c r="E29" s="22"/>
      <c r="F29" s="22"/>
      <c r="G29" s="22"/>
      <c r="H29" s="22"/>
      <c r="I29" s="23"/>
      <c r="L29" s="24"/>
      <c r="M29" s="5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3"/>
    </row>
    <row r="30" spans="1:26" x14ac:dyDescent="0.3">
      <c r="A30" s="24"/>
      <c r="B30" s="22"/>
      <c r="C30" s="22"/>
      <c r="D30" s="22"/>
      <c r="E30" s="22"/>
      <c r="F30" s="22"/>
      <c r="G30" s="22"/>
      <c r="H30" s="22"/>
      <c r="I30" s="23"/>
      <c r="L30" s="24"/>
      <c r="M30" s="56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3"/>
    </row>
    <row r="31" spans="1:26" x14ac:dyDescent="0.3">
      <c r="A31" s="24"/>
      <c r="B31" s="22"/>
      <c r="C31" s="22"/>
      <c r="D31" s="22"/>
      <c r="E31" s="22"/>
      <c r="F31" s="22"/>
      <c r="G31" s="22"/>
      <c r="H31" s="22"/>
      <c r="I31" s="23"/>
      <c r="L31" s="24"/>
      <c r="M31" s="5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3"/>
    </row>
    <row r="32" spans="1:26" x14ac:dyDescent="0.3">
      <c r="A32" s="24"/>
      <c r="B32" s="22"/>
      <c r="C32" s="22"/>
      <c r="D32" s="22"/>
      <c r="E32" s="22"/>
      <c r="F32" s="22"/>
      <c r="G32" s="22"/>
      <c r="H32" s="22"/>
      <c r="I32" s="23"/>
      <c r="L32" s="24"/>
      <c r="M32" s="5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</row>
    <row r="33" spans="1:26" x14ac:dyDescent="0.3">
      <c r="A33" s="24"/>
      <c r="B33" s="22"/>
      <c r="C33" s="22"/>
      <c r="D33" s="22"/>
      <c r="E33" s="22"/>
      <c r="F33" s="22"/>
      <c r="G33" s="22"/>
      <c r="H33" s="22"/>
      <c r="I33" s="23"/>
      <c r="L33" s="24"/>
      <c r="M33" s="5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</row>
    <row r="34" spans="1:26" x14ac:dyDescent="0.3">
      <c r="A34" s="24"/>
      <c r="B34" s="22"/>
      <c r="C34" s="22"/>
      <c r="D34" s="22"/>
      <c r="E34" s="22"/>
      <c r="F34" s="28"/>
      <c r="G34" s="22"/>
      <c r="H34" s="22"/>
      <c r="I34" s="23"/>
      <c r="L34" s="24"/>
      <c r="M34" s="56"/>
      <c r="N34" s="22"/>
      <c r="O34" s="22"/>
      <c r="P34" s="22"/>
      <c r="Q34" s="22"/>
      <c r="R34" s="22"/>
      <c r="S34" s="22"/>
      <c r="T34" s="22"/>
      <c r="U34" s="22"/>
      <c r="V34" s="28"/>
      <c r="W34" s="28"/>
      <c r="X34" s="22"/>
      <c r="Y34" s="22"/>
      <c r="Z34" s="23"/>
    </row>
    <row r="35" spans="1:26" x14ac:dyDescent="0.3">
      <c r="A35" s="24">
        <f t="shared" ref="A35:G35" si="4">SUM(A21:A34)</f>
        <v>4437.05</v>
      </c>
      <c r="B35" s="22">
        <f t="shared" si="4"/>
        <v>4797.57</v>
      </c>
      <c r="C35" s="22">
        <f t="shared" si="4"/>
        <v>2765</v>
      </c>
      <c r="D35" s="22">
        <f t="shared" si="4"/>
        <v>4588.38</v>
      </c>
      <c r="E35" s="22">
        <f t="shared" si="4"/>
        <v>370</v>
      </c>
      <c r="F35" s="22">
        <f t="shared" si="4"/>
        <v>3355</v>
      </c>
      <c r="G35" s="22">
        <f t="shared" si="4"/>
        <v>4117.05</v>
      </c>
      <c r="H35" s="29">
        <f>SUM(A35:G35)+I27</f>
        <v>47500.44</v>
      </c>
      <c r="I35" s="30" t="s">
        <v>7</v>
      </c>
      <c r="L35" s="24">
        <f t="shared" ref="L35:Y35" si="5">SUM(L22:L34)</f>
        <v>5952</v>
      </c>
      <c r="M35" s="22">
        <f t="shared" si="5"/>
        <v>120</v>
      </c>
      <c r="N35" s="22">
        <f t="shared" si="5"/>
        <v>4566</v>
      </c>
      <c r="O35" s="22">
        <f t="shared" si="5"/>
        <v>457.5</v>
      </c>
      <c r="P35" s="22">
        <f t="shared" si="5"/>
        <v>4614</v>
      </c>
      <c r="Q35" s="22">
        <f t="shared" si="5"/>
        <v>1445</v>
      </c>
      <c r="R35" s="22">
        <f t="shared" si="5"/>
        <v>3952</v>
      </c>
      <c r="S35" s="22">
        <f t="shared" si="5"/>
        <v>1665</v>
      </c>
      <c r="T35" s="22">
        <f t="shared" si="5"/>
        <v>258</v>
      </c>
      <c r="U35" s="22">
        <f t="shared" si="5"/>
        <v>0</v>
      </c>
      <c r="V35" s="22">
        <f t="shared" si="5"/>
        <v>5245</v>
      </c>
      <c r="W35" s="22">
        <f t="shared" si="5"/>
        <v>50</v>
      </c>
      <c r="X35" s="22">
        <f t="shared" si="5"/>
        <v>4938</v>
      </c>
      <c r="Y35" s="22">
        <f t="shared" si="5"/>
        <v>1262</v>
      </c>
      <c r="Z35" s="33">
        <f>L35+N35+P35+R35+T35+V35+X35</f>
        <v>29525</v>
      </c>
    </row>
    <row r="36" spans="1:26" x14ac:dyDescent="0.3">
      <c r="A36" s="31">
        <v>4437.05</v>
      </c>
      <c r="B36" s="32">
        <v>4797.57</v>
      </c>
      <c r="C36" s="32">
        <v>2765</v>
      </c>
      <c r="D36" s="32">
        <v>4588.38</v>
      </c>
      <c r="E36" s="32">
        <v>370</v>
      </c>
      <c r="F36" s="32">
        <v>3355</v>
      </c>
      <c r="G36" s="32">
        <v>4117.05</v>
      </c>
      <c r="H36" s="22">
        <f>SUM(A36:G36)+I27</f>
        <v>47500.44</v>
      </c>
      <c r="I36" s="33" t="s">
        <v>1</v>
      </c>
      <c r="L36" s="24">
        <v>5952</v>
      </c>
      <c r="M36" s="32">
        <v>120</v>
      </c>
      <c r="N36" s="32">
        <v>4566</v>
      </c>
      <c r="O36" s="32">
        <v>457.5</v>
      </c>
      <c r="P36" s="32">
        <v>4614</v>
      </c>
      <c r="Q36" s="32">
        <v>1445</v>
      </c>
      <c r="R36" s="32">
        <v>3952</v>
      </c>
      <c r="S36" s="32">
        <v>1665</v>
      </c>
      <c r="T36" s="32">
        <v>258</v>
      </c>
      <c r="U36" s="32">
        <v>0</v>
      </c>
      <c r="V36" s="32">
        <v>5245</v>
      </c>
      <c r="W36" s="32">
        <v>50</v>
      </c>
      <c r="X36" s="32">
        <v>4938</v>
      </c>
      <c r="Y36" s="32">
        <v>1262</v>
      </c>
      <c r="Z36" s="33">
        <f>M36+O36+Q36+S36+U36+W36+Y36</f>
        <v>4999.5</v>
      </c>
    </row>
    <row r="37" spans="1:26" ht="15" thickBot="1" x14ac:dyDescent="0.35">
      <c r="A37" s="34">
        <f t="shared" ref="A37:G37" si="6">A35-A36</f>
        <v>0</v>
      </c>
      <c r="B37" s="35">
        <f t="shared" si="6"/>
        <v>0</v>
      </c>
      <c r="C37" s="35">
        <f t="shared" si="6"/>
        <v>0</v>
      </c>
      <c r="D37" s="35">
        <f t="shared" si="6"/>
        <v>0</v>
      </c>
      <c r="E37" s="35">
        <f t="shared" si="6"/>
        <v>0</v>
      </c>
      <c r="F37" s="35">
        <f t="shared" si="6"/>
        <v>0</v>
      </c>
      <c r="G37" s="35">
        <f t="shared" si="6"/>
        <v>0</v>
      </c>
      <c r="H37" s="35"/>
      <c r="I37" s="36"/>
      <c r="L37" s="34">
        <f t="shared" ref="L37:Y37" si="7">L35-L36</f>
        <v>0</v>
      </c>
      <c r="M37" s="34">
        <f t="shared" si="7"/>
        <v>0</v>
      </c>
      <c r="N37" s="34">
        <f t="shared" si="7"/>
        <v>0</v>
      </c>
      <c r="O37" s="34">
        <f t="shared" si="7"/>
        <v>0</v>
      </c>
      <c r="P37" s="34">
        <f t="shared" si="7"/>
        <v>0</v>
      </c>
      <c r="Q37" s="34">
        <f t="shared" si="7"/>
        <v>0</v>
      </c>
      <c r="R37" s="34">
        <f t="shared" si="7"/>
        <v>0</v>
      </c>
      <c r="S37" s="34">
        <f t="shared" si="7"/>
        <v>0</v>
      </c>
      <c r="T37" s="34">
        <f t="shared" si="7"/>
        <v>0</v>
      </c>
      <c r="U37" s="34">
        <f t="shared" si="7"/>
        <v>0</v>
      </c>
      <c r="V37" s="34">
        <f t="shared" si="7"/>
        <v>0</v>
      </c>
      <c r="W37" s="34">
        <f t="shared" si="7"/>
        <v>0</v>
      </c>
      <c r="X37" s="34">
        <f t="shared" si="7"/>
        <v>0</v>
      </c>
      <c r="Y37" s="34">
        <f t="shared" si="7"/>
        <v>0</v>
      </c>
      <c r="Z37" s="36"/>
    </row>
    <row r="38" spans="1:26" ht="15.6" thickTop="1" thickBot="1" x14ac:dyDescent="0.35"/>
    <row r="39" spans="1:26" x14ac:dyDescent="0.3">
      <c r="A39" s="17">
        <v>45028</v>
      </c>
      <c r="B39" s="17">
        <v>45029</v>
      </c>
      <c r="C39" s="17">
        <v>45030</v>
      </c>
      <c r="D39" s="17">
        <v>45031</v>
      </c>
      <c r="E39" s="17">
        <v>45032</v>
      </c>
      <c r="F39" s="17">
        <v>45033</v>
      </c>
      <c r="G39" s="17">
        <v>45034</v>
      </c>
      <c r="H39" s="39"/>
      <c r="I39" s="13" t="s">
        <v>8</v>
      </c>
      <c r="L39" s="59">
        <v>45028</v>
      </c>
      <c r="M39" s="59"/>
      <c r="N39" s="59">
        <v>45029</v>
      </c>
      <c r="O39" s="59"/>
      <c r="P39" s="59">
        <v>45030</v>
      </c>
      <c r="Q39" s="59"/>
      <c r="R39" s="59">
        <v>45031</v>
      </c>
      <c r="S39" s="59"/>
      <c r="T39" s="59">
        <v>45032</v>
      </c>
      <c r="U39" s="59"/>
      <c r="V39" s="59">
        <v>45033</v>
      </c>
      <c r="W39" s="59"/>
      <c r="X39" s="59">
        <v>45034</v>
      </c>
      <c r="Y39" s="59"/>
      <c r="Z39" s="13"/>
    </row>
    <row r="40" spans="1:26" ht="15" thickBot="1" x14ac:dyDescent="0.35">
      <c r="A40" s="21">
        <v>1420.35</v>
      </c>
      <c r="B40" s="22">
        <v>1131.9000000000001</v>
      </c>
      <c r="C40" s="22">
        <v>1690.35</v>
      </c>
      <c r="D40" s="22">
        <v>948.45</v>
      </c>
      <c r="E40" s="22">
        <v>295</v>
      </c>
      <c r="F40" s="22">
        <v>976.9</v>
      </c>
      <c r="G40" s="22">
        <v>1698.8</v>
      </c>
      <c r="H40" s="37"/>
      <c r="I40" s="14">
        <v>4943.92</v>
      </c>
      <c r="L40" s="66" t="s">
        <v>10</v>
      </c>
      <c r="M40" s="66" t="s">
        <v>11</v>
      </c>
      <c r="N40" s="67" t="s">
        <v>10</v>
      </c>
      <c r="O40" s="67" t="s">
        <v>11</v>
      </c>
      <c r="P40" s="67" t="s">
        <v>10</v>
      </c>
      <c r="Q40" s="67" t="s">
        <v>11</v>
      </c>
      <c r="R40" s="67" t="s">
        <v>10</v>
      </c>
      <c r="S40" s="67" t="s">
        <v>11</v>
      </c>
      <c r="T40" s="67" t="s">
        <v>10</v>
      </c>
      <c r="U40" s="67" t="s">
        <v>11</v>
      </c>
      <c r="V40" s="67" t="s">
        <v>10</v>
      </c>
      <c r="W40" s="67" t="s">
        <v>11</v>
      </c>
      <c r="X40" s="67" t="s">
        <v>10</v>
      </c>
      <c r="Y40" s="67" t="s">
        <v>11</v>
      </c>
      <c r="Z40" s="14"/>
    </row>
    <row r="41" spans="1:26" x14ac:dyDescent="0.3">
      <c r="A41" s="24">
        <v>2162.0500000000002</v>
      </c>
      <c r="B41" s="22">
        <v>2292.98</v>
      </c>
      <c r="C41" s="22">
        <v>1747.36</v>
      </c>
      <c r="D41" s="22">
        <v>3330.44</v>
      </c>
      <c r="E41" s="25"/>
      <c r="F41" s="22">
        <v>110</v>
      </c>
      <c r="G41" s="22">
        <v>2392.2600000000002</v>
      </c>
      <c r="H41" s="37"/>
      <c r="I41" s="14">
        <v>4797.26</v>
      </c>
      <c r="L41" s="61">
        <v>2640</v>
      </c>
      <c r="M41" s="62">
        <v>540</v>
      </c>
      <c r="N41" s="63">
        <v>2580</v>
      </c>
      <c r="O41" s="63">
        <v>60</v>
      </c>
      <c r="P41" s="63">
        <v>2490</v>
      </c>
      <c r="Q41" s="63">
        <v>77</v>
      </c>
      <c r="R41" s="63">
        <v>2070</v>
      </c>
      <c r="S41" s="63">
        <v>1800</v>
      </c>
      <c r="T41" s="69">
        <v>330</v>
      </c>
      <c r="U41" s="69"/>
      <c r="V41" s="63">
        <v>2790</v>
      </c>
      <c r="W41" s="63">
        <v>741.3</v>
      </c>
      <c r="X41" s="63">
        <v>2400</v>
      </c>
      <c r="Y41" s="65">
        <v>1920</v>
      </c>
      <c r="Z41" s="14"/>
    </row>
    <row r="42" spans="1:26" x14ac:dyDescent="0.3">
      <c r="A42" s="24">
        <v>1004.65</v>
      </c>
      <c r="B42" s="22">
        <v>1003.1</v>
      </c>
      <c r="C42" s="22">
        <v>1019.65</v>
      </c>
      <c r="D42" s="26">
        <v>431.55</v>
      </c>
      <c r="E42" s="22"/>
      <c r="F42" s="22">
        <v>2247.5700000000002</v>
      </c>
      <c r="G42" s="22">
        <v>546.20000000000005</v>
      </c>
      <c r="H42" s="37"/>
      <c r="I42" s="15">
        <v>4610</v>
      </c>
      <c r="L42" s="24">
        <v>1860</v>
      </c>
      <c r="M42" s="56">
        <v>50</v>
      </c>
      <c r="N42" s="22">
        <v>1340</v>
      </c>
      <c r="O42" s="22">
        <v>50</v>
      </c>
      <c r="P42" s="22">
        <v>2490</v>
      </c>
      <c r="Q42" s="22">
        <v>30</v>
      </c>
      <c r="R42" s="48">
        <v>1230</v>
      </c>
      <c r="S42" s="70">
        <v>57.5</v>
      </c>
      <c r="T42" s="22">
        <v>72</v>
      </c>
      <c r="U42" s="22"/>
      <c r="V42" s="22">
        <v>2350</v>
      </c>
      <c r="W42" s="22"/>
      <c r="X42" s="22">
        <v>1870</v>
      </c>
      <c r="Y42" s="37">
        <v>235</v>
      </c>
      <c r="Z42" s="15"/>
    </row>
    <row r="43" spans="1:26" x14ac:dyDescent="0.3">
      <c r="A43" s="24"/>
      <c r="B43" s="22"/>
      <c r="C43" s="22"/>
      <c r="D43" s="25"/>
      <c r="E43" s="22"/>
      <c r="F43" s="22">
        <v>868.1</v>
      </c>
      <c r="G43" s="22"/>
      <c r="H43" s="37"/>
      <c r="I43" s="15">
        <v>4571.16</v>
      </c>
      <c r="L43" s="24">
        <v>760</v>
      </c>
      <c r="M43" s="56">
        <v>99.9</v>
      </c>
      <c r="N43" s="22">
        <v>830</v>
      </c>
      <c r="O43" s="22"/>
      <c r="P43" s="22">
        <v>770</v>
      </c>
      <c r="Q43" s="22"/>
      <c r="R43" s="48">
        <v>300</v>
      </c>
      <c r="S43" s="71"/>
      <c r="T43" s="22"/>
      <c r="U43" s="22"/>
      <c r="V43" s="22">
        <v>1140</v>
      </c>
      <c r="W43" s="22"/>
      <c r="X43" s="22">
        <v>430</v>
      </c>
      <c r="Y43" s="37"/>
      <c r="Z43" s="15"/>
    </row>
    <row r="44" spans="1:26" x14ac:dyDescent="0.3">
      <c r="A44" s="24"/>
      <c r="B44" s="22"/>
      <c r="C44" s="22"/>
      <c r="D44" s="22"/>
      <c r="E44" s="22"/>
      <c r="F44" s="22"/>
      <c r="G44" s="22"/>
      <c r="H44" s="37"/>
      <c r="I44" s="15">
        <v>725.94</v>
      </c>
      <c r="L44" s="24">
        <v>352</v>
      </c>
      <c r="M44" s="56"/>
      <c r="N44" s="22">
        <v>300</v>
      </c>
      <c r="O44" s="22"/>
      <c r="P44" s="22">
        <v>144</v>
      </c>
      <c r="Q44" s="22"/>
      <c r="R44" s="22">
        <v>252</v>
      </c>
      <c r="S44" s="22"/>
      <c r="T44" s="22"/>
      <c r="U44" s="22"/>
      <c r="V44" s="22">
        <v>300</v>
      </c>
      <c r="W44" s="22"/>
      <c r="X44" s="22">
        <v>300</v>
      </c>
      <c r="Y44" s="37"/>
      <c r="Z44" s="15"/>
    </row>
    <row r="45" spans="1:26" x14ac:dyDescent="0.3">
      <c r="A45" s="24"/>
      <c r="B45" s="22"/>
      <c r="C45" s="22"/>
      <c r="D45" s="22"/>
      <c r="E45" s="22"/>
      <c r="F45" s="22"/>
      <c r="G45" s="22"/>
      <c r="H45" s="37"/>
      <c r="I45" s="15">
        <v>700</v>
      </c>
      <c r="L45" s="24">
        <v>78</v>
      </c>
      <c r="M45" s="56"/>
      <c r="N45" s="22">
        <v>26</v>
      </c>
      <c r="O45" s="22"/>
      <c r="P45" s="22">
        <v>78</v>
      </c>
      <c r="Q45" s="22"/>
      <c r="R45" s="22"/>
      <c r="S45" s="22"/>
      <c r="T45" s="22"/>
      <c r="U45" s="22"/>
      <c r="V45" s="22">
        <v>103</v>
      </c>
      <c r="W45" s="22"/>
      <c r="X45" s="22">
        <v>24</v>
      </c>
      <c r="Y45" s="37"/>
      <c r="Z45" s="15"/>
    </row>
    <row r="46" spans="1:26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20348.28</v>
      </c>
      <c r="L46" s="24"/>
      <c r="M46" s="56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37"/>
      <c r="Z46" s="16">
        <f>SUM(Z40:Z45)</f>
        <v>0</v>
      </c>
    </row>
    <row r="47" spans="1:26" ht="15" thickTop="1" x14ac:dyDescent="0.3">
      <c r="A47" s="24"/>
      <c r="B47" s="22"/>
      <c r="C47" s="22"/>
      <c r="D47" s="22"/>
      <c r="E47" s="22"/>
      <c r="F47" s="22"/>
      <c r="G47" s="22"/>
      <c r="H47" s="22"/>
      <c r="I47" s="38"/>
      <c r="L47" s="24"/>
      <c r="M47" s="5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38"/>
    </row>
    <row r="48" spans="1:26" x14ac:dyDescent="0.3">
      <c r="A48" s="24"/>
      <c r="B48" s="22"/>
      <c r="C48" s="22"/>
      <c r="D48" s="22"/>
      <c r="E48" s="22"/>
      <c r="F48" s="22"/>
      <c r="G48" s="22"/>
      <c r="H48" s="22"/>
      <c r="I48" s="23"/>
      <c r="L48" s="24"/>
      <c r="M48" s="5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3"/>
    </row>
    <row r="49" spans="1:26" x14ac:dyDescent="0.3">
      <c r="A49" s="24"/>
      <c r="B49" s="22"/>
      <c r="C49" s="22"/>
      <c r="D49" s="22"/>
      <c r="E49" s="22"/>
      <c r="F49" s="22"/>
      <c r="G49" s="22"/>
      <c r="H49" s="22"/>
      <c r="I49" s="23"/>
      <c r="L49" s="24"/>
      <c r="M49" s="5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3"/>
    </row>
    <row r="50" spans="1:26" x14ac:dyDescent="0.3">
      <c r="A50" s="24"/>
      <c r="B50" s="22"/>
      <c r="C50" s="22"/>
      <c r="D50" s="22"/>
      <c r="E50" s="22"/>
      <c r="F50" s="22"/>
      <c r="G50" s="22"/>
      <c r="H50" s="22"/>
      <c r="I50" s="23"/>
      <c r="L50" s="24"/>
      <c r="M50" s="5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3"/>
    </row>
    <row r="51" spans="1:26" x14ac:dyDescent="0.3">
      <c r="A51" s="24"/>
      <c r="B51" s="22"/>
      <c r="C51" s="22"/>
      <c r="D51" s="22"/>
      <c r="E51" s="22"/>
      <c r="F51" s="22"/>
      <c r="G51" s="22"/>
      <c r="H51" s="22"/>
      <c r="I51" s="23"/>
      <c r="L51" s="24"/>
      <c r="M51" s="5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3"/>
    </row>
    <row r="52" spans="1:26" x14ac:dyDescent="0.3">
      <c r="A52" s="24"/>
      <c r="B52" s="22"/>
      <c r="C52" s="22"/>
      <c r="D52" s="22"/>
      <c r="E52" s="22"/>
      <c r="F52" s="22"/>
      <c r="G52" s="22"/>
      <c r="H52" s="22"/>
      <c r="I52" s="23"/>
      <c r="L52" s="24"/>
      <c r="M52" s="5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3"/>
    </row>
    <row r="53" spans="1:26" x14ac:dyDescent="0.3">
      <c r="A53" s="24"/>
      <c r="B53" s="22"/>
      <c r="C53" s="22"/>
      <c r="D53" s="22"/>
      <c r="E53" s="22"/>
      <c r="F53" s="28"/>
      <c r="G53" s="22"/>
      <c r="H53" s="22"/>
      <c r="I53" s="23"/>
      <c r="L53" s="24"/>
      <c r="M53" s="56"/>
      <c r="N53" s="22"/>
      <c r="O53" s="22"/>
      <c r="P53" s="22"/>
      <c r="Q53" s="22"/>
      <c r="R53" s="22"/>
      <c r="S53" s="22"/>
      <c r="T53" s="22"/>
      <c r="U53" s="22"/>
      <c r="V53" s="28"/>
      <c r="W53" s="28"/>
      <c r="X53" s="22"/>
      <c r="Y53" s="22"/>
      <c r="Z53" s="23"/>
    </row>
    <row r="54" spans="1:26" x14ac:dyDescent="0.3">
      <c r="A54" s="24">
        <f t="shared" ref="A54:G54" si="8">SUM(A40:A53)</f>
        <v>4587.05</v>
      </c>
      <c r="B54" s="22">
        <f t="shared" si="8"/>
        <v>4427.9800000000005</v>
      </c>
      <c r="C54" s="22">
        <f t="shared" si="8"/>
        <v>4457.3599999999997</v>
      </c>
      <c r="D54" s="22">
        <f t="shared" si="8"/>
        <v>4710.4400000000005</v>
      </c>
      <c r="E54" s="22">
        <f>SUM(E40:E53)</f>
        <v>295</v>
      </c>
      <c r="F54" s="22">
        <f t="shared" si="8"/>
        <v>4202.5700000000006</v>
      </c>
      <c r="G54" s="22">
        <f t="shared" si="8"/>
        <v>4637.26</v>
      </c>
      <c r="H54" s="29">
        <f>SUM(A54:G54)+I46</f>
        <v>47665.94</v>
      </c>
      <c r="I54" s="30" t="s">
        <v>7</v>
      </c>
      <c r="L54" s="22">
        <f t="shared" ref="L54:Y54" si="9">SUM(L41:L53)</f>
        <v>5690</v>
      </c>
      <c r="M54" s="22">
        <f t="shared" si="9"/>
        <v>689.9</v>
      </c>
      <c r="N54" s="22">
        <f t="shared" si="9"/>
        <v>5076</v>
      </c>
      <c r="O54" s="22">
        <f t="shared" si="9"/>
        <v>110</v>
      </c>
      <c r="P54" s="22">
        <f t="shared" si="9"/>
        <v>5972</v>
      </c>
      <c r="Q54" s="22">
        <f t="shared" si="9"/>
        <v>107</v>
      </c>
      <c r="R54" s="22">
        <f t="shared" si="9"/>
        <v>3852</v>
      </c>
      <c r="S54" s="22">
        <f t="shared" si="9"/>
        <v>1857.5</v>
      </c>
      <c r="T54" s="22">
        <f t="shared" si="9"/>
        <v>402</v>
      </c>
      <c r="U54" s="22">
        <f t="shared" si="9"/>
        <v>0</v>
      </c>
      <c r="V54" s="22">
        <f t="shared" si="9"/>
        <v>6683</v>
      </c>
      <c r="W54" s="22">
        <f t="shared" si="9"/>
        <v>741.3</v>
      </c>
      <c r="X54" s="22">
        <f t="shared" si="9"/>
        <v>5024</v>
      </c>
      <c r="Y54" s="22">
        <f t="shared" si="9"/>
        <v>2155</v>
      </c>
      <c r="Z54" s="33">
        <f>L55+N55+P55+R55+T55+V55+X55</f>
        <v>32699</v>
      </c>
    </row>
    <row r="55" spans="1:26" x14ac:dyDescent="0.3">
      <c r="A55" s="31">
        <v>4587.05</v>
      </c>
      <c r="B55" s="32">
        <v>4427.9799999999996</v>
      </c>
      <c r="C55" s="32">
        <v>4457.3599999999997</v>
      </c>
      <c r="D55" s="32">
        <v>4710.4399999999996</v>
      </c>
      <c r="E55" s="32">
        <v>295</v>
      </c>
      <c r="F55" s="32">
        <v>4202.57</v>
      </c>
      <c r="G55" s="32">
        <v>4637.26</v>
      </c>
      <c r="H55" s="22">
        <f>SUM(A55:G55)+I46</f>
        <v>47665.939999999995</v>
      </c>
      <c r="I55" s="33" t="s">
        <v>1</v>
      </c>
      <c r="L55" s="32">
        <v>5690</v>
      </c>
      <c r="M55" s="32">
        <v>689.9</v>
      </c>
      <c r="N55" s="32">
        <v>5076</v>
      </c>
      <c r="O55" s="32">
        <v>110</v>
      </c>
      <c r="P55" s="32">
        <v>5972</v>
      </c>
      <c r="Q55" s="32">
        <v>107</v>
      </c>
      <c r="R55" s="32">
        <v>3852</v>
      </c>
      <c r="S55" s="32">
        <v>1857.5</v>
      </c>
      <c r="T55" s="32">
        <v>402</v>
      </c>
      <c r="U55" s="32"/>
      <c r="V55" s="32">
        <v>6683</v>
      </c>
      <c r="W55" s="32">
        <v>741.3</v>
      </c>
      <c r="X55" s="32">
        <v>5024</v>
      </c>
      <c r="Y55" s="22">
        <v>2155</v>
      </c>
      <c r="Z55" s="33">
        <f>M55+O55+Q55+S55+U55+W55+Y55</f>
        <v>5660.7</v>
      </c>
    </row>
    <row r="56" spans="1:26" ht="15" thickBot="1" x14ac:dyDescent="0.35">
      <c r="A56" s="34">
        <f>A54-A55</f>
        <v>0</v>
      </c>
      <c r="B56" s="35">
        <f>B54-B55</f>
        <v>0</v>
      </c>
      <c r="C56" s="35">
        <f t="shared" ref="C56:F56" si="10">C54-C55</f>
        <v>0</v>
      </c>
      <c r="D56" s="35">
        <f t="shared" si="10"/>
        <v>0</v>
      </c>
      <c r="E56" s="35">
        <f t="shared" si="10"/>
        <v>0</v>
      </c>
      <c r="F56" s="35">
        <f t="shared" si="10"/>
        <v>0</v>
      </c>
      <c r="G56" s="35">
        <f>G54-G55</f>
        <v>0</v>
      </c>
      <c r="H56" s="35"/>
      <c r="I56" s="36"/>
      <c r="L56" s="34">
        <f t="shared" ref="L56:Y56" si="11">L54-L55</f>
        <v>0</v>
      </c>
      <c r="M56" s="34">
        <f t="shared" si="11"/>
        <v>0</v>
      </c>
      <c r="N56" s="34">
        <f t="shared" si="11"/>
        <v>0</v>
      </c>
      <c r="O56" s="34">
        <f t="shared" si="11"/>
        <v>0</v>
      </c>
      <c r="P56" s="34">
        <f t="shared" si="11"/>
        <v>0</v>
      </c>
      <c r="Q56" s="34">
        <f t="shared" si="11"/>
        <v>0</v>
      </c>
      <c r="R56" s="34">
        <f t="shared" si="11"/>
        <v>0</v>
      </c>
      <c r="S56" s="34">
        <f t="shared" si="11"/>
        <v>0</v>
      </c>
      <c r="T56" s="34">
        <f t="shared" si="11"/>
        <v>0</v>
      </c>
      <c r="U56" s="34">
        <f t="shared" si="11"/>
        <v>0</v>
      </c>
      <c r="V56" s="34">
        <f t="shared" si="11"/>
        <v>0</v>
      </c>
      <c r="W56" s="34">
        <f t="shared" si="11"/>
        <v>0</v>
      </c>
      <c r="X56" s="34">
        <f t="shared" si="11"/>
        <v>0</v>
      </c>
      <c r="Y56" s="34">
        <f t="shared" si="11"/>
        <v>0</v>
      </c>
      <c r="Z56" s="36"/>
    </row>
    <row r="57" spans="1:26" ht="15.6" thickTop="1" thickBot="1" x14ac:dyDescent="0.35">
      <c r="F57" s="17"/>
    </row>
    <row r="58" spans="1:26" x14ac:dyDescent="0.3">
      <c r="A58" s="17">
        <v>45035</v>
      </c>
      <c r="B58" s="17">
        <v>45036</v>
      </c>
      <c r="C58" s="17">
        <v>45037</v>
      </c>
      <c r="D58" s="17">
        <v>45038</v>
      </c>
      <c r="E58" s="17">
        <v>45039</v>
      </c>
      <c r="F58" s="17">
        <v>45040</v>
      </c>
      <c r="G58" s="17">
        <v>45041</v>
      </c>
      <c r="H58" s="39"/>
      <c r="I58" s="13" t="s">
        <v>8</v>
      </c>
      <c r="J58" t="s">
        <v>14</v>
      </c>
      <c r="L58" s="59">
        <v>45035</v>
      </c>
      <c r="M58" s="59"/>
      <c r="N58" s="59">
        <v>45036</v>
      </c>
      <c r="O58" s="59"/>
      <c r="P58" s="59">
        <v>45037</v>
      </c>
      <c r="Q58" s="59"/>
      <c r="R58" s="59">
        <v>45038</v>
      </c>
      <c r="S58" s="59"/>
      <c r="T58" s="59">
        <v>45039</v>
      </c>
      <c r="U58" s="59"/>
      <c r="V58" s="59">
        <v>45040</v>
      </c>
      <c r="W58" s="59"/>
      <c r="X58" s="59">
        <v>45041</v>
      </c>
      <c r="Y58" s="59"/>
      <c r="Z58" s="13"/>
    </row>
    <row r="59" spans="1:26" ht="15" thickBot="1" x14ac:dyDescent="0.35">
      <c r="A59" s="21">
        <v>1635.35</v>
      </c>
      <c r="B59" s="22">
        <v>1300.3499999999999</v>
      </c>
      <c r="C59" s="22">
        <v>1236.9000000000001</v>
      </c>
      <c r="D59" s="22">
        <v>940</v>
      </c>
      <c r="E59" s="22">
        <v>185</v>
      </c>
      <c r="F59" s="22">
        <v>951.9</v>
      </c>
      <c r="G59" s="22">
        <v>1293.8</v>
      </c>
      <c r="H59" s="37"/>
      <c r="I59" s="15">
        <v>215.52</v>
      </c>
      <c r="L59" s="66" t="s">
        <v>10</v>
      </c>
      <c r="M59" s="66" t="s">
        <v>11</v>
      </c>
      <c r="N59" s="67" t="s">
        <v>10</v>
      </c>
      <c r="O59" s="67" t="s">
        <v>11</v>
      </c>
      <c r="P59" s="67" t="s">
        <v>10</v>
      </c>
      <c r="Q59" s="67" t="s">
        <v>11</v>
      </c>
      <c r="R59" s="67" t="s">
        <v>10</v>
      </c>
      <c r="S59" s="67" t="s">
        <v>11</v>
      </c>
      <c r="T59" s="67" t="s">
        <v>10</v>
      </c>
      <c r="U59" s="67" t="s">
        <v>11</v>
      </c>
      <c r="V59" s="67" t="s">
        <v>10</v>
      </c>
      <c r="W59" s="67" t="s">
        <v>11</v>
      </c>
      <c r="X59" s="67" t="s">
        <v>10</v>
      </c>
      <c r="Y59" s="67" t="s">
        <v>11</v>
      </c>
      <c r="Z59" s="14"/>
    </row>
    <row r="60" spans="1:26" x14ac:dyDescent="0.3">
      <c r="A60" s="24">
        <v>2077.88</v>
      </c>
      <c r="B60" s="22">
        <v>2352.5700000000002</v>
      </c>
      <c r="C60" s="22">
        <v>138.44999999999999</v>
      </c>
      <c r="D60" s="22">
        <v>138.44999999999999</v>
      </c>
      <c r="E60" s="25"/>
      <c r="F60" s="22">
        <v>248.45</v>
      </c>
      <c r="G60" s="22">
        <v>2187.0500000000002</v>
      </c>
      <c r="H60" s="37"/>
      <c r="I60" s="15">
        <v>1050</v>
      </c>
      <c r="L60" s="75">
        <v>2530</v>
      </c>
      <c r="M60" s="76">
        <v>60</v>
      </c>
      <c r="N60" s="77">
        <v>2620</v>
      </c>
      <c r="O60" s="77">
        <v>57.5</v>
      </c>
      <c r="P60" s="77">
        <v>2740</v>
      </c>
      <c r="Q60" s="77">
        <v>65</v>
      </c>
      <c r="R60" s="77">
        <v>1920</v>
      </c>
      <c r="S60" s="77">
        <v>1440</v>
      </c>
      <c r="T60" s="78">
        <v>60</v>
      </c>
      <c r="U60" s="69"/>
      <c r="V60" s="63">
        <v>2890</v>
      </c>
      <c r="W60" s="63">
        <v>372</v>
      </c>
      <c r="X60" s="63">
        <v>2610</v>
      </c>
      <c r="Y60" s="65">
        <v>1320</v>
      </c>
      <c r="Z60" s="14"/>
    </row>
    <row r="61" spans="1:26" x14ac:dyDescent="0.3">
      <c r="A61" s="24">
        <v>484.65</v>
      </c>
      <c r="B61" s="22">
        <v>469.65</v>
      </c>
      <c r="C61" s="22">
        <v>2067.5700000000002</v>
      </c>
      <c r="D61" s="22">
        <v>138.44999999999999</v>
      </c>
      <c r="E61" s="22"/>
      <c r="F61" s="22">
        <v>1945.12</v>
      </c>
      <c r="G61" s="22">
        <v>456.2</v>
      </c>
      <c r="H61" s="37"/>
      <c r="I61" s="15">
        <v>4630</v>
      </c>
      <c r="L61" s="21">
        <v>1985</v>
      </c>
      <c r="M61" s="79">
        <v>65</v>
      </c>
      <c r="N61" s="43">
        <v>1900</v>
      </c>
      <c r="O61" s="43">
        <v>60</v>
      </c>
      <c r="P61" s="43">
        <v>2285</v>
      </c>
      <c r="Q61" s="43">
        <v>60</v>
      </c>
      <c r="R61" s="80">
        <v>1300</v>
      </c>
      <c r="S61" s="80">
        <v>110</v>
      </c>
      <c r="T61" s="43">
        <v>210</v>
      </c>
      <c r="U61" s="22"/>
      <c r="V61" s="22">
        <v>2245</v>
      </c>
      <c r="W61" s="22">
        <v>57.5</v>
      </c>
      <c r="X61" s="22">
        <v>2110</v>
      </c>
      <c r="Y61" s="37">
        <v>57.5</v>
      </c>
      <c r="Z61" s="15"/>
    </row>
    <row r="62" spans="1:26" x14ac:dyDescent="0.3">
      <c r="A62" s="24"/>
      <c r="B62" s="22"/>
      <c r="C62" s="22">
        <v>374.65</v>
      </c>
      <c r="D62" s="22">
        <v>3535.73</v>
      </c>
      <c r="E62" s="22"/>
      <c r="F62" s="22">
        <v>287.45</v>
      </c>
      <c r="G62" s="22"/>
      <c r="H62" s="37"/>
      <c r="I62" s="15">
        <v>4797.26</v>
      </c>
      <c r="L62" s="21">
        <v>775</v>
      </c>
      <c r="M62" s="79">
        <v>189.9</v>
      </c>
      <c r="N62" s="43">
        <v>60</v>
      </c>
      <c r="O62" s="43"/>
      <c r="P62" s="43">
        <v>725</v>
      </c>
      <c r="Q62" s="43"/>
      <c r="R62" s="80">
        <v>170</v>
      </c>
      <c r="S62" s="81"/>
      <c r="T62" s="43">
        <v>210</v>
      </c>
      <c r="U62" s="22"/>
      <c r="V62" s="22">
        <v>60</v>
      </c>
      <c r="W62" s="22">
        <v>60</v>
      </c>
      <c r="X62" s="22">
        <v>780</v>
      </c>
      <c r="Y62" s="37"/>
      <c r="Z62" s="15"/>
    </row>
    <row r="63" spans="1:26" x14ac:dyDescent="0.3">
      <c r="A63" s="24"/>
      <c r="B63" s="22"/>
      <c r="C63" s="22"/>
      <c r="D63" s="22">
        <v>458.1</v>
      </c>
      <c r="E63" s="22"/>
      <c r="F63" s="22">
        <v>614.65</v>
      </c>
      <c r="G63" s="22"/>
      <c r="H63" s="37"/>
      <c r="I63" s="15">
        <v>4820.7</v>
      </c>
      <c r="L63" s="21">
        <v>222</v>
      </c>
      <c r="M63" s="79"/>
      <c r="N63" s="43">
        <v>780</v>
      </c>
      <c r="O63" s="43"/>
      <c r="P63" s="43">
        <v>258</v>
      </c>
      <c r="Q63" s="43"/>
      <c r="R63" s="43">
        <v>228</v>
      </c>
      <c r="S63" s="43"/>
      <c r="T63" s="43">
        <v>72</v>
      </c>
      <c r="U63" s="22"/>
      <c r="V63" s="22">
        <v>615</v>
      </c>
      <c r="W63" s="22"/>
      <c r="X63" s="22">
        <v>300</v>
      </c>
      <c r="Y63" s="37"/>
      <c r="Z63" s="15"/>
    </row>
    <row r="64" spans="1:26" x14ac:dyDescent="0.3">
      <c r="A64" s="24"/>
      <c r="B64" s="22"/>
      <c r="C64" s="22"/>
      <c r="D64" s="22"/>
      <c r="E64" s="22"/>
      <c r="F64" s="22"/>
      <c r="G64" s="22"/>
      <c r="H64" s="37"/>
      <c r="I64" s="15">
        <v>4943.92</v>
      </c>
      <c r="L64" s="21">
        <v>114</v>
      </c>
      <c r="M64" s="79"/>
      <c r="N64" s="43">
        <v>300</v>
      </c>
      <c r="O64" s="43"/>
      <c r="P64" s="43"/>
      <c r="Q64" s="43"/>
      <c r="R64" s="43"/>
      <c r="S64" s="43"/>
      <c r="T64" s="43"/>
      <c r="U64" s="22"/>
      <c r="V64" s="22">
        <v>300</v>
      </c>
      <c r="W64" s="22"/>
      <c r="X64" s="22">
        <v>72</v>
      </c>
      <c r="Y64" s="37"/>
      <c r="Z64" s="15"/>
    </row>
    <row r="65" spans="1:26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20457.400000000001</v>
      </c>
      <c r="L65" s="24"/>
      <c r="M65" s="56"/>
      <c r="N65" s="22"/>
      <c r="O65" s="22"/>
      <c r="P65" s="22"/>
      <c r="Q65" s="22"/>
      <c r="R65" s="22"/>
      <c r="S65" s="22"/>
      <c r="T65" s="22"/>
      <c r="U65" s="22"/>
      <c r="V65" s="22">
        <v>41</v>
      </c>
      <c r="W65" s="22"/>
      <c r="X65" s="22"/>
      <c r="Y65" s="37"/>
      <c r="Z65" s="16">
        <f>SUM(Z59:Z64)</f>
        <v>0</v>
      </c>
    </row>
    <row r="66" spans="1:26" ht="15" thickTop="1" x14ac:dyDescent="0.3">
      <c r="A66" s="24"/>
      <c r="B66" s="22"/>
      <c r="C66" s="22"/>
      <c r="D66" s="22"/>
      <c r="E66" s="22"/>
      <c r="F66" s="22"/>
      <c r="G66" s="22"/>
      <c r="H66" s="22"/>
      <c r="I66" s="38"/>
      <c r="L66" s="24"/>
      <c r="M66" s="5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38"/>
    </row>
    <row r="67" spans="1:26" x14ac:dyDescent="0.3">
      <c r="A67" s="24"/>
      <c r="B67" s="22"/>
      <c r="C67" s="22"/>
      <c r="D67" s="22"/>
      <c r="E67" s="22"/>
      <c r="F67" s="22"/>
      <c r="G67" s="22"/>
      <c r="H67" s="22"/>
      <c r="I67" s="23"/>
      <c r="L67" s="24"/>
      <c r="M67" s="5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3"/>
    </row>
    <row r="68" spans="1:26" x14ac:dyDescent="0.3">
      <c r="A68" s="24"/>
      <c r="B68" s="22"/>
      <c r="C68" s="22"/>
      <c r="D68" s="22"/>
      <c r="E68" s="22"/>
      <c r="F68" s="22"/>
      <c r="G68" s="22"/>
      <c r="H68" s="22"/>
      <c r="I68" s="23"/>
      <c r="L68" s="24"/>
      <c r="M68" s="5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</row>
    <row r="69" spans="1:26" x14ac:dyDescent="0.3">
      <c r="A69" s="24"/>
      <c r="B69" s="22"/>
      <c r="C69" s="22"/>
      <c r="D69" s="22"/>
      <c r="E69" s="22"/>
      <c r="F69" s="22"/>
      <c r="G69" s="22"/>
      <c r="H69" s="22"/>
      <c r="I69" s="23"/>
      <c r="L69" s="24"/>
      <c r="M69" s="5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</row>
    <row r="70" spans="1:26" x14ac:dyDescent="0.3">
      <c r="A70" s="24"/>
      <c r="B70" s="22"/>
      <c r="C70" s="22"/>
      <c r="D70" s="22"/>
      <c r="E70" s="22"/>
      <c r="F70" s="22"/>
      <c r="G70" s="22"/>
      <c r="H70" s="22"/>
      <c r="I70" s="23"/>
      <c r="L70" s="24"/>
      <c r="M70" s="5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</row>
    <row r="71" spans="1:26" x14ac:dyDescent="0.3">
      <c r="A71" s="24"/>
      <c r="B71" s="22"/>
      <c r="C71" s="22"/>
      <c r="D71" s="22"/>
      <c r="E71" s="22"/>
      <c r="F71" s="22"/>
      <c r="G71" s="22"/>
      <c r="H71" s="22"/>
      <c r="I71" s="23"/>
      <c r="L71" s="24"/>
      <c r="M71" s="5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3"/>
    </row>
    <row r="72" spans="1:26" x14ac:dyDescent="0.3">
      <c r="A72" s="24"/>
      <c r="B72" s="22"/>
      <c r="C72" s="22"/>
      <c r="D72" s="22"/>
      <c r="E72" s="22"/>
      <c r="F72" s="28"/>
      <c r="G72" s="22"/>
      <c r="H72" s="22"/>
      <c r="I72" s="23"/>
      <c r="L72" s="24"/>
      <c r="M72" s="56"/>
      <c r="N72" s="22"/>
      <c r="O72" s="22"/>
      <c r="P72" s="22"/>
      <c r="Q72" s="22"/>
      <c r="R72" s="22"/>
      <c r="S72" s="22"/>
      <c r="T72" s="22"/>
      <c r="U72" s="22"/>
      <c r="V72" s="28"/>
      <c r="W72" s="28"/>
      <c r="X72" s="22"/>
      <c r="Y72" s="22"/>
      <c r="Z72" s="23"/>
    </row>
    <row r="73" spans="1:26" x14ac:dyDescent="0.3">
      <c r="A73" s="24">
        <f t="shared" ref="A73:G73" si="12">SUM(A59:A72)</f>
        <v>4197.88</v>
      </c>
      <c r="B73" s="22">
        <f t="shared" si="12"/>
        <v>4122.57</v>
      </c>
      <c r="C73" s="22">
        <f t="shared" si="12"/>
        <v>3817.57</v>
      </c>
      <c r="D73" s="22">
        <f t="shared" si="12"/>
        <v>5210.7300000000005</v>
      </c>
      <c r="E73" s="22">
        <f t="shared" si="12"/>
        <v>185</v>
      </c>
      <c r="F73" s="22">
        <f t="shared" si="12"/>
        <v>4047.5699999999997</v>
      </c>
      <c r="G73" s="22">
        <f t="shared" si="12"/>
        <v>3937.05</v>
      </c>
      <c r="H73" s="29">
        <f>SUM(A73:G73)+I65</f>
        <v>45975.770000000004</v>
      </c>
      <c r="I73" s="30" t="s">
        <v>7</v>
      </c>
      <c r="L73" s="22">
        <f t="shared" ref="L73:Y73" si="13">SUM(L60:L72)</f>
        <v>5626</v>
      </c>
      <c r="M73" s="22">
        <f t="shared" si="13"/>
        <v>314.89999999999998</v>
      </c>
      <c r="N73" s="22">
        <f t="shared" si="13"/>
        <v>5660</v>
      </c>
      <c r="O73" s="22">
        <f t="shared" si="13"/>
        <v>117.5</v>
      </c>
      <c r="P73" s="22">
        <f t="shared" si="13"/>
        <v>6008</v>
      </c>
      <c r="Q73" s="22">
        <f t="shared" si="13"/>
        <v>125</v>
      </c>
      <c r="R73" s="22">
        <f t="shared" si="13"/>
        <v>3618</v>
      </c>
      <c r="S73" s="22">
        <f t="shared" si="13"/>
        <v>1550</v>
      </c>
      <c r="T73" s="22">
        <f t="shared" si="13"/>
        <v>552</v>
      </c>
      <c r="U73" s="22">
        <f t="shared" si="13"/>
        <v>0</v>
      </c>
      <c r="V73" s="22">
        <f t="shared" si="13"/>
        <v>6151</v>
      </c>
      <c r="W73" s="22">
        <f t="shared" si="13"/>
        <v>489.5</v>
      </c>
      <c r="X73" s="22">
        <f t="shared" si="13"/>
        <v>5872</v>
      </c>
      <c r="Y73" s="22">
        <f t="shared" si="13"/>
        <v>1377.5</v>
      </c>
      <c r="Z73" s="33">
        <f>L74+N74+P74+R74+T74+V74+X74</f>
        <v>33487</v>
      </c>
    </row>
    <row r="74" spans="1:26" x14ac:dyDescent="0.3">
      <c r="A74" s="31">
        <v>4197.88</v>
      </c>
      <c r="B74" s="32">
        <v>4122.57</v>
      </c>
      <c r="C74" s="32">
        <v>3817.57</v>
      </c>
      <c r="D74" s="32">
        <v>5210.7299999999996</v>
      </c>
      <c r="E74" s="32">
        <v>185</v>
      </c>
      <c r="F74" s="32">
        <v>4047.57</v>
      </c>
      <c r="G74" s="32">
        <v>3937.05</v>
      </c>
      <c r="H74" s="22">
        <f>SUM(A74:G74)+I65</f>
        <v>45975.770000000004</v>
      </c>
      <c r="I74" s="33" t="s">
        <v>1</v>
      </c>
      <c r="L74" s="32">
        <v>5626</v>
      </c>
      <c r="M74" s="32">
        <v>314.89999999999998</v>
      </c>
      <c r="N74" s="32">
        <v>5660</v>
      </c>
      <c r="O74" s="32">
        <v>117.5</v>
      </c>
      <c r="P74" s="32">
        <v>6008</v>
      </c>
      <c r="Q74" s="32">
        <v>125</v>
      </c>
      <c r="R74" s="32">
        <v>3618</v>
      </c>
      <c r="S74" s="32">
        <v>1550</v>
      </c>
      <c r="T74" s="32">
        <v>552</v>
      </c>
      <c r="U74" s="32">
        <v>0</v>
      </c>
      <c r="V74" s="32">
        <v>6151</v>
      </c>
      <c r="W74" s="32">
        <v>489.5</v>
      </c>
      <c r="X74" s="32">
        <v>5872</v>
      </c>
      <c r="Y74" s="22">
        <v>1377.5</v>
      </c>
      <c r="Z74" s="33">
        <f>M74+O74+Q74+S74+U74+W74+Y74</f>
        <v>3974.4</v>
      </c>
    </row>
    <row r="75" spans="1:26" ht="15" thickBot="1" x14ac:dyDescent="0.35">
      <c r="A75" s="34">
        <f>A73-A74</f>
        <v>0</v>
      </c>
      <c r="B75" s="35">
        <f>B73-B74</f>
        <v>0</v>
      </c>
      <c r="C75" s="35">
        <f t="shared" ref="C75:F75" si="14">C73-C74</f>
        <v>0</v>
      </c>
      <c r="D75" s="35">
        <f t="shared" si="14"/>
        <v>0</v>
      </c>
      <c r="E75" s="35">
        <f t="shared" si="14"/>
        <v>0</v>
      </c>
      <c r="F75" s="35">
        <f t="shared" si="14"/>
        <v>0</v>
      </c>
      <c r="G75" s="35">
        <f>G73-G74</f>
        <v>0</v>
      </c>
      <c r="H75" s="35"/>
      <c r="I75" s="36"/>
      <c r="L75" s="34">
        <f t="shared" ref="L75:Y75" si="15">L73-L74</f>
        <v>0</v>
      </c>
      <c r="M75" s="34">
        <f t="shared" si="15"/>
        <v>0</v>
      </c>
      <c r="N75" s="34">
        <f t="shared" si="15"/>
        <v>0</v>
      </c>
      <c r="O75" s="34">
        <f t="shared" si="15"/>
        <v>0</v>
      </c>
      <c r="P75" s="34">
        <f t="shared" si="15"/>
        <v>0</v>
      </c>
      <c r="Q75" s="34">
        <f t="shared" si="15"/>
        <v>0</v>
      </c>
      <c r="R75" s="34">
        <f t="shared" si="15"/>
        <v>0</v>
      </c>
      <c r="S75" s="34">
        <f t="shared" si="15"/>
        <v>0</v>
      </c>
      <c r="T75" s="34">
        <f t="shared" si="15"/>
        <v>0</v>
      </c>
      <c r="U75" s="34">
        <f t="shared" si="15"/>
        <v>0</v>
      </c>
      <c r="V75" s="34">
        <f t="shared" si="15"/>
        <v>0</v>
      </c>
      <c r="W75" s="34">
        <f t="shared" si="15"/>
        <v>0</v>
      </c>
      <c r="X75" s="34">
        <f t="shared" si="15"/>
        <v>0</v>
      </c>
      <c r="Y75" s="34">
        <f t="shared" si="15"/>
        <v>0</v>
      </c>
      <c r="Z75" s="36"/>
    </row>
    <row r="76" spans="1:26" ht="15.6" thickTop="1" thickBot="1" x14ac:dyDescent="0.35"/>
    <row r="77" spans="1:26" x14ac:dyDescent="0.3">
      <c r="A77" s="17">
        <v>45042</v>
      </c>
      <c r="B77" s="17">
        <v>45043</v>
      </c>
      <c r="C77" s="17">
        <v>45044</v>
      </c>
      <c r="D77" s="17">
        <v>45045</v>
      </c>
      <c r="E77" s="17">
        <v>45046</v>
      </c>
      <c r="F77" s="17">
        <v>45047</v>
      </c>
      <c r="G77" s="17">
        <v>45048</v>
      </c>
      <c r="H77" s="39"/>
      <c r="I77" s="13" t="s">
        <v>8</v>
      </c>
      <c r="L77" s="59">
        <v>45042</v>
      </c>
      <c r="M77" s="59"/>
      <c r="N77" s="59">
        <v>45043</v>
      </c>
      <c r="O77" s="59"/>
      <c r="P77" s="59">
        <v>45044</v>
      </c>
      <c r="Q77" s="59"/>
      <c r="R77" s="59">
        <v>45045</v>
      </c>
      <c r="S77" s="59"/>
      <c r="T77" s="59">
        <v>45046</v>
      </c>
      <c r="U77" s="59"/>
      <c r="V77" s="59">
        <v>45047</v>
      </c>
      <c r="W77" s="59"/>
      <c r="X77" s="59">
        <v>45048</v>
      </c>
      <c r="Y77" s="59"/>
      <c r="Z77" s="13"/>
    </row>
    <row r="78" spans="1:26" ht="15" thickBot="1" x14ac:dyDescent="0.35">
      <c r="A78" s="21">
        <v>1211.9000000000001</v>
      </c>
      <c r="B78" s="22">
        <v>1350.35</v>
      </c>
      <c r="C78" s="22">
        <v>1523.8</v>
      </c>
      <c r="D78" s="22">
        <v>1155.3499999999999</v>
      </c>
      <c r="E78" s="22">
        <v>370</v>
      </c>
      <c r="F78" s="22">
        <v>1080.3499999999999</v>
      </c>
      <c r="G78" s="22">
        <v>1011.9</v>
      </c>
      <c r="H78" s="37"/>
      <c r="I78" s="15">
        <v>4570</v>
      </c>
      <c r="L78" s="66" t="s">
        <v>10</v>
      </c>
      <c r="M78" s="66" t="s">
        <v>11</v>
      </c>
      <c r="N78" s="67" t="s">
        <v>10</v>
      </c>
      <c r="O78" s="67" t="s">
        <v>11</v>
      </c>
      <c r="P78" s="67" t="s">
        <v>10</v>
      </c>
      <c r="Q78" s="67" t="s">
        <v>11</v>
      </c>
      <c r="R78" s="67" t="s">
        <v>10</v>
      </c>
      <c r="S78" s="67" t="s">
        <v>11</v>
      </c>
      <c r="T78" s="67" t="s">
        <v>10</v>
      </c>
      <c r="U78" s="67" t="s">
        <v>11</v>
      </c>
      <c r="V78" s="67" t="s">
        <v>10</v>
      </c>
      <c r="W78" s="67" t="s">
        <v>11</v>
      </c>
      <c r="X78" s="67" t="s">
        <v>10</v>
      </c>
      <c r="Y78" s="67" t="s">
        <v>11</v>
      </c>
      <c r="Z78" s="14"/>
    </row>
    <row r="79" spans="1:26" x14ac:dyDescent="0.3">
      <c r="A79" s="24">
        <v>276.89999999999998</v>
      </c>
      <c r="B79" s="22">
        <v>138.44999999999999</v>
      </c>
      <c r="C79" s="22">
        <v>2267.5700000000002</v>
      </c>
      <c r="D79" s="22">
        <v>3180.44</v>
      </c>
      <c r="E79" s="25"/>
      <c r="F79" s="22">
        <v>665</v>
      </c>
      <c r="G79" s="22">
        <v>2151.9499999999998</v>
      </c>
      <c r="H79" s="37"/>
      <c r="I79" s="15">
        <v>5535.3</v>
      </c>
      <c r="L79" s="75">
        <v>2670</v>
      </c>
      <c r="M79" s="76">
        <v>42.5</v>
      </c>
      <c r="N79" s="77">
        <v>2460</v>
      </c>
      <c r="O79" s="77">
        <v>62.5</v>
      </c>
      <c r="P79" s="77">
        <v>2640</v>
      </c>
      <c r="Q79" s="77">
        <v>120</v>
      </c>
      <c r="R79" s="77">
        <v>1890</v>
      </c>
      <c r="S79" s="77">
        <v>840</v>
      </c>
      <c r="T79" s="78">
        <v>330</v>
      </c>
      <c r="U79" s="69"/>
      <c r="V79" s="63">
        <v>2910</v>
      </c>
      <c r="W79" s="63">
        <v>50</v>
      </c>
      <c r="X79" s="63">
        <v>2760</v>
      </c>
      <c r="Y79" s="65">
        <v>1320</v>
      </c>
      <c r="Z79" s="14"/>
    </row>
    <row r="80" spans="1:26" x14ac:dyDescent="0.3">
      <c r="A80" s="24">
        <v>321.2</v>
      </c>
      <c r="B80" s="22">
        <v>940</v>
      </c>
      <c r="C80" s="22">
        <v>406.2</v>
      </c>
      <c r="D80" s="26">
        <v>559.65</v>
      </c>
      <c r="E80" s="22"/>
      <c r="F80" s="22">
        <v>774.65</v>
      </c>
      <c r="G80" s="22">
        <v>763.1</v>
      </c>
      <c r="H80" s="37"/>
      <c r="I80" s="15">
        <v>3690.2</v>
      </c>
      <c r="L80" s="21">
        <v>2190</v>
      </c>
      <c r="M80" s="79"/>
      <c r="N80" s="43">
        <v>950</v>
      </c>
      <c r="O80" s="43">
        <v>60</v>
      </c>
      <c r="P80" s="43">
        <v>2330</v>
      </c>
      <c r="Q80" s="43">
        <v>57.5</v>
      </c>
      <c r="R80" s="80">
        <v>1110</v>
      </c>
      <c r="S80" s="80">
        <v>40</v>
      </c>
      <c r="T80" s="43">
        <v>72</v>
      </c>
      <c r="U80" s="22"/>
      <c r="V80" s="22">
        <v>1560</v>
      </c>
      <c r="W80" s="22">
        <v>404.9</v>
      </c>
      <c r="X80" s="22">
        <v>2235</v>
      </c>
      <c r="Y80" s="37">
        <v>65</v>
      </c>
      <c r="Z80" s="15"/>
    </row>
    <row r="81" spans="1:26" x14ac:dyDescent="0.3">
      <c r="A81" s="24">
        <v>2467.5700000000002</v>
      </c>
      <c r="B81" s="22">
        <v>471.2</v>
      </c>
      <c r="C81" s="22"/>
      <c r="D81" s="25"/>
      <c r="E81" s="22"/>
      <c r="F81" s="22"/>
      <c r="G81" s="22"/>
      <c r="H81" s="37"/>
      <c r="I81" s="15">
        <v>1843.52</v>
      </c>
      <c r="L81" s="21">
        <v>820</v>
      </c>
      <c r="M81" s="79"/>
      <c r="N81" s="43">
        <v>680</v>
      </c>
      <c r="O81" s="43"/>
      <c r="P81" s="43">
        <v>530</v>
      </c>
      <c r="Q81" s="43"/>
      <c r="R81" s="80">
        <v>430</v>
      </c>
      <c r="S81" s="81"/>
      <c r="T81" s="43"/>
      <c r="U81" s="22"/>
      <c r="V81" s="22">
        <v>500</v>
      </c>
      <c r="W81" s="22"/>
      <c r="X81" s="22">
        <v>1035</v>
      </c>
      <c r="Y81" s="37"/>
      <c r="Z81" s="15"/>
    </row>
    <row r="82" spans="1:26" x14ac:dyDescent="0.3">
      <c r="A82" s="24"/>
      <c r="B82" s="22"/>
      <c r="C82" s="22"/>
      <c r="D82" s="22"/>
      <c r="E82" s="22"/>
      <c r="F82" s="22"/>
      <c r="G82" s="22"/>
      <c r="H82" s="37"/>
      <c r="I82" s="15">
        <v>4673.22</v>
      </c>
      <c r="L82" s="21">
        <v>378</v>
      </c>
      <c r="M82" s="79"/>
      <c r="N82" s="43">
        <v>300</v>
      </c>
      <c r="O82" s="43"/>
      <c r="P82" s="43">
        <v>144</v>
      </c>
      <c r="Q82" s="43"/>
      <c r="R82" s="43">
        <v>300</v>
      </c>
      <c r="S82" s="43"/>
      <c r="T82" s="43"/>
      <c r="U82" s="22"/>
      <c r="V82" s="22">
        <v>300</v>
      </c>
      <c r="W82" s="22"/>
      <c r="X82" s="22">
        <v>300</v>
      </c>
      <c r="Y82" s="37"/>
      <c r="Z82" s="15"/>
    </row>
    <row r="83" spans="1:26" x14ac:dyDescent="0.3">
      <c r="A83" s="24"/>
      <c r="B83" s="22"/>
      <c r="C83" s="22"/>
      <c r="D83" s="22"/>
      <c r="E83" s="22"/>
      <c r="F83" s="22"/>
      <c r="G83" s="22"/>
      <c r="H83" s="37"/>
      <c r="I83" s="15">
        <v>1236.3599999999999</v>
      </c>
      <c r="L83" s="21">
        <v>90</v>
      </c>
      <c r="M83" s="79"/>
      <c r="N83" s="43"/>
      <c r="O83" s="43"/>
      <c r="P83" s="43"/>
      <c r="Q83" s="43"/>
      <c r="R83" s="43"/>
      <c r="S83" s="43"/>
      <c r="T83" s="43"/>
      <c r="U83" s="22"/>
      <c r="V83" s="22">
        <v>24</v>
      </c>
      <c r="W83" s="22"/>
      <c r="X83" s="22">
        <v>128</v>
      </c>
      <c r="Y83" s="37"/>
      <c r="Z83" s="15"/>
    </row>
    <row r="84" spans="1:26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21548.600000000002</v>
      </c>
      <c r="L84" s="24"/>
      <c r="M84" s="56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37"/>
      <c r="Z84" s="16">
        <f>SUM(Z78:Z83)</f>
        <v>0</v>
      </c>
    </row>
    <row r="85" spans="1:26" ht="15" thickTop="1" x14ac:dyDescent="0.3">
      <c r="A85" s="24"/>
      <c r="B85" s="22"/>
      <c r="C85" s="22"/>
      <c r="D85" s="22"/>
      <c r="E85" s="22"/>
      <c r="F85" s="22"/>
      <c r="G85" s="22"/>
      <c r="H85" s="22"/>
      <c r="I85" s="40"/>
      <c r="L85" s="24"/>
      <c r="M85" s="56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38"/>
    </row>
    <row r="86" spans="1:26" x14ac:dyDescent="0.3">
      <c r="A86" s="24"/>
      <c r="B86" s="22"/>
      <c r="C86" s="22"/>
      <c r="D86" s="22"/>
      <c r="E86" s="22"/>
      <c r="F86" s="22"/>
      <c r="G86" s="22"/>
      <c r="H86" s="22"/>
      <c r="I86" s="27"/>
      <c r="L86" s="24"/>
      <c r="M86" s="5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3"/>
    </row>
    <row r="87" spans="1:26" x14ac:dyDescent="0.3">
      <c r="A87" s="24"/>
      <c r="B87" s="22"/>
      <c r="C87" s="22"/>
      <c r="D87" s="22"/>
      <c r="E87" s="22"/>
      <c r="F87" s="22"/>
      <c r="G87" s="22"/>
      <c r="H87" s="22"/>
      <c r="I87" s="27"/>
      <c r="L87" s="24"/>
      <c r="M87" s="5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3"/>
    </row>
    <row r="88" spans="1:26" x14ac:dyDescent="0.3">
      <c r="A88" s="24"/>
      <c r="B88" s="22"/>
      <c r="C88" s="22"/>
      <c r="D88" s="22"/>
      <c r="E88" s="22"/>
      <c r="F88" s="22"/>
      <c r="G88" s="22"/>
      <c r="H88" s="22"/>
      <c r="I88" s="23"/>
      <c r="L88" s="24"/>
      <c r="M88" s="5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3"/>
    </row>
    <row r="89" spans="1:26" x14ac:dyDescent="0.3">
      <c r="A89" s="24"/>
      <c r="B89" s="22"/>
      <c r="C89" s="22"/>
      <c r="D89" s="22"/>
      <c r="E89" s="22"/>
      <c r="F89" s="22"/>
      <c r="G89" s="22"/>
      <c r="H89" s="22"/>
      <c r="I89" s="23"/>
      <c r="L89" s="24"/>
      <c r="M89" s="5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3"/>
    </row>
    <row r="90" spans="1:26" x14ac:dyDescent="0.3">
      <c r="A90" s="24"/>
      <c r="B90" s="22"/>
      <c r="C90" s="22"/>
      <c r="D90" s="22"/>
      <c r="E90" s="22"/>
      <c r="F90" s="22"/>
      <c r="G90" s="22"/>
      <c r="H90" s="22"/>
      <c r="I90" s="23"/>
      <c r="L90" s="24"/>
      <c r="M90" s="5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3"/>
    </row>
    <row r="91" spans="1:26" x14ac:dyDescent="0.3">
      <c r="A91" s="24"/>
      <c r="B91" s="22"/>
      <c r="C91" s="22"/>
      <c r="D91" s="22"/>
      <c r="E91" s="22"/>
      <c r="F91" s="28"/>
      <c r="G91" s="22"/>
      <c r="H91" s="22"/>
      <c r="I91" s="23"/>
      <c r="L91" s="24"/>
      <c r="M91" s="56"/>
      <c r="N91" s="22"/>
      <c r="O91" s="22"/>
      <c r="P91" s="22"/>
      <c r="Q91" s="22"/>
      <c r="R91" s="22"/>
      <c r="S91" s="22"/>
      <c r="T91" s="22"/>
      <c r="U91" s="22"/>
      <c r="V91" s="28"/>
      <c r="W91" s="28"/>
      <c r="X91" s="22"/>
      <c r="Y91" s="22"/>
      <c r="Z91" s="23"/>
    </row>
    <row r="92" spans="1:26" x14ac:dyDescent="0.3">
      <c r="A92" s="24">
        <f t="shared" ref="A92:G92" si="16">SUM(A78:A91)</f>
        <v>4277.5700000000006</v>
      </c>
      <c r="B92" s="22">
        <f t="shared" si="16"/>
        <v>2900</v>
      </c>
      <c r="C92" s="22">
        <f t="shared" si="16"/>
        <v>4197.57</v>
      </c>
      <c r="D92" s="22">
        <f t="shared" si="16"/>
        <v>4895.4399999999996</v>
      </c>
      <c r="E92" s="22">
        <f t="shared" si="16"/>
        <v>370</v>
      </c>
      <c r="F92" s="22">
        <f t="shared" si="16"/>
        <v>2520</v>
      </c>
      <c r="G92" s="22">
        <f t="shared" si="16"/>
        <v>3926.95</v>
      </c>
      <c r="H92" s="29">
        <f>SUM(A92:G92)+I84</f>
        <v>44636.130000000005</v>
      </c>
      <c r="I92" s="30" t="s">
        <v>7</v>
      </c>
      <c r="L92" s="22">
        <f t="shared" ref="L92:Y92" si="17">SUM(L79:L91)</f>
        <v>6148</v>
      </c>
      <c r="M92" s="22">
        <f t="shared" si="17"/>
        <v>42.5</v>
      </c>
      <c r="N92" s="22">
        <f t="shared" si="17"/>
        <v>4390</v>
      </c>
      <c r="O92" s="22">
        <f t="shared" si="17"/>
        <v>122.5</v>
      </c>
      <c r="P92" s="22">
        <f t="shared" si="17"/>
        <v>5644</v>
      </c>
      <c r="Q92" s="22">
        <f t="shared" si="17"/>
        <v>177.5</v>
      </c>
      <c r="R92" s="22">
        <f t="shared" si="17"/>
        <v>3730</v>
      </c>
      <c r="S92" s="22">
        <f t="shared" si="17"/>
        <v>880</v>
      </c>
      <c r="T92" s="22">
        <f t="shared" si="17"/>
        <v>402</v>
      </c>
      <c r="U92" s="22">
        <f t="shared" si="17"/>
        <v>0</v>
      </c>
      <c r="V92" s="22">
        <f t="shared" si="17"/>
        <v>5294</v>
      </c>
      <c r="W92" s="22">
        <f t="shared" si="17"/>
        <v>454.9</v>
      </c>
      <c r="X92" s="22">
        <f t="shared" si="17"/>
        <v>6458</v>
      </c>
      <c r="Y92" s="22">
        <f t="shared" si="17"/>
        <v>1385</v>
      </c>
      <c r="Z92" s="33">
        <f>L93+N93+P93+R93+T93+V93+X93</f>
        <v>32066</v>
      </c>
    </row>
    <row r="93" spans="1:26" x14ac:dyDescent="0.3">
      <c r="A93" s="31">
        <v>4277.57</v>
      </c>
      <c r="B93" s="32">
        <v>2900</v>
      </c>
      <c r="C93" s="32">
        <v>4197.57</v>
      </c>
      <c r="D93" s="32">
        <v>4895.4399999999996</v>
      </c>
      <c r="E93" s="32">
        <v>370</v>
      </c>
      <c r="F93" s="32">
        <v>2520</v>
      </c>
      <c r="G93" s="32">
        <v>3926.95</v>
      </c>
      <c r="H93" s="22">
        <f>SUM(A93:G93)+I84</f>
        <v>44636.130000000005</v>
      </c>
      <c r="I93" s="33" t="s">
        <v>1</v>
      </c>
      <c r="L93" s="32">
        <v>6148</v>
      </c>
      <c r="M93" s="32">
        <v>42.5</v>
      </c>
      <c r="N93" s="32">
        <v>4390</v>
      </c>
      <c r="O93" s="32">
        <v>122.5</v>
      </c>
      <c r="P93" s="32">
        <v>5644</v>
      </c>
      <c r="Q93" s="32">
        <v>177.5</v>
      </c>
      <c r="R93" s="32">
        <v>3730</v>
      </c>
      <c r="S93" s="32">
        <v>880</v>
      </c>
      <c r="T93" s="32">
        <v>402</v>
      </c>
      <c r="U93" s="32">
        <v>0</v>
      </c>
      <c r="V93" s="32">
        <v>5294</v>
      </c>
      <c r="W93" s="32">
        <v>454.9</v>
      </c>
      <c r="X93" s="32">
        <v>6458</v>
      </c>
      <c r="Y93" s="22">
        <v>1385</v>
      </c>
      <c r="Z93" s="33">
        <f>M93+O93+Q93+S93+U93+W93+Y93</f>
        <v>3062.4</v>
      </c>
    </row>
    <row r="94" spans="1:26" ht="15" thickBot="1" x14ac:dyDescent="0.35">
      <c r="A94" s="34">
        <f>A92-A93</f>
        <v>0</v>
      </c>
      <c r="B94" s="35">
        <f>B92-B93</f>
        <v>0</v>
      </c>
      <c r="C94" s="35">
        <f t="shared" ref="C94:F94" si="18">C92-C93</f>
        <v>0</v>
      </c>
      <c r="D94" s="35">
        <f t="shared" si="18"/>
        <v>0</v>
      </c>
      <c r="E94" s="35">
        <f t="shared" si="18"/>
        <v>0</v>
      </c>
      <c r="F94" s="35">
        <f t="shared" si="18"/>
        <v>0</v>
      </c>
      <c r="G94" s="35">
        <f>G92-G93</f>
        <v>0</v>
      </c>
      <c r="H94" s="35"/>
      <c r="I94" s="36"/>
      <c r="L94" s="34">
        <f t="shared" ref="L94:Y94" si="19">L92-L93</f>
        <v>0</v>
      </c>
      <c r="M94" s="34">
        <f t="shared" si="19"/>
        <v>0</v>
      </c>
      <c r="N94" s="34">
        <f t="shared" si="19"/>
        <v>0</v>
      </c>
      <c r="O94" s="34">
        <f t="shared" si="19"/>
        <v>0</v>
      </c>
      <c r="P94" s="34">
        <f t="shared" si="19"/>
        <v>0</v>
      </c>
      <c r="Q94" s="34">
        <f t="shared" si="19"/>
        <v>0</v>
      </c>
      <c r="R94" s="34">
        <f t="shared" si="19"/>
        <v>0</v>
      </c>
      <c r="S94" s="34">
        <f t="shared" si="19"/>
        <v>0</v>
      </c>
      <c r="T94" s="34">
        <f t="shared" si="19"/>
        <v>0</v>
      </c>
      <c r="U94" s="34">
        <f t="shared" si="19"/>
        <v>0</v>
      </c>
      <c r="V94" s="34">
        <f t="shared" si="19"/>
        <v>0</v>
      </c>
      <c r="W94" s="34">
        <f t="shared" si="19"/>
        <v>0</v>
      </c>
      <c r="X94" s="34">
        <f t="shared" si="19"/>
        <v>0</v>
      </c>
      <c r="Y94" s="34">
        <f t="shared" si="19"/>
        <v>0</v>
      </c>
      <c r="Z94" s="36"/>
    </row>
    <row r="95" spans="1:26" ht="15" thickTop="1" x14ac:dyDescent="0.3"/>
    <row r="114" spans="1:9" ht="15" thickBot="1" x14ac:dyDescent="0.35"/>
    <row r="115" spans="1:9" x14ac:dyDescent="0.3">
      <c r="A115" s="17">
        <v>45021</v>
      </c>
      <c r="B115" s="17">
        <v>45022</v>
      </c>
      <c r="C115" s="17">
        <v>45023</v>
      </c>
      <c r="D115" s="17">
        <v>45024</v>
      </c>
      <c r="E115" s="17">
        <v>45025</v>
      </c>
      <c r="F115" s="17">
        <v>45026</v>
      </c>
      <c r="G115" s="17">
        <v>45027</v>
      </c>
      <c r="H115" s="39"/>
      <c r="I115" s="13" t="s">
        <v>8</v>
      </c>
    </row>
    <row r="116" spans="1:9" x14ac:dyDescent="0.3">
      <c r="A116" s="21"/>
      <c r="B116" s="22"/>
      <c r="C116" s="22"/>
      <c r="D116" s="22"/>
      <c r="E116" s="22"/>
      <c r="F116" s="22"/>
      <c r="G116" s="22"/>
      <c r="H116" s="37"/>
      <c r="I116" s="14"/>
    </row>
    <row r="117" spans="1:9" x14ac:dyDescent="0.3">
      <c r="A117" s="24"/>
      <c r="B117" s="22"/>
      <c r="C117" s="22"/>
      <c r="D117" s="22"/>
      <c r="E117" s="25"/>
      <c r="F117" s="22"/>
      <c r="G117" s="22"/>
      <c r="H117" s="37"/>
      <c r="I117" s="14"/>
    </row>
    <row r="118" spans="1:9" x14ac:dyDescent="0.3">
      <c r="A118" s="24"/>
      <c r="B118" s="22"/>
      <c r="C118" s="22"/>
      <c r="D118" s="26"/>
      <c r="E118" s="22"/>
      <c r="F118" s="22"/>
      <c r="G118" s="22"/>
      <c r="H118" s="37"/>
      <c r="I118" s="15"/>
    </row>
    <row r="119" spans="1:9" x14ac:dyDescent="0.3">
      <c r="A119" s="24"/>
      <c r="B119" s="22"/>
      <c r="C119" s="22"/>
      <c r="D119" s="25"/>
      <c r="E119" s="22"/>
      <c r="F119" s="22"/>
      <c r="G119" s="22"/>
      <c r="H119" s="37"/>
      <c r="I119" s="15"/>
    </row>
    <row r="120" spans="1:9" x14ac:dyDescent="0.3">
      <c r="A120" s="24"/>
      <c r="B120" s="22"/>
      <c r="C120" s="22"/>
      <c r="D120" s="22"/>
      <c r="E120" s="22"/>
      <c r="F120" s="22"/>
      <c r="G120" s="22"/>
      <c r="H120" s="37"/>
      <c r="I120" s="15"/>
    </row>
    <row r="121" spans="1:9" x14ac:dyDescent="0.3">
      <c r="A121" s="24"/>
      <c r="B121" s="22"/>
      <c r="C121" s="22"/>
      <c r="D121" s="22"/>
      <c r="E121" s="22"/>
      <c r="F121" s="22"/>
      <c r="G121" s="22"/>
      <c r="H121" s="37"/>
      <c r="I121" s="15"/>
    </row>
    <row r="122" spans="1:9" ht="15" thickBot="1" x14ac:dyDescent="0.35">
      <c r="A122" s="24"/>
      <c r="B122" s="22"/>
      <c r="C122" s="22"/>
      <c r="D122" s="22"/>
      <c r="E122" s="22"/>
      <c r="F122" s="22"/>
      <c r="G122" s="22"/>
      <c r="H122" s="37"/>
      <c r="I122" s="16">
        <f>SUM(I116:I121)</f>
        <v>0</v>
      </c>
    </row>
    <row r="123" spans="1:9" ht="15" thickTop="1" x14ac:dyDescent="0.3">
      <c r="A123" s="24"/>
      <c r="B123" s="22"/>
      <c r="C123" s="22"/>
      <c r="D123" s="22"/>
      <c r="E123" s="22"/>
      <c r="F123" s="22"/>
      <c r="G123" s="22"/>
      <c r="H123" s="22"/>
      <c r="I123" s="38"/>
    </row>
    <row r="124" spans="1:9" x14ac:dyDescent="0.3">
      <c r="A124" s="24"/>
      <c r="B124" s="22"/>
      <c r="C124" s="22"/>
      <c r="D124" s="22"/>
      <c r="E124" s="22"/>
      <c r="F124" s="22"/>
      <c r="G124" s="22"/>
      <c r="H124" s="22"/>
      <c r="I124" s="23"/>
    </row>
    <row r="125" spans="1:9" x14ac:dyDescent="0.3">
      <c r="A125" s="24"/>
      <c r="B125" s="22"/>
      <c r="C125" s="22"/>
      <c r="D125" s="22"/>
      <c r="E125" s="22"/>
      <c r="F125" s="22"/>
      <c r="G125" s="22"/>
      <c r="H125" s="22"/>
      <c r="I125" s="23"/>
    </row>
    <row r="126" spans="1:9" x14ac:dyDescent="0.3">
      <c r="A126" s="24"/>
      <c r="B126" s="22"/>
      <c r="C126" s="22"/>
      <c r="D126" s="22"/>
      <c r="E126" s="22"/>
      <c r="F126" s="22"/>
      <c r="G126" s="22"/>
      <c r="H126" s="22"/>
      <c r="I126" s="23"/>
    </row>
    <row r="127" spans="1:9" x14ac:dyDescent="0.3">
      <c r="A127" s="24"/>
      <c r="B127" s="22"/>
      <c r="C127" s="22"/>
      <c r="D127" s="22"/>
      <c r="E127" s="22"/>
      <c r="F127" s="22"/>
      <c r="G127" s="22"/>
      <c r="H127" s="22"/>
      <c r="I127" s="23"/>
    </row>
    <row r="128" spans="1:9" x14ac:dyDescent="0.3">
      <c r="A128" s="24"/>
      <c r="B128" s="22"/>
      <c r="C128" s="22"/>
      <c r="D128" s="22"/>
      <c r="E128" s="22"/>
      <c r="F128" s="22"/>
      <c r="G128" s="22"/>
      <c r="H128" s="22"/>
      <c r="I128" s="23"/>
    </row>
    <row r="129" spans="1:9" x14ac:dyDescent="0.3">
      <c r="A129" s="24"/>
      <c r="B129" s="22"/>
      <c r="C129" s="22"/>
      <c r="D129" s="22"/>
      <c r="E129" s="22"/>
      <c r="F129" s="28"/>
      <c r="G129" s="22"/>
      <c r="H129" s="22"/>
      <c r="I129" s="23"/>
    </row>
    <row r="130" spans="1:9" x14ac:dyDescent="0.3">
      <c r="A130" s="24">
        <f t="shared" ref="A130:G130" si="20">SUM(A116:A129)</f>
        <v>0</v>
      </c>
      <c r="B130" s="22">
        <f t="shared" si="20"/>
        <v>0</v>
      </c>
      <c r="C130" s="22">
        <f t="shared" si="20"/>
        <v>0</v>
      </c>
      <c r="D130" s="22">
        <f t="shared" si="20"/>
        <v>0</v>
      </c>
      <c r="E130" s="22">
        <f t="shared" si="20"/>
        <v>0</v>
      </c>
      <c r="F130" s="22">
        <f t="shared" si="20"/>
        <v>0</v>
      </c>
      <c r="G130" s="22">
        <f t="shared" si="20"/>
        <v>0</v>
      </c>
      <c r="H130" s="29">
        <f>SUM(A130:G130)+I122</f>
        <v>0</v>
      </c>
      <c r="I130" s="30" t="s">
        <v>7</v>
      </c>
    </row>
    <row r="131" spans="1:9" x14ac:dyDescent="0.3">
      <c r="A131" s="31"/>
      <c r="B131" s="32"/>
      <c r="C131" s="32"/>
      <c r="D131" s="32"/>
      <c r="E131" s="32"/>
      <c r="F131" s="32"/>
      <c r="G131" s="32"/>
      <c r="H131" s="22">
        <f>SUM(A131:G131)</f>
        <v>0</v>
      </c>
      <c r="I131" s="33" t="s">
        <v>1</v>
      </c>
    </row>
    <row r="132" spans="1:9" ht="15" thickBot="1" x14ac:dyDescent="0.35">
      <c r="A132" s="34">
        <f>A130-A131</f>
        <v>0</v>
      </c>
      <c r="B132" s="35">
        <f>B130-B131</f>
        <v>0</v>
      </c>
      <c r="C132" s="35">
        <f t="shared" ref="C132:F132" si="21">C130-C131</f>
        <v>0</v>
      </c>
      <c r="D132" s="35">
        <f t="shared" si="21"/>
        <v>0</v>
      </c>
      <c r="E132" s="35">
        <f t="shared" si="21"/>
        <v>0</v>
      </c>
      <c r="F132" s="35">
        <f t="shared" si="21"/>
        <v>0</v>
      </c>
      <c r="G132" s="35">
        <f>G130-G131</f>
        <v>0</v>
      </c>
      <c r="H132" s="35"/>
      <c r="I132" s="36"/>
    </row>
    <row r="133" spans="1:9" ht="15" thickTop="1" x14ac:dyDescent="0.3"/>
  </sheetData>
  <mergeCells count="7">
    <mergeCell ref="X20:Y20"/>
    <mergeCell ref="L20:M20"/>
    <mergeCell ref="N20:O20"/>
    <mergeCell ref="P20:Q20"/>
    <mergeCell ref="R20:S20"/>
    <mergeCell ref="T20:U20"/>
    <mergeCell ref="V20:W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F48A-D085-404B-ADE4-030776B5B272}">
  <dimension ref="A1:Y97"/>
  <sheetViews>
    <sheetView topLeftCell="A56" workbookViewId="0">
      <selection activeCell="A60" sqref="A60:Y77"/>
    </sheetView>
  </sheetViews>
  <sheetFormatPr defaultRowHeight="14.4" x14ac:dyDescent="0.3"/>
  <cols>
    <col min="1" max="9" width="14.6640625" customWidth="1"/>
    <col min="11" max="11" width="9.88671875" bestFit="1" customWidth="1"/>
    <col min="12" max="12" width="12.33203125" bestFit="1" customWidth="1"/>
    <col min="13" max="13" width="10.88671875" customWidth="1"/>
    <col min="14" max="14" width="12.33203125" bestFit="1" customWidth="1"/>
    <col min="15" max="15" width="11.44140625" customWidth="1"/>
    <col min="16" max="16" width="12.33203125" bestFit="1" customWidth="1"/>
    <col min="17" max="17" width="11.88671875" customWidth="1"/>
    <col min="18" max="18" width="12.33203125" bestFit="1" customWidth="1"/>
    <col min="19" max="19" width="9.6640625" bestFit="1" customWidth="1"/>
    <col min="20" max="20" width="12.33203125" bestFit="1" customWidth="1"/>
    <col min="21" max="21" width="12.44140625" customWidth="1"/>
    <col min="22" max="22" width="12.33203125" bestFit="1" customWidth="1"/>
    <col min="23" max="23" width="13.44140625" customWidth="1"/>
    <col min="24" max="24" width="12.33203125" bestFit="1" customWidth="1"/>
    <col min="25" max="25" width="10.6640625" bestFit="1" customWidth="1"/>
  </cols>
  <sheetData>
    <row r="1" spans="1:25" x14ac:dyDescent="0.3">
      <c r="A1" s="17">
        <v>45049</v>
      </c>
      <c r="B1" s="17">
        <v>45050</v>
      </c>
      <c r="C1" s="17">
        <v>45051</v>
      </c>
      <c r="D1" s="17">
        <v>45052</v>
      </c>
      <c r="E1" s="17">
        <v>45053</v>
      </c>
      <c r="F1" s="17">
        <v>45054</v>
      </c>
      <c r="G1" s="17">
        <v>45055</v>
      </c>
      <c r="H1" s="19"/>
      <c r="I1" s="20" t="s">
        <v>8</v>
      </c>
      <c r="K1" s="59">
        <v>45049</v>
      </c>
      <c r="L1" s="59"/>
      <c r="M1" s="59">
        <v>45050</v>
      </c>
      <c r="N1" s="59"/>
      <c r="O1" s="59">
        <v>45051</v>
      </c>
      <c r="P1" s="59"/>
      <c r="Q1" s="59">
        <v>45052</v>
      </c>
      <c r="R1" s="59"/>
      <c r="S1" s="59">
        <v>45053</v>
      </c>
      <c r="T1" s="59"/>
      <c r="U1" s="59">
        <v>45054</v>
      </c>
      <c r="V1" s="59"/>
      <c r="W1" s="59">
        <v>45055</v>
      </c>
      <c r="X1" s="59"/>
      <c r="Y1" s="13"/>
    </row>
    <row r="2" spans="1:25" ht="15" thickBot="1" x14ac:dyDescent="0.35">
      <c r="A2" s="21">
        <v>1370.35</v>
      </c>
      <c r="B2" s="22">
        <v>805</v>
      </c>
      <c r="C2" s="22">
        <v>1161.9000000000001</v>
      </c>
      <c r="D2" s="22">
        <v>976.9</v>
      </c>
      <c r="E2" s="22">
        <v>110</v>
      </c>
      <c r="F2" s="22">
        <v>1403.8</v>
      </c>
      <c r="G2" s="22">
        <v>976.9</v>
      </c>
      <c r="H2" s="22"/>
      <c r="I2" s="27">
        <v>3690.2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5" x14ac:dyDescent="0.3">
      <c r="A3" s="24">
        <v>1803.19</v>
      </c>
      <c r="B3" s="22">
        <v>248.45</v>
      </c>
      <c r="C3" s="22">
        <v>1913.19</v>
      </c>
      <c r="D3" s="22">
        <v>2248.38</v>
      </c>
      <c r="E3" s="25"/>
      <c r="F3" s="22">
        <v>1972.36</v>
      </c>
      <c r="G3" s="22">
        <v>2302.0500000000002</v>
      </c>
      <c r="H3" s="22"/>
      <c r="I3" s="27">
        <v>1253.72</v>
      </c>
      <c r="K3" s="75">
        <v>2700</v>
      </c>
      <c r="L3" s="76">
        <v>290</v>
      </c>
      <c r="M3" s="77">
        <v>2670</v>
      </c>
      <c r="N3" s="77">
        <v>248</v>
      </c>
      <c r="O3" s="77">
        <v>2770</v>
      </c>
      <c r="P3" s="77">
        <v>65</v>
      </c>
      <c r="Q3" s="77">
        <v>1920</v>
      </c>
      <c r="R3" s="77">
        <v>60</v>
      </c>
      <c r="S3" s="78">
        <v>540</v>
      </c>
      <c r="T3" s="69"/>
      <c r="U3" s="63">
        <v>2710</v>
      </c>
      <c r="V3" s="63">
        <v>50</v>
      </c>
      <c r="W3" s="63">
        <v>2460</v>
      </c>
      <c r="X3" s="65">
        <v>60</v>
      </c>
      <c r="Y3" s="14"/>
    </row>
    <row r="4" spans="1:25" x14ac:dyDescent="0.3">
      <c r="A4" s="24">
        <v>759.65</v>
      </c>
      <c r="B4" s="22">
        <v>2053.19</v>
      </c>
      <c r="C4" s="22">
        <v>348.1</v>
      </c>
      <c r="D4" s="26">
        <v>808.1</v>
      </c>
      <c r="E4" s="22"/>
      <c r="F4" s="22">
        <v>636.20000000000005</v>
      </c>
      <c r="G4" s="22">
        <v>353.1</v>
      </c>
      <c r="H4" s="22"/>
      <c r="I4" s="27">
        <v>4616.49</v>
      </c>
      <c r="K4" s="21">
        <v>1810</v>
      </c>
      <c r="L4" s="79">
        <v>634</v>
      </c>
      <c r="M4" s="43">
        <v>1805</v>
      </c>
      <c r="N4" s="43">
        <v>372</v>
      </c>
      <c r="O4" s="43">
        <v>1985</v>
      </c>
      <c r="P4" s="43"/>
      <c r="Q4" s="80">
        <v>1270</v>
      </c>
      <c r="R4" s="80">
        <v>50</v>
      </c>
      <c r="S4" s="43">
        <v>84</v>
      </c>
      <c r="T4" s="22"/>
      <c r="U4" s="22">
        <v>2520</v>
      </c>
      <c r="V4" s="22"/>
      <c r="W4" s="22">
        <v>180</v>
      </c>
      <c r="X4" s="37">
        <v>67.5</v>
      </c>
      <c r="Y4" s="15"/>
    </row>
    <row r="5" spans="1:25" x14ac:dyDescent="0.3">
      <c r="A5" s="24"/>
      <c r="B5" s="22">
        <v>536.54999999999995</v>
      </c>
      <c r="C5" s="22"/>
      <c r="D5" s="25"/>
      <c r="E5" s="22"/>
      <c r="F5" s="22"/>
      <c r="G5" s="22"/>
      <c r="H5" s="22"/>
      <c r="I5" s="27">
        <v>4980</v>
      </c>
      <c r="K5" s="21">
        <v>760</v>
      </c>
      <c r="L5" s="79">
        <v>1410</v>
      </c>
      <c r="M5" s="43">
        <v>1385</v>
      </c>
      <c r="N5" s="43"/>
      <c r="O5" s="43">
        <v>445</v>
      </c>
      <c r="P5" s="43"/>
      <c r="Q5" s="80">
        <v>240</v>
      </c>
      <c r="R5" s="81"/>
      <c r="S5" s="43"/>
      <c r="T5" s="22"/>
      <c r="U5" s="22">
        <v>560</v>
      </c>
      <c r="V5" s="22"/>
      <c r="W5" s="22">
        <v>2640</v>
      </c>
      <c r="X5" s="37">
        <v>24</v>
      </c>
      <c r="Y5" s="15"/>
    </row>
    <row r="6" spans="1:25" x14ac:dyDescent="0.3">
      <c r="A6" s="24"/>
      <c r="B6" s="22"/>
      <c r="C6" s="22"/>
      <c r="D6" s="22"/>
      <c r="E6" s="22"/>
      <c r="F6" s="22"/>
      <c r="G6" s="22"/>
      <c r="H6" s="22"/>
      <c r="I6" s="27">
        <v>4797.26</v>
      </c>
      <c r="K6" s="21">
        <v>222</v>
      </c>
      <c r="L6" s="79"/>
      <c r="M6" s="43">
        <v>288</v>
      </c>
      <c r="N6" s="43"/>
      <c r="O6" s="43">
        <v>144</v>
      </c>
      <c r="P6" s="43"/>
      <c r="Q6" s="43">
        <v>228</v>
      </c>
      <c r="R6" s="43"/>
      <c r="S6" s="43"/>
      <c r="T6" s="22"/>
      <c r="U6" s="22">
        <v>372</v>
      </c>
      <c r="V6" s="22"/>
      <c r="W6" s="22">
        <v>840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22"/>
      <c r="I7" s="27">
        <v>350</v>
      </c>
      <c r="K7" s="21"/>
      <c r="L7" s="79"/>
      <c r="M7" s="43">
        <v>85</v>
      </c>
      <c r="N7" s="43"/>
      <c r="O7" s="43"/>
      <c r="P7" s="43"/>
      <c r="Q7" s="43">
        <v>72</v>
      </c>
      <c r="R7" s="43"/>
      <c r="S7" s="43"/>
      <c r="T7" s="22"/>
      <c r="U7" s="22">
        <v>24</v>
      </c>
      <c r="V7" s="22"/>
      <c r="W7" s="22">
        <v>516</v>
      </c>
      <c r="X7" s="37"/>
      <c r="Y7" s="15"/>
    </row>
    <row r="8" spans="1:25" ht="15" thickBot="1" x14ac:dyDescent="0.35">
      <c r="A8" s="24"/>
      <c r="B8" s="22"/>
      <c r="C8" s="22"/>
      <c r="D8" s="22"/>
      <c r="E8" s="22"/>
      <c r="F8" s="22"/>
      <c r="G8" s="22"/>
      <c r="H8" s="37"/>
      <c r="I8" s="15">
        <v>430.3</v>
      </c>
      <c r="K8" s="24"/>
      <c r="L8" s="56"/>
      <c r="M8" s="22"/>
      <c r="N8" s="22"/>
      <c r="O8" s="22"/>
      <c r="P8" s="22"/>
      <c r="Q8" s="22"/>
      <c r="R8" s="22"/>
      <c r="S8" s="22"/>
      <c r="T8" s="22"/>
      <c r="U8" s="22"/>
      <c r="V8" s="22"/>
      <c r="W8" s="22">
        <v>96</v>
      </c>
      <c r="X8" s="37"/>
      <c r="Y8" s="16">
        <f>SUM(Y2:Y7)</f>
        <v>0</v>
      </c>
    </row>
    <row r="9" spans="1:25" ht="15" thickTop="1" x14ac:dyDescent="0.3">
      <c r="A9" s="24"/>
      <c r="B9" s="22"/>
      <c r="C9" s="22"/>
      <c r="D9" s="22"/>
      <c r="E9" s="22"/>
      <c r="F9" s="22"/>
      <c r="G9" s="22"/>
      <c r="H9" s="22"/>
      <c r="I9" s="23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38"/>
    </row>
    <row r="10" spans="1:25" ht="15" thickBot="1" x14ac:dyDescent="0.35">
      <c r="A10" s="24"/>
      <c r="B10" s="22"/>
      <c r="C10" s="22"/>
      <c r="D10" s="22"/>
      <c r="E10" s="22"/>
      <c r="F10" s="22"/>
      <c r="G10" s="22"/>
      <c r="H10" s="22"/>
      <c r="I10" s="82">
        <f>SUM(I2:I9)</f>
        <v>20117.969999999998</v>
      </c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3"/>
    </row>
    <row r="11" spans="1:25" ht="15" thickTop="1" x14ac:dyDescent="0.3">
      <c r="A11" s="24"/>
      <c r="B11" s="22"/>
      <c r="C11" s="22"/>
      <c r="D11" s="22"/>
      <c r="E11" s="22"/>
      <c r="F11" s="22"/>
      <c r="G11" s="22"/>
      <c r="H11" s="22"/>
      <c r="I11" s="38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 t="shared" ref="A16:G16" si="0">SUM(A2:A15)</f>
        <v>3933.19</v>
      </c>
      <c r="B16" s="22">
        <f t="shared" si="0"/>
        <v>3643.1900000000005</v>
      </c>
      <c r="C16" s="22">
        <f t="shared" si="0"/>
        <v>3423.19</v>
      </c>
      <c r="D16" s="22">
        <f t="shared" si="0"/>
        <v>4033.38</v>
      </c>
      <c r="E16" s="22">
        <f t="shared" si="0"/>
        <v>110</v>
      </c>
      <c r="F16" s="22">
        <f t="shared" si="0"/>
        <v>4012.3599999999997</v>
      </c>
      <c r="G16" s="22">
        <f t="shared" si="0"/>
        <v>3632.05</v>
      </c>
      <c r="H16" s="29">
        <f>SUM(A16:G16)+I10</f>
        <v>42905.33</v>
      </c>
      <c r="I16" s="30" t="s">
        <v>7</v>
      </c>
      <c r="K16" s="22">
        <f t="shared" ref="K16:X16" si="1">SUM(K3:K15)</f>
        <v>5492</v>
      </c>
      <c r="L16" s="22">
        <f>SUM(L3:L15)</f>
        <v>2334</v>
      </c>
      <c r="M16" s="22">
        <f t="shared" si="1"/>
        <v>6233</v>
      </c>
      <c r="N16" s="22">
        <f t="shared" si="1"/>
        <v>620</v>
      </c>
      <c r="O16" s="22">
        <f t="shared" si="1"/>
        <v>5344</v>
      </c>
      <c r="P16" s="22">
        <f t="shared" si="1"/>
        <v>65</v>
      </c>
      <c r="Q16" s="22">
        <f t="shared" si="1"/>
        <v>3730</v>
      </c>
      <c r="R16" s="22">
        <f t="shared" si="1"/>
        <v>110</v>
      </c>
      <c r="S16" s="22">
        <f t="shared" si="1"/>
        <v>624</v>
      </c>
      <c r="T16" s="22">
        <f t="shared" si="1"/>
        <v>0</v>
      </c>
      <c r="U16" s="22">
        <f t="shared" si="1"/>
        <v>6186</v>
      </c>
      <c r="V16" s="22">
        <f t="shared" si="1"/>
        <v>50</v>
      </c>
      <c r="W16" s="22">
        <f t="shared" si="1"/>
        <v>6732</v>
      </c>
      <c r="X16" s="22">
        <f t="shared" si="1"/>
        <v>151.5</v>
      </c>
      <c r="Y16" s="33">
        <f>K17+M17+O17+Q17+S17+U17+W17</f>
        <v>34341</v>
      </c>
    </row>
    <row r="17" spans="1:25" x14ac:dyDescent="0.3">
      <c r="A17" s="31">
        <v>3933.19</v>
      </c>
      <c r="B17" s="32">
        <v>3643.19</v>
      </c>
      <c r="C17" s="32">
        <v>3423.19</v>
      </c>
      <c r="D17" s="32">
        <v>4033.38</v>
      </c>
      <c r="E17" s="32">
        <v>110</v>
      </c>
      <c r="F17" s="32">
        <v>4012.36</v>
      </c>
      <c r="G17" s="32">
        <v>3632.05</v>
      </c>
      <c r="H17" s="22">
        <f>SUM(A17:G17)+I10</f>
        <v>42905.33</v>
      </c>
      <c r="I17" s="33" t="s">
        <v>1</v>
      </c>
      <c r="K17" s="32">
        <v>5492</v>
      </c>
      <c r="L17" s="32">
        <v>2334</v>
      </c>
      <c r="M17" s="32">
        <v>6233</v>
      </c>
      <c r="N17" s="32">
        <v>620</v>
      </c>
      <c r="O17" s="32">
        <v>5344</v>
      </c>
      <c r="P17" s="32">
        <v>65</v>
      </c>
      <c r="Q17" s="32">
        <v>3730</v>
      </c>
      <c r="R17" s="32">
        <v>110</v>
      </c>
      <c r="S17" s="32">
        <v>624</v>
      </c>
      <c r="T17" s="32">
        <v>0</v>
      </c>
      <c r="U17" s="32">
        <v>6186</v>
      </c>
      <c r="V17" s="32">
        <v>50</v>
      </c>
      <c r="W17" s="32">
        <v>6732</v>
      </c>
      <c r="X17" s="22">
        <v>151.5</v>
      </c>
      <c r="Y17" s="33">
        <f>L17+N17+P17+R17+T17+V17+X17</f>
        <v>3330.5</v>
      </c>
    </row>
    <row r="18" spans="1:25" ht="15" thickBot="1" x14ac:dyDescent="0.35">
      <c r="A18" s="34">
        <f>A16-A17</f>
        <v>0</v>
      </c>
      <c r="B18" s="35">
        <f>B16-B17</f>
        <v>0</v>
      </c>
      <c r="C18" s="35">
        <f t="shared" ref="C18:F18" si="2">C16-C17</f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>G16-G17</f>
        <v>0</v>
      </c>
      <c r="H18" s="35"/>
      <c r="I18" s="36"/>
      <c r="K18" s="34">
        <f t="shared" ref="K18:X18" si="3">K16-K17</f>
        <v>0</v>
      </c>
      <c r="L18" s="34">
        <f t="shared" si="3"/>
        <v>0</v>
      </c>
      <c r="M18" s="34">
        <f t="shared" si="3"/>
        <v>0</v>
      </c>
      <c r="N18" s="34">
        <f t="shared" si="3"/>
        <v>0</v>
      </c>
      <c r="O18" s="34">
        <f t="shared" si="3"/>
        <v>0</v>
      </c>
      <c r="P18" s="34">
        <f t="shared" si="3"/>
        <v>0</v>
      </c>
      <c r="Q18" s="34">
        <f t="shared" si="3"/>
        <v>0</v>
      </c>
      <c r="R18" s="34">
        <f t="shared" si="3"/>
        <v>0</v>
      </c>
      <c r="S18" s="34">
        <f t="shared" si="3"/>
        <v>0</v>
      </c>
      <c r="T18" s="34">
        <f t="shared" si="3"/>
        <v>0</v>
      </c>
      <c r="U18" s="34">
        <f t="shared" si="3"/>
        <v>0</v>
      </c>
      <c r="V18" s="34">
        <f t="shared" si="3"/>
        <v>0</v>
      </c>
      <c r="W18" s="34">
        <f t="shared" si="3"/>
        <v>0</v>
      </c>
      <c r="X18" s="34">
        <f t="shared" si="3"/>
        <v>0</v>
      </c>
      <c r="Y18" s="36"/>
    </row>
    <row r="19" spans="1:25" ht="15.6" thickTop="1" thickBot="1" x14ac:dyDescent="0.35"/>
    <row r="20" spans="1:25" x14ac:dyDescent="0.3">
      <c r="A20" s="17">
        <v>45056</v>
      </c>
      <c r="B20" s="17">
        <v>45057</v>
      </c>
      <c r="C20" s="17">
        <v>45058</v>
      </c>
      <c r="D20" s="17">
        <v>45059</v>
      </c>
      <c r="E20" s="17">
        <v>45060</v>
      </c>
      <c r="F20" s="17">
        <v>45061</v>
      </c>
      <c r="G20" s="17">
        <v>45062</v>
      </c>
      <c r="H20" s="39"/>
      <c r="I20" s="13" t="s">
        <v>8</v>
      </c>
      <c r="K20" s="59">
        <v>45056</v>
      </c>
      <c r="L20" s="59"/>
      <c r="M20" s="59">
        <v>45057</v>
      </c>
      <c r="N20" s="59"/>
      <c r="O20" s="59">
        <v>45058</v>
      </c>
      <c r="P20" s="59"/>
      <c r="Q20" s="59">
        <v>45059</v>
      </c>
      <c r="R20" s="59"/>
      <c r="S20" s="59">
        <v>45060</v>
      </c>
      <c r="T20" s="59"/>
      <c r="U20" s="59">
        <v>45061</v>
      </c>
      <c r="V20" s="59"/>
      <c r="W20" s="59">
        <v>45062</v>
      </c>
      <c r="X20" s="59"/>
      <c r="Y20" s="13"/>
    </row>
    <row r="21" spans="1:25" ht="15" thickBot="1" x14ac:dyDescent="0.35">
      <c r="A21" s="21">
        <v>1126.9000000000001</v>
      </c>
      <c r="B21" s="22">
        <v>748.45</v>
      </c>
      <c r="C21" s="22">
        <v>1340.35</v>
      </c>
      <c r="D21" s="22">
        <v>1016.9</v>
      </c>
      <c r="E21" s="22">
        <v>185</v>
      </c>
      <c r="F21" s="22">
        <v>890</v>
      </c>
      <c r="G21" s="22">
        <v>1253.8</v>
      </c>
      <c r="H21" s="22"/>
      <c r="I21" s="22">
        <v>4866.03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5" x14ac:dyDescent="0.3">
      <c r="A22" s="24">
        <v>2017.05</v>
      </c>
      <c r="B22" s="22">
        <v>496.9</v>
      </c>
      <c r="C22" s="22">
        <v>1907.36</v>
      </c>
      <c r="D22" s="22">
        <v>2243.4</v>
      </c>
      <c r="E22" s="25">
        <v>150</v>
      </c>
      <c r="F22" s="22">
        <v>553.79999999999995</v>
      </c>
      <c r="G22" s="22">
        <v>1807.67</v>
      </c>
      <c r="H22" s="37"/>
      <c r="I22" s="15">
        <v>4574.8999999999996</v>
      </c>
      <c r="K22" s="75">
        <v>2820</v>
      </c>
      <c r="L22" s="76">
        <v>57.5</v>
      </c>
      <c r="M22" s="77">
        <v>2700</v>
      </c>
      <c r="N22" s="77">
        <v>47.5</v>
      </c>
      <c r="O22" s="77">
        <v>2640</v>
      </c>
      <c r="P22" s="77">
        <v>50</v>
      </c>
      <c r="Q22" s="77">
        <v>1860</v>
      </c>
      <c r="R22" s="77">
        <v>4500</v>
      </c>
      <c r="S22" s="78">
        <v>60</v>
      </c>
      <c r="T22" s="69"/>
      <c r="U22" s="63">
        <v>2560</v>
      </c>
      <c r="V22" s="63">
        <v>42.5</v>
      </c>
      <c r="W22" s="63">
        <v>2640</v>
      </c>
      <c r="X22" s="65">
        <v>60</v>
      </c>
      <c r="Y22" s="14"/>
    </row>
    <row r="23" spans="1:25" x14ac:dyDescent="0.3">
      <c r="A23" s="24">
        <v>368.1</v>
      </c>
      <c r="B23" s="22">
        <v>1687.98</v>
      </c>
      <c r="C23" s="22">
        <v>459.65</v>
      </c>
      <c r="D23" s="26">
        <v>388.1</v>
      </c>
      <c r="E23" s="22"/>
      <c r="F23" s="22">
        <v>1937.36</v>
      </c>
      <c r="G23" s="22">
        <v>500.58</v>
      </c>
      <c r="H23" s="37"/>
      <c r="I23" s="15">
        <v>1253.72</v>
      </c>
      <c r="K23" s="21">
        <v>1975</v>
      </c>
      <c r="L23" s="79">
        <v>240</v>
      </c>
      <c r="M23" s="43">
        <v>1765</v>
      </c>
      <c r="N23" s="43">
        <v>700</v>
      </c>
      <c r="O23" s="43">
        <v>2205</v>
      </c>
      <c r="P23" s="43"/>
      <c r="Q23" s="80">
        <v>1540</v>
      </c>
      <c r="R23" s="80">
        <v>30</v>
      </c>
      <c r="S23" s="43">
        <v>150</v>
      </c>
      <c r="T23" s="22"/>
      <c r="U23" s="22">
        <v>1905</v>
      </c>
      <c r="V23" s="22">
        <v>60</v>
      </c>
      <c r="W23" s="22">
        <v>1865</v>
      </c>
      <c r="X23" s="37">
        <v>50</v>
      </c>
      <c r="Y23" s="15"/>
    </row>
    <row r="24" spans="1:25" x14ac:dyDescent="0.3">
      <c r="A24" s="24"/>
      <c r="B24" s="22">
        <v>914.65</v>
      </c>
      <c r="C24" s="22"/>
      <c r="D24" s="25"/>
      <c r="E24" s="22"/>
      <c r="F24" s="22">
        <v>671.2</v>
      </c>
      <c r="G24" s="22"/>
      <c r="H24" s="37"/>
      <c r="I24" s="15">
        <v>510.42</v>
      </c>
      <c r="K24" s="21">
        <v>180</v>
      </c>
      <c r="L24" s="79">
        <v>26</v>
      </c>
      <c r="M24" s="43">
        <v>835</v>
      </c>
      <c r="N24" s="43"/>
      <c r="O24" s="43">
        <v>675</v>
      </c>
      <c r="P24" s="43"/>
      <c r="Q24" s="80">
        <v>450</v>
      </c>
      <c r="R24" s="84">
        <v>17</v>
      </c>
      <c r="S24" s="43">
        <v>150</v>
      </c>
      <c r="T24" s="22"/>
      <c r="U24" s="22">
        <v>785</v>
      </c>
      <c r="V24" s="22"/>
      <c r="W24" s="22">
        <v>60</v>
      </c>
      <c r="X24" s="37">
        <v>150</v>
      </c>
      <c r="Y24" s="15"/>
    </row>
    <row r="25" spans="1:25" x14ac:dyDescent="0.3">
      <c r="A25" s="24"/>
      <c r="B25" s="22"/>
      <c r="C25" s="22"/>
      <c r="D25" s="22"/>
      <c r="E25" s="22"/>
      <c r="F25" s="22"/>
      <c r="G25" s="22"/>
      <c r="H25" s="37"/>
      <c r="I25" s="15">
        <v>4797.26</v>
      </c>
      <c r="K25" s="21">
        <v>515</v>
      </c>
      <c r="L25" s="79"/>
      <c r="M25" s="43">
        <v>300</v>
      </c>
      <c r="N25" s="43"/>
      <c r="O25" s="43">
        <v>144</v>
      </c>
      <c r="P25" s="43"/>
      <c r="Q25" s="43">
        <v>228</v>
      </c>
      <c r="R25" s="43"/>
      <c r="S25" s="43">
        <v>84</v>
      </c>
      <c r="T25" s="22"/>
      <c r="U25" s="22">
        <v>300</v>
      </c>
      <c r="V25" s="22"/>
      <c r="W25" s="22">
        <v>1335</v>
      </c>
      <c r="X25" s="37">
        <v>372</v>
      </c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4425</v>
      </c>
      <c r="K26" s="21">
        <v>222</v>
      </c>
      <c r="L26" s="79"/>
      <c r="M26" s="43">
        <v>72</v>
      </c>
      <c r="N26" s="43"/>
      <c r="O26" s="43"/>
      <c r="P26" s="43"/>
      <c r="Q26" s="43">
        <v>72</v>
      </c>
      <c r="R26" s="43"/>
      <c r="S26" s="43"/>
      <c r="T26" s="22"/>
      <c r="U26" s="22"/>
      <c r="V26" s="22"/>
      <c r="W26" s="22">
        <v>326</v>
      </c>
      <c r="X26" s="37"/>
      <c r="Y26" s="15"/>
    </row>
    <row r="27" spans="1:25" x14ac:dyDescent="0.3">
      <c r="A27" s="24"/>
      <c r="B27" s="22"/>
      <c r="C27" s="22"/>
      <c r="D27" s="22"/>
      <c r="E27" s="22"/>
      <c r="F27" s="22"/>
      <c r="G27" s="22"/>
      <c r="H27" s="37"/>
      <c r="I27" s="15">
        <v>700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" thickBot="1" x14ac:dyDescent="0.35">
      <c r="A28" s="24"/>
      <c r="B28" s="22"/>
      <c r="C28" s="22"/>
      <c r="D28" s="22"/>
      <c r="E28" s="22"/>
      <c r="F28" s="22"/>
      <c r="G28" s="22"/>
      <c r="H28" s="37"/>
      <c r="I28" s="15">
        <f>SUM(I21:I27)</f>
        <v>21127.33</v>
      </c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>
        <v>90</v>
      </c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15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15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15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15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3"/>
    </row>
    <row r="35" spans="1:25" x14ac:dyDescent="0.3">
      <c r="A35" s="24"/>
      <c r="B35" s="22"/>
      <c r="C35" s="22"/>
      <c r="D35" s="22"/>
      <c r="E35" s="22"/>
      <c r="F35" s="28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8"/>
      <c r="V35" s="28"/>
      <c r="W35" s="22"/>
      <c r="X35" s="22"/>
      <c r="Y35" s="23"/>
    </row>
    <row r="36" spans="1:25" x14ac:dyDescent="0.3">
      <c r="A36" s="24">
        <f t="shared" ref="A36:G36" si="4">SUM(A21:A35)</f>
        <v>3512.0499999999997</v>
      </c>
      <c r="B36" s="22">
        <f t="shared" si="4"/>
        <v>3847.98</v>
      </c>
      <c r="C36" s="22">
        <f t="shared" si="4"/>
        <v>3707.36</v>
      </c>
      <c r="D36" s="22">
        <f t="shared" si="4"/>
        <v>3648.4</v>
      </c>
      <c r="E36" s="22">
        <f t="shared" si="4"/>
        <v>335</v>
      </c>
      <c r="F36" s="22">
        <f t="shared" si="4"/>
        <v>4052.3599999999997</v>
      </c>
      <c r="G36" s="22">
        <f t="shared" si="4"/>
        <v>3562.05</v>
      </c>
      <c r="H36" s="29">
        <f>SUM(A36:G36)+I28</f>
        <v>43792.53</v>
      </c>
      <c r="I36" s="30" t="s">
        <v>7</v>
      </c>
      <c r="K36" s="24">
        <f t="shared" ref="K36" si="5">SUM(K22:K35)</f>
        <v>5712</v>
      </c>
      <c r="L36" s="22">
        <f>SUM(L22:L35)</f>
        <v>323.5</v>
      </c>
      <c r="M36" s="22">
        <f t="shared" ref="M36:X36" si="6">SUM(M22:M35)</f>
        <v>5672</v>
      </c>
      <c r="N36" s="22">
        <f t="shared" si="6"/>
        <v>747.5</v>
      </c>
      <c r="O36" s="22">
        <f t="shared" si="6"/>
        <v>5664</v>
      </c>
      <c r="P36" s="22">
        <f t="shared" si="6"/>
        <v>50</v>
      </c>
      <c r="Q36" s="22">
        <f t="shared" si="6"/>
        <v>4150</v>
      </c>
      <c r="R36" s="22">
        <f t="shared" si="6"/>
        <v>4547</v>
      </c>
      <c r="S36" s="22">
        <f t="shared" si="6"/>
        <v>444</v>
      </c>
      <c r="T36" s="22">
        <f t="shared" si="6"/>
        <v>0</v>
      </c>
      <c r="U36" s="22">
        <f t="shared" si="6"/>
        <v>5550</v>
      </c>
      <c r="V36" s="22">
        <f t="shared" si="6"/>
        <v>102.5</v>
      </c>
      <c r="W36" s="22">
        <f t="shared" si="6"/>
        <v>6316</v>
      </c>
      <c r="X36" s="22">
        <f t="shared" si="6"/>
        <v>632</v>
      </c>
      <c r="Y36" s="33">
        <f>K37+M37+O37+Q37+S37+U37+W37</f>
        <v>33508</v>
      </c>
    </row>
    <row r="37" spans="1:25" x14ac:dyDescent="0.3">
      <c r="A37" s="31">
        <v>3512.05</v>
      </c>
      <c r="B37" s="32">
        <v>3847.98</v>
      </c>
      <c r="C37" s="32">
        <v>3707.36</v>
      </c>
      <c r="D37" s="32">
        <v>3648.4</v>
      </c>
      <c r="E37" s="32">
        <v>335</v>
      </c>
      <c r="F37" s="32">
        <v>4052.36</v>
      </c>
      <c r="G37" s="32">
        <v>3562.05</v>
      </c>
      <c r="H37" s="22">
        <f>SUM(A37:G37)+I28</f>
        <v>43792.53</v>
      </c>
      <c r="I37" s="33" t="s">
        <v>1</v>
      </c>
      <c r="K37" s="85">
        <v>5712</v>
      </c>
      <c r="L37" s="32">
        <v>323.5</v>
      </c>
      <c r="M37" s="32">
        <v>5672</v>
      </c>
      <c r="N37" s="32">
        <v>747.5</v>
      </c>
      <c r="O37" s="32">
        <v>5664</v>
      </c>
      <c r="P37" s="32">
        <v>50</v>
      </c>
      <c r="Q37" s="32">
        <v>4150</v>
      </c>
      <c r="R37" s="32">
        <v>4547</v>
      </c>
      <c r="S37" s="32">
        <v>444</v>
      </c>
      <c r="T37" s="32">
        <v>0</v>
      </c>
      <c r="U37" s="32">
        <v>5550</v>
      </c>
      <c r="V37" s="32">
        <v>102.5</v>
      </c>
      <c r="W37" s="32">
        <v>6316</v>
      </c>
      <c r="X37" s="22">
        <v>632</v>
      </c>
      <c r="Y37" s="33">
        <f>L37+N37+P37+R37+T37+V37+X37</f>
        <v>6402.5</v>
      </c>
    </row>
    <row r="38" spans="1:25" ht="15" thickBot="1" x14ac:dyDescent="0.35">
      <c r="A38" s="34">
        <f>A36-A37</f>
        <v>0</v>
      </c>
      <c r="B38" s="35">
        <f>B36-B37</f>
        <v>0</v>
      </c>
      <c r="C38" s="35">
        <f t="shared" ref="C38:F38" si="7">C36-C37</f>
        <v>0</v>
      </c>
      <c r="D38" s="35">
        <f t="shared" si="7"/>
        <v>0</v>
      </c>
      <c r="E38" s="35">
        <f t="shared" si="7"/>
        <v>0</v>
      </c>
      <c r="F38" s="35">
        <f t="shared" si="7"/>
        <v>0</v>
      </c>
      <c r="G38" s="35">
        <f>G36-G37</f>
        <v>0</v>
      </c>
      <c r="H38" s="35">
        <f>H36-H37</f>
        <v>0</v>
      </c>
      <c r="I38" s="36"/>
      <c r="K38" s="86">
        <f t="shared" ref="K38:X38" si="8">K36-K37</f>
        <v>0</v>
      </c>
      <c r="L38" s="86">
        <f t="shared" si="8"/>
        <v>0</v>
      </c>
      <c r="M38" s="86">
        <f t="shared" si="8"/>
        <v>0</v>
      </c>
      <c r="N38" s="86">
        <f t="shared" si="8"/>
        <v>0</v>
      </c>
      <c r="O38" s="86">
        <f t="shared" si="8"/>
        <v>0</v>
      </c>
      <c r="P38" s="86">
        <f t="shared" si="8"/>
        <v>0</v>
      </c>
      <c r="Q38" s="86">
        <f t="shared" si="8"/>
        <v>0</v>
      </c>
      <c r="R38" s="86">
        <f t="shared" si="8"/>
        <v>0</v>
      </c>
      <c r="S38" s="86">
        <f t="shared" si="8"/>
        <v>0</v>
      </c>
      <c r="T38" s="86">
        <f t="shared" si="8"/>
        <v>0</v>
      </c>
      <c r="U38" s="86">
        <f t="shared" si="8"/>
        <v>0</v>
      </c>
      <c r="V38" s="86">
        <f t="shared" si="8"/>
        <v>0</v>
      </c>
      <c r="W38" s="86">
        <f t="shared" si="8"/>
        <v>0</v>
      </c>
      <c r="X38" s="86">
        <f t="shared" si="8"/>
        <v>0</v>
      </c>
      <c r="Y38" s="87"/>
    </row>
    <row r="39" spans="1:25" ht="15.6" thickTop="1" thickBot="1" x14ac:dyDescent="0.35"/>
    <row r="40" spans="1:25" x14ac:dyDescent="0.3">
      <c r="A40" s="17">
        <v>45063</v>
      </c>
      <c r="B40" s="17">
        <v>45064</v>
      </c>
      <c r="C40" s="17">
        <v>45065</v>
      </c>
      <c r="D40" s="17">
        <v>45066</v>
      </c>
      <c r="E40" s="17">
        <v>45067</v>
      </c>
      <c r="F40" s="17">
        <v>45068</v>
      </c>
      <c r="G40" s="17">
        <v>45069</v>
      </c>
      <c r="H40" s="17"/>
      <c r="I40" s="13" t="s">
        <v>8</v>
      </c>
      <c r="K40" s="59">
        <v>45063</v>
      </c>
      <c r="L40" s="59"/>
      <c r="M40" s="59">
        <v>45064</v>
      </c>
      <c r="N40" s="59"/>
      <c r="O40" s="59">
        <v>45065</v>
      </c>
      <c r="P40" s="59"/>
      <c r="Q40" s="59">
        <v>45066</v>
      </c>
      <c r="R40" s="59"/>
      <c r="S40" s="59">
        <v>45067</v>
      </c>
      <c r="T40" s="59"/>
      <c r="U40" s="59">
        <v>45068</v>
      </c>
      <c r="V40" s="59"/>
      <c r="W40" s="59">
        <v>45069</v>
      </c>
      <c r="X40" s="59"/>
      <c r="Y40" s="13"/>
    </row>
    <row r="41" spans="1:25" ht="15" thickBot="1" x14ac:dyDescent="0.35">
      <c r="A41" s="21">
        <v>1628.8</v>
      </c>
      <c r="B41" s="22">
        <v>1583.8</v>
      </c>
      <c r="C41" s="22">
        <v>1293.9000000000001</v>
      </c>
      <c r="D41" s="22">
        <v>1005.35</v>
      </c>
      <c r="E41" s="22">
        <v>185</v>
      </c>
      <c r="F41" s="22">
        <v>1300.3499999999999</v>
      </c>
      <c r="G41" s="22">
        <v>515</v>
      </c>
      <c r="H41" s="37"/>
      <c r="I41" s="15">
        <v>4570</v>
      </c>
      <c r="K41" s="66" t="s">
        <v>10</v>
      </c>
      <c r="L41" s="66" t="s">
        <v>11</v>
      </c>
      <c r="M41" s="67" t="s">
        <v>10</v>
      </c>
      <c r="N41" s="67" t="s">
        <v>11</v>
      </c>
      <c r="O41" s="67" t="s">
        <v>10</v>
      </c>
      <c r="P41" s="67" t="s">
        <v>11</v>
      </c>
      <c r="Q41" s="67" t="s">
        <v>10</v>
      </c>
      <c r="R41" s="67" t="s">
        <v>11</v>
      </c>
      <c r="S41" s="67" t="s">
        <v>10</v>
      </c>
      <c r="T41" s="67" t="s">
        <v>11</v>
      </c>
      <c r="U41" s="67" t="s">
        <v>10</v>
      </c>
      <c r="V41" s="67" t="s">
        <v>11</v>
      </c>
      <c r="W41" s="67" t="s">
        <v>10</v>
      </c>
      <c r="X41" s="67" t="s">
        <v>11</v>
      </c>
      <c r="Y41" s="14"/>
    </row>
    <row r="42" spans="1:25" x14ac:dyDescent="0.3">
      <c r="A42" s="24">
        <v>1787.05</v>
      </c>
      <c r="B42" s="22">
        <v>2059.86</v>
      </c>
      <c r="C42" s="22">
        <v>1647.05</v>
      </c>
      <c r="D42" s="22">
        <v>2468.2800000000002</v>
      </c>
      <c r="E42" s="25">
        <v>185</v>
      </c>
      <c r="F42" s="22">
        <v>2212.98</v>
      </c>
      <c r="G42" s="22">
        <v>525.35</v>
      </c>
      <c r="H42" s="37"/>
      <c r="I42" s="15">
        <v>5904.32</v>
      </c>
      <c r="K42" s="75">
        <v>2460</v>
      </c>
      <c r="L42" s="76">
        <v>86</v>
      </c>
      <c r="M42" s="77">
        <v>2370</v>
      </c>
      <c r="N42" s="77">
        <v>50</v>
      </c>
      <c r="O42" s="77">
        <v>2740</v>
      </c>
      <c r="P42" s="77">
        <v>10</v>
      </c>
      <c r="Q42" s="77">
        <v>1900</v>
      </c>
      <c r="R42" s="77">
        <v>22.5</v>
      </c>
      <c r="S42" s="78">
        <v>60</v>
      </c>
      <c r="T42" s="69"/>
      <c r="U42" s="63">
        <v>2710</v>
      </c>
      <c r="V42" s="63">
        <v>50</v>
      </c>
      <c r="W42" s="63">
        <v>2650</v>
      </c>
      <c r="X42" s="65">
        <v>222.5</v>
      </c>
      <c r="Y42" s="14"/>
    </row>
    <row r="43" spans="1:25" x14ac:dyDescent="0.3">
      <c r="A43" s="24">
        <v>606.20000000000005</v>
      </c>
      <c r="B43" s="22">
        <v>536.20000000000005</v>
      </c>
      <c r="C43" s="22">
        <v>961.1</v>
      </c>
      <c r="D43" s="26">
        <v>349.65</v>
      </c>
      <c r="E43" s="22"/>
      <c r="F43" s="22">
        <v>649.65</v>
      </c>
      <c r="G43" s="22">
        <v>2079.6</v>
      </c>
      <c r="H43" s="37"/>
      <c r="I43" s="15">
        <v>4990.8</v>
      </c>
      <c r="K43" s="21">
        <v>2155</v>
      </c>
      <c r="L43" s="79">
        <v>42.5</v>
      </c>
      <c r="M43" s="43">
        <v>2165</v>
      </c>
      <c r="N43" s="43">
        <v>60</v>
      </c>
      <c r="O43" s="43">
        <v>2645</v>
      </c>
      <c r="P43" s="43">
        <v>7.5</v>
      </c>
      <c r="Q43" s="80">
        <v>1420</v>
      </c>
      <c r="R43" s="80"/>
      <c r="S43" s="43">
        <v>60</v>
      </c>
      <c r="T43" s="22"/>
      <c r="U43" s="22">
        <v>1915</v>
      </c>
      <c r="V43" s="22">
        <v>100</v>
      </c>
      <c r="W43" s="22">
        <v>1590</v>
      </c>
      <c r="X43" s="37">
        <v>60</v>
      </c>
      <c r="Y43" s="15"/>
    </row>
    <row r="44" spans="1:25" x14ac:dyDescent="0.3">
      <c r="A44" s="24"/>
      <c r="B44" s="22"/>
      <c r="C44" s="22"/>
      <c r="D44" s="25"/>
      <c r="E44" s="22"/>
      <c r="F44" s="22"/>
      <c r="G44" s="22">
        <v>302.45</v>
      </c>
      <c r="H44" s="37"/>
      <c r="I44" s="15">
        <v>6418.42</v>
      </c>
      <c r="K44" s="21">
        <v>885</v>
      </c>
      <c r="L44" s="79">
        <v>20</v>
      </c>
      <c r="M44" s="43">
        <v>1355</v>
      </c>
      <c r="N44" s="43" t="s">
        <v>14</v>
      </c>
      <c r="O44" s="43">
        <v>635</v>
      </c>
      <c r="P44" s="43"/>
      <c r="Q44" s="80">
        <v>640</v>
      </c>
      <c r="R44" s="81"/>
      <c r="S44" s="43">
        <v>210</v>
      </c>
      <c r="T44" s="22"/>
      <c r="U44" s="22">
        <v>290</v>
      </c>
      <c r="V44" s="22"/>
      <c r="W44" s="22">
        <v>540</v>
      </c>
      <c r="X44" s="37">
        <v>60</v>
      </c>
      <c r="Y44" s="15"/>
    </row>
    <row r="45" spans="1:25" x14ac:dyDescent="0.3">
      <c r="A45" s="24"/>
      <c r="B45" s="22"/>
      <c r="C45" s="22"/>
      <c r="D45" s="22"/>
      <c r="E45" s="22"/>
      <c r="F45" s="22"/>
      <c r="G45" s="22">
        <v>269.64999999999998</v>
      </c>
      <c r="H45" s="37"/>
      <c r="I45" s="15"/>
      <c r="K45" s="21">
        <v>222</v>
      </c>
      <c r="L45" s="79"/>
      <c r="M45" s="43">
        <v>324</v>
      </c>
      <c r="N45" s="43"/>
      <c r="O45" s="43">
        <v>144</v>
      </c>
      <c r="P45" s="43"/>
      <c r="Q45" s="43">
        <v>254</v>
      </c>
      <c r="R45" s="43"/>
      <c r="S45" s="43">
        <v>72</v>
      </c>
      <c r="T45" s="22"/>
      <c r="U45" s="22">
        <v>195</v>
      </c>
      <c r="V45" s="22"/>
      <c r="W45" s="22">
        <v>1190</v>
      </c>
      <c r="X45" s="37"/>
      <c r="Y45" s="15"/>
    </row>
    <row r="46" spans="1:25" x14ac:dyDescent="0.3">
      <c r="A46" s="24"/>
      <c r="B46" s="22"/>
      <c r="C46" s="22"/>
      <c r="D46" s="22"/>
      <c r="E46" s="22"/>
      <c r="F46" s="22"/>
      <c r="G46" s="22"/>
      <c r="H46" s="37"/>
      <c r="I46" s="15"/>
      <c r="K46" s="21"/>
      <c r="L46" s="79"/>
      <c r="M46" s="43">
        <v>72</v>
      </c>
      <c r="N46" s="43"/>
      <c r="O46" s="43"/>
      <c r="P46" s="43"/>
      <c r="Q46" s="43">
        <v>90</v>
      </c>
      <c r="R46" s="43"/>
      <c r="S46" s="43"/>
      <c r="T46" s="22"/>
      <c r="U46" s="22">
        <v>324</v>
      </c>
      <c r="V46" s="22"/>
      <c r="W46" s="22">
        <v>300</v>
      </c>
      <c r="X46" s="37"/>
      <c r="Y46" s="15"/>
    </row>
    <row r="47" spans="1:25" x14ac:dyDescent="0.3">
      <c r="A47" s="24"/>
      <c r="B47" s="22"/>
      <c r="C47" s="22"/>
      <c r="D47" s="22"/>
      <c r="E47" s="22"/>
      <c r="F47" s="22"/>
      <c r="G47" s="22"/>
      <c r="H47" s="37"/>
      <c r="I47" s="83"/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>
        <v>72</v>
      </c>
      <c r="X47" s="37"/>
      <c r="Y47" s="83"/>
    </row>
    <row r="48" spans="1:25" ht="15" thickBot="1" x14ac:dyDescent="0.35">
      <c r="A48" s="24"/>
      <c r="B48" s="22"/>
      <c r="C48" s="22"/>
      <c r="D48" s="22"/>
      <c r="E48" s="22"/>
      <c r="F48" s="22"/>
      <c r="G48" s="22"/>
      <c r="H48" s="37"/>
      <c r="I48" s="16">
        <f>SUM(I41:I47)</f>
        <v>21883.54</v>
      </c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7"/>
      <c r="Y48" s="16">
        <f>SUM(Y41:Y46)</f>
        <v>0</v>
      </c>
    </row>
    <row r="49" spans="1:25" ht="15" thickTop="1" x14ac:dyDescent="0.3">
      <c r="A49" s="24"/>
      <c r="B49" s="22"/>
      <c r="C49" s="22"/>
      <c r="D49" s="22"/>
      <c r="E49" s="22"/>
      <c r="F49" s="22"/>
      <c r="G49" s="22"/>
      <c r="H49" s="22"/>
      <c r="I49" s="38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38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</row>
    <row r="54" spans="1:25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</row>
    <row r="55" spans="1:25" x14ac:dyDescent="0.3">
      <c r="A55" s="24"/>
      <c r="B55" s="22"/>
      <c r="C55" s="22"/>
      <c r="D55" s="22"/>
      <c r="E55" s="22"/>
      <c r="F55" s="28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8"/>
      <c r="V55" s="28"/>
      <c r="W55" s="22"/>
      <c r="X55" s="22"/>
      <c r="Y55" s="23"/>
    </row>
    <row r="56" spans="1:25" x14ac:dyDescent="0.3">
      <c r="A56" s="24">
        <f t="shared" ref="A56:G56" si="9">SUM(A41:A55)</f>
        <v>4022.05</v>
      </c>
      <c r="B56" s="22">
        <f t="shared" si="9"/>
        <v>4179.8599999999997</v>
      </c>
      <c r="C56" s="22">
        <f t="shared" si="9"/>
        <v>3902.0499999999997</v>
      </c>
      <c r="D56" s="22">
        <f t="shared" si="9"/>
        <v>3823.28</v>
      </c>
      <c r="E56" s="22">
        <f t="shared" si="9"/>
        <v>370</v>
      </c>
      <c r="F56" s="22">
        <f t="shared" si="9"/>
        <v>4162.9799999999996</v>
      </c>
      <c r="G56" s="22">
        <f t="shared" si="9"/>
        <v>3692.0499999999997</v>
      </c>
      <c r="H56" s="29">
        <f>SUM(A56:G56)+I48</f>
        <v>46035.81</v>
      </c>
      <c r="I56" s="30" t="s">
        <v>7</v>
      </c>
      <c r="K56" s="24">
        <f t="shared" ref="K56" si="10">SUM(K42:K55)</f>
        <v>5722</v>
      </c>
      <c r="L56" s="22">
        <f>SUM(L42:L55)</f>
        <v>148.5</v>
      </c>
      <c r="M56" s="22">
        <f t="shared" ref="M56:X56" si="11">SUM(M42:M55)</f>
        <v>6286</v>
      </c>
      <c r="N56" s="22">
        <f t="shared" si="11"/>
        <v>110</v>
      </c>
      <c r="O56" s="22">
        <f t="shared" si="11"/>
        <v>6164</v>
      </c>
      <c r="P56" s="22">
        <f t="shared" si="11"/>
        <v>17.5</v>
      </c>
      <c r="Q56" s="22">
        <f t="shared" si="11"/>
        <v>4304</v>
      </c>
      <c r="R56" s="22">
        <f t="shared" si="11"/>
        <v>22.5</v>
      </c>
      <c r="S56" s="22">
        <f t="shared" si="11"/>
        <v>402</v>
      </c>
      <c r="T56" s="22">
        <f t="shared" si="11"/>
        <v>0</v>
      </c>
      <c r="U56" s="22">
        <f t="shared" si="11"/>
        <v>5434</v>
      </c>
      <c r="V56" s="22">
        <f t="shared" si="11"/>
        <v>150</v>
      </c>
      <c r="W56" s="22">
        <f t="shared" si="11"/>
        <v>6342</v>
      </c>
      <c r="X56" s="22">
        <f t="shared" si="11"/>
        <v>342.5</v>
      </c>
      <c r="Y56" s="33">
        <f>K57+M57+O57+Q57+S57+U57+W57</f>
        <v>34654</v>
      </c>
    </row>
    <row r="57" spans="1:25" x14ac:dyDescent="0.3">
      <c r="A57" s="31">
        <v>4022.05</v>
      </c>
      <c r="B57" s="32">
        <v>4179.8599999999997</v>
      </c>
      <c r="C57" s="32">
        <v>3902.05</v>
      </c>
      <c r="D57" s="32">
        <v>3823.28</v>
      </c>
      <c r="E57" s="32">
        <v>370</v>
      </c>
      <c r="F57" s="32">
        <v>4162.9799999999996</v>
      </c>
      <c r="G57" s="32">
        <v>3692.05</v>
      </c>
      <c r="H57" s="22">
        <f>SUM(A57:G57)+I48</f>
        <v>46035.81</v>
      </c>
      <c r="I57" s="33" t="s">
        <v>1</v>
      </c>
      <c r="K57" s="85">
        <v>5722</v>
      </c>
      <c r="L57" s="32">
        <v>148.5</v>
      </c>
      <c r="M57" s="32">
        <v>6286</v>
      </c>
      <c r="N57" s="32">
        <v>110</v>
      </c>
      <c r="O57" s="32">
        <v>6164</v>
      </c>
      <c r="P57" s="32">
        <v>17.5</v>
      </c>
      <c r="Q57" s="32">
        <v>4304</v>
      </c>
      <c r="R57" s="32">
        <v>22.5</v>
      </c>
      <c r="S57" s="32">
        <v>402</v>
      </c>
      <c r="T57" s="32">
        <v>0</v>
      </c>
      <c r="U57" s="32">
        <v>5434</v>
      </c>
      <c r="V57" s="32">
        <v>150</v>
      </c>
      <c r="W57" s="32">
        <v>6342</v>
      </c>
      <c r="X57" s="22">
        <v>342</v>
      </c>
      <c r="Y57" s="33">
        <f>L57+N57+P57+R57+T57+V57+X57</f>
        <v>790.5</v>
      </c>
    </row>
    <row r="58" spans="1:25" ht="15" thickBot="1" x14ac:dyDescent="0.35">
      <c r="A58" s="34">
        <f>A56-A57</f>
        <v>0</v>
      </c>
      <c r="B58" s="35">
        <f>B56-B57</f>
        <v>0</v>
      </c>
      <c r="C58" s="35">
        <f t="shared" ref="C58:F58" si="12">C56-C57</f>
        <v>0</v>
      </c>
      <c r="D58" s="35">
        <f t="shared" si="12"/>
        <v>0</v>
      </c>
      <c r="E58" s="35">
        <f t="shared" si="12"/>
        <v>0</v>
      </c>
      <c r="F58" s="35">
        <f t="shared" si="12"/>
        <v>0</v>
      </c>
      <c r="G58" s="35">
        <f>G56-G57</f>
        <v>0</v>
      </c>
      <c r="H58" s="35"/>
      <c r="I58" s="36"/>
      <c r="K58" s="86">
        <f t="shared" ref="K58:X58" si="13">K56-K57</f>
        <v>0</v>
      </c>
      <c r="L58" s="86">
        <f t="shared" si="13"/>
        <v>0</v>
      </c>
      <c r="M58" s="86">
        <f t="shared" si="13"/>
        <v>0</v>
      </c>
      <c r="N58" s="86">
        <f t="shared" si="13"/>
        <v>0</v>
      </c>
      <c r="O58" s="86">
        <f t="shared" si="13"/>
        <v>0</v>
      </c>
      <c r="P58" s="86">
        <f t="shared" si="13"/>
        <v>0</v>
      </c>
      <c r="Q58" s="86">
        <f t="shared" si="13"/>
        <v>0</v>
      </c>
      <c r="R58" s="86">
        <f t="shared" si="13"/>
        <v>0</v>
      </c>
      <c r="S58" s="86">
        <f t="shared" si="13"/>
        <v>0</v>
      </c>
      <c r="T58" s="86">
        <f t="shared" si="13"/>
        <v>0</v>
      </c>
      <c r="U58" s="86">
        <f t="shared" si="13"/>
        <v>0</v>
      </c>
      <c r="V58" s="86">
        <f t="shared" si="13"/>
        <v>0</v>
      </c>
      <c r="W58" s="86">
        <f t="shared" si="13"/>
        <v>0</v>
      </c>
      <c r="X58" s="86">
        <f t="shared" si="13"/>
        <v>0.5</v>
      </c>
      <c r="Y58" s="87"/>
    </row>
    <row r="59" spans="1:25" ht="15.6" thickTop="1" thickBot="1" x14ac:dyDescent="0.35"/>
    <row r="60" spans="1:25" x14ac:dyDescent="0.3">
      <c r="A60" s="17">
        <v>45070</v>
      </c>
      <c r="B60" s="17">
        <v>45071</v>
      </c>
      <c r="C60" s="17">
        <v>45072</v>
      </c>
      <c r="D60" s="17">
        <v>45073</v>
      </c>
      <c r="E60" s="17">
        <v>45074</v>
      </c>
      <c r="F60" s="17">
        <v>45075</v>
      </c>
      <c r="G60" s="17">
        <v>45076</v>
      </c>
      <c r="H60" s="17"/>
      <c r="I60" s="13" t="s">
        <v>8</v>
      </c>
      <c r="K60" s="59">
        <v>45070</v>
      </c>
      <c r="L60" s="59"/>
      <c r="M60" s="59">
        <v>45071</v>
      </c>
      <c r="N60" s="59"/>
      <c r="O60" s="59">
        <v>45072</v>
      </c>
      <c r="P60" s="59"/>
      <c r="Q60" s="59">
        <v>45073</v>
      </c>
      <c r="R60" s="59"/>
      <c r="S60" s="59">
        <v>45074</v>
      </c>
      <c r="T60" s="59"/>
      <c r="U60" s="59">
        <v>45075</v>
      </c>
      <c r="V60" s="59"/>
      <c r="W60" s="59">
        <v>45076</v>
      </c>
      <c r="X60" s="59"/>
      <c r="Y60" s="13"/>
    </row>
    <row r="61" spans="1:25" ht="15" thickBot="1" x14ac:dyDescent="0.35">
      <c r="A61" s="21">
        <v>3235.52</v>
      </c>
      <c r="B61" s="22">
        <v>1080.3499999999999</v>
      </c>
      <c r="C61" s="22">
        <v>1768.8</v>
      </c>
      <c r="D61" s="22">
        <v>976.9</v>
      </c>
      <c r="E61" s="22">
        <v>185</v>
      </c>
      <c r="F61" s="22">
        <v>1288.8</v>
      </c>
      <c r="G61" s="22">
        <v>2456.6</v>
      </c>
      <c r="H61" s="37"/>
      <c r="I61" s="14">
        <v>5535.3</v>
      </c>
      <c r="K61" s="66" t="s">
        <v>10</v>
      </c>
      <c r="L61" s="66" t="s">
        <v>11</v>
      </c>
      <c r="M61" s="67" t="s">
        <v>10</v>
      </c>
      <c r="N61" s="67" t="s">
        <v>11</v>
      </c>
      <c r="O61" s="67" t="s">
        <v>10</v>
      </c>
      <c r="P61" s="67" t="s">
        <v>11</v>
      </c>
      <c r="Q61" s="67" t="s">
        <v>10</v>
      </c>
      <c r="R61" s="67" t="s">
        <v>11</v>
      </c>
      <c r="S61" s="67" t="s">
        <v>10</v>
      </c>
      <c r="T61" s="67" t="s">
        <v>11</v>
      </c>
      <c r="U61" s="67" t="s">
        <v>10</v>
      </c>
      <c r="V61" s="67" t="s">
        <v>11</v>
      </c>
      <c r="W61" s="67" t="s">
        <v>10</v>
      </c>
      <c r="X61" s="67" t="s">
        <v>11</v>
      </c>
      <c r="Y61" s="14"/>
    </row>
    <row r="62" spans="1:25" x14ac:dyDescent="0.3">
      <c r="A62" s="24"/>
      <c r="B62" s="22">
        <v>1314.96</v>
      </c>
      <c r="C62" s="22">
        <v>1862.1</v>
      </c>
      <c r="D62" s="22">
        <v>138.44999999999999</v>
      </c>
      <c r="E62" s="25"/>
      <c r="F62" s="22">
        <v>2068.5</v>
      </c>
      <c r="G62" s="22">
        <v>782.45</v>
      </c>
      <c r="H62" s="37"/>
      <c r="I62" s="14">
        <v>5238.82</v>
      </c>
      <c r="K62" s="75">
        <v>2520</v>
      </c>
      <c r="L62" s="76">
        <v>1600</v>
      </c>
      <c r="M62" s="77">
        <v>310</v>
      </c>
      <c r="N62" s="77">
        <v>27.5</v>
      </c>
      <c r="O62" s="77">
        <v>3390</v>
      </c>
      <c r="P62" s="77">
        <v>1620</v>
      </c>
      <c r="Q62" s="77">
        <v>2050</v>
      </c>
      <c r="R62" s="77">
        <v>720</v>
      </c>
      <c r="S62" s="78">
        <v>120</v>
      </c>
      <c r="T62" s="69"/>
      <c r="U62" s="63">
        <v>2700</v>
      </c>
      <c r="V62" s="63">
        <v>600</v>
      </c>
      <c r="W62" s="63">
        <v>4250</v>
      </c>
      <c r="X62" s="65">
        <v>1620</v>
      </c>
      <c r="Y62" s="14"/>
    </row>
    <row r="63" spans="1:25" x14ac:dyDescent="0.3">
      <c r="A63" s="24">
        <v>609.65</v>
      </c>
      <c r="B63" s="22">
        <v>274.64999999999998</v>
      </c>
      <c r="C63" s="22">
        <v>311.2</v>
      </c>
      <c r="D63" s="26">
        <v>2304.54</v>
      </c>
      <c r="E63" s="22"/>
      <c r="F63" s="22">
        <v>666.2</v>
      </c>
      <c r="G63" s="22">
        <v>253.1</v>
      </c>
      <c r="H63" s="37"/>
      <c r="I63" s="15">
        <v>4755</v>
      </c>
      <c r="K63" s="21">
        <v>1985</v>
      </c>
      <c r="L63" s="79">
        <v>42.5</v>
      </c>
      <c r="M63" s="43">
        <v>1010</v>
      </c>
      <c r="N63" s="43"/>
      <c r="O63" s="43">
        <v>2805</v>
      </c>
      <c r="P63" s="43">
        <v>89</v>
      </c>
      <c r="Q63" s="80">
        <v>1240</v>
      </c>
      <c r="R63" s="80">
        <v>60</v>
      </c>
      <c r="S63" s="43">
        <v>210</v>
      </c>
      <c r="T63" s="22"/>
      <c r="U63" s="22">
        <v>2030</v>
      </c>
      <c r="V63" s="22">
        <v>372</v>
      </c>
      <c r="W63" s="22">
        <v>60</v>
      </c>
      <c r="X63" s="37">
        <v>47.5</v>
      </c>
      <c r="Y63" s="15"/>
    </row>
    <row r="64" spans="1:25" x14ac:dyDescent="0.3">
      <c r="A64" s="24"/>
      <c r="B64" s="22"/>
      <c r="C64" s="22"/>
      <c r="D64" s="25">
        <v>524.65</v>
      </c>
      <c r="E64" s="22"/>
      <c r="F64" s="22"/>
      <c r="G64" s="22"/>
      <c r="H64" s="37"/>
      <c r="I64" s="15">
        <v>4491.72</v>
      </c>
      <c r="K64" s="21">
        <v>775</v>
      </c>
      <c r="L64" s="79"/>
      <c r="M64" s="43">
        <v>130</v>
      </c>
      <c r="N64" s="43"/>
      <c r="O64" s="43">
        <v>735</v>
      </c>
      <c r="P64" s="43">
        <v>273.89999999999998</v>
      </c>
      <c r="Q64" s="80">
        <v>180</v>
      </c>
      <c r="R64" s="81">
        <v>60</v>
      </c>
      <c r="S64" s="43">
        <v>150</v>
      </c>
      <c r="T64" s="22"/>
      <c r="U64" s="22">
        <v>60</v>
      </c>
      <c r="V64" s="22">
        <v>42.5</v>
      </c>
      <c r="W64" s="22">
        <v>120</v>
      </c>
      <c r="X64" s="37">
        <v>449.9</v>
      </c>
      <c r="Y64" s="15"/>
    </row>
    <row r="65" spans="1:25" x14ac:dyDescent="0.3">
      <c r="A65" s="24"/>
      <c r="B65" s="22"/>
      <c r="C65" s="22"/>
      <c r="D65" s="22"/>
      <c r="E65" s="22"/>
      <c r="F65" s="22"/>
      <c r="G65" s="22"/>
      <c r="H65" s="37"/>
      <c r="I65" s="15">
        <v>1225.05</v>
      </c>
      <c r="K65" s="21">
        <v>204</v>
      </c>
      <c r="L65" s="79"/>
      <c r="M65" s="43">
        <v>72</v>
      </c>
      <c r="N65" s="43"/>
      <c r="O65" s="43">
        <v>398</v>
      </c>
      <c r="P65" s="43"/>
      <c r="Q65" s="43">
        <v>530</v>
      </c>
      <c r="R65" s="43"/>
      <c r="S65" s="43">
        <v>72</v>
      </c>
      <c r="T65" s="22"/>
      <c r="U65" s="22">
        <v>510</v>
      </c>
      <c r="V65" s="22">
        <v>60</v>
      </c>
      <c r="W65" s="22">
        <v>980</v>
      </c>
      <c r="X65" s="37"/>
      <c r="Y65" s="15"/>
    </row>
    <row r="66" spans="1:25" x14ac:dyDescent="0.3">
      <c r="A66" s="24"/>
      <c r="B66" s="22"/>
      <c r="C66" s="22"/>
      <c r="D66" s="22"/>
      <c r="E66" s="22"/>
      <c r="F66" s="22"/>
      <c r="G66" s="22"/>
      <c r="H66" s="37"/>
      <c r="I66" s="15"/>
      <c r="K66" s="21"/>
      <c r="L66" s="79"/>
      <c r="M66" s="43"/>
      <c r="N66" s="43"/>
      <c r="O66" s="43">
        <v>72</v>
      </c>
      <c r="P66" s="43"/>
      <c r="Q66" s="43">
        <v>300</v>
      </c>
      <c r="R66" s="43"/>
      <c r="S66" s="43"/>
      <c r="T66" s="22"/>
      <c r="U66" s="22">
        <v>300</v>
      </c>
      <c r="V66" s="22"/>
      <c r="W66" s="22">
        <v>300</v>
      </c>
      <c r="X66" s="37"/>
      <c r="Y66" s="15"/>
    </row>
    <row r="67" spans="1:25" ht="15" thickBot="1" x14ac:dyDescent="0.35">
      <c r="A67" s="24"/>
      <c r="B67" s="22"/>
      <c r="C67" s="22"/>
      <c r="D67" s="22"/>
      <c r="E67" s="22"/>
      <c r="F67" s="22"/>
      <c r="G67" s="22"/>
      <c r="H67" s="37"/>
      <c r="I67" s="16">
        <f>SUM(I61:I66)</f>
        <v>21245.89</v>
      </c>
      <c r="K67" s="21"/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>
        <v>72</v>
      </c>
      <c r="X67" s="37"/>
      <c r="Y67" s="83"/>
    </row>
    <row r="68" spans="1:25" ht="15.6" thickTop="1" thickBot="1" x14ac:dyDescent="0.35">
      <c r="A68" s="24"/>
      <c r="B68" s="22"/>
      <c r="C68" s="22"/>
      <c r="D68" s="22"/>
      <c r="E68" s="22"/>
      <c r="F68" s="22"/>
      <c r="G68" s="22"/>
      <c r="H68" s="22"/>
      <c r="I68" s="38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37"/>
      <c r="Y68" s="16">
        <f>SUM(Y61:Y66)</f>
        <v>0</v>
      </c>
    </row>
    <row r="69" spans="1:25" ht="15" thickTop="1" x14ac:dyDescent="0.3">
      <c r="A69" s="24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38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</row>
    <row r="73" spans="1:25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3"/>
    </row>
    <row r="74" spans="1:25" x14ac:dyDescent="0.3">
      <c r="A74" s="24"/>
      <c r="B74" s="22"/>
      <c r="C74" s="22"/>
      <c r="D74" s="22"/>
      <c r="E74" s="22"/>
      <c r="F74" s="28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8"/>
      <c r="V74" s="28"/>
      <c r="W74" s="22"/>
      <c r="X74" s="22"/>
      <c r="Y74" s="23"/>
    </row>
    <row r="75" spans="1:25" x14ac:dyDescent="0.3">
      <c r="A75" s="24">
        <f t="shared" ref="A75:G75" si="14">SUM(A61:A74)</f>
        <v>3845.17</v>
      </c>
      <c r="B75" s="22">
        <f t="shared" si="14"/>
        <v>2669.96</v>
      </c>
      <c r="C75" s="22">
        <f t="shared" si="14"/>
        <v>3942.0999999999995</v>
      </c>
      <c r="D75" s="22">
        <f t="shared" si="14"/>
        <v>3944.54</v>
      </c>
      <c r="E75" s="22">
        <f t="shared" si="14"/>
        <v>185</v>
      </c>
      <c r="F75" s="22">
        <f t="shared" si="14"/>
        <v>4023.5</v>
      </c>
      <c r="G75" s="22">
        <f t="shared" si="14"/>
        <v>3492.15</v>
      </c>
      <c r="H75" s="29">
        <f>SUM(A75:G75)+I67</f>
        <v>43348.31</v>
      </c>
      <c r="I75" s="30" t="s">
        <v>7</v>
      </c>
      <c r="K75" s="24">
        <f t="shared" ref="K75:X75" si="15">SUM(K62:K74)</f>
        <v>5484</v>
      </c>
      <c r="L75" s="22">
        <f t="shared" si="15"/>
        <v>1642.5</v>
      </c>
      <c r="M75" s="22">
        <f t="shared" si="15"/>
        <v>1522</v>
      </c>
      <c r="N75" s="22">
        <f t="shared" si="15"/>
        <v>27.5</v>
      </c>
      <c r="O75" s="22">
        <f t="shared" si="15"/>
        <v>7400</v>
      </c>
      <c r="P75" s="22">
        <f t="shared" si="15"/>
        <v>1982.9</v>
      </c>
      <c r="Q75" s="22">
        <f t="shared" si="15"/>
        <v>4300</v>
      </c>
      <c r="R75" s="22">
        <f t="shared" si="15"/>
        <v>840</v>
      </c>
      <c r="S75" s="22">
        <f t="shared" si="15"/>
        <v>552</v>
      </c>
      <c r="T75" s="22">
        <f t="shared" si="15"/>
        <v>0</v>
      </c>
      <c r="U75" s="22">
        <f t="shared" si="15"/>
        <v>5600</v>
      </c>
      <c r="V75" s="22">
        <f t="shared" si="15"/>
        <v>1074.5</v>
      </c>
      <c r="W75" s="22">
        <f t="shared" si="15"/>
        <v>5782</v>
      </c>
      <c r="X75" s="22">
        <f t="shared" si="15"/>
        <v>2117.4</v>
      </c>
      <c r="Y75" s="33">
        <f>K76+M76+O76+Q76+S76+U76+W76</f>
        <v>30640</v>
      </c>
    </row>
    <row r="76" spans="1:25" x14ac:dyDescent="0.3">
      <c r="A76" s="31">
        <v>3845.17</v>
      </c>
      <c r="B76" s="32">
        <v>2669.96</v>
      </c>
      <c r="C76" s="32">
        <v>3942.1</v>
      </c>
      <c r="D76" s="32">
        <v>3944.54</v>
      </c>
      <c r="E76" s="32">
        <v>185</v>
      </c>
      <c r="F76" s="32">
        <v>4023.5</v>
      </c>
      <c r="G76" s="32">
        <v>3492.15</v>
      </c>
      <c r="H76" s="22">
        <f>SUM(A76:G76)+I67</f>
        <v>43348.31</v>
      </c>
      <c r="I76" s="33" t="s">
        <v>1</v>
      </c>
      <c r="K76" s="85">
        <v>5484</v>
      </c>
      <c r="L76" s="32">
        <v>1642.5</v>
      </c>
      <c r="M76" s="32">
        <v>1522</v>
      </c>
      <c r="N76" s="32">
        <v>27.5</v>
      </c>
      <c r="O76" s="32">
        <v>7400</v>
      </c>
      <c r="P76" s="32">
        <v>1982.9</v>
      </c>
      <c r="Q76" s="32">
        <v>4300</v>
      </c>
      <c r="R76" s="32">
        <v>840</v>
      </c>
      <c r="S76" s="32">
        <v>552</v>
      </c>
      <c r="T76" s="32"/>
      <c r="U76" s="32">
        <v>5600</v>
      </c>
      <c r="V76" s="32">
        <v>1074.5</v>
      </c>
      <c r="W76" s="32">
        <v>5782</v>
      </c>
      <c r="X76" s="22">
        <v>2117.4</v>
      </c>
      <c r="Y76" s="33">
        <f>L76+N76+P76+R76+T76+V76+X76</f>
        <v>7684.7999999999993</v>
      </c>
    </row>
    <row r="77" spans="1:25" ht="15" thickBot="1" x14ac:dyDescent="0.35">
      <c r="A77" s="34">
        <f>A75-A76</f>
        <v>0</v>
      </c>
      <c r="B77" s="35">
        <f>B75-B76</f>
        <v>0</v>
      </c>
      <c r="C77" s="35">
        <f t="shared" ref="C77:F77" si="16">C75-C76</f>
        <v>0</v>
      </c>
      <c r="D77" s="35">
        <f t="shared" si="16"/>
        <v>0</v>
      </c>
      <c r="E77" s="35">
        <f t="shared" si="16"/>
        <v>0</v>
      </c>
      <c r="F77" s="35">
        <f t="shared" si="16"/>
        <v>0</v>
      </c>
      <c r="G77" s="35">
        <f>G75-G76</f>
        <v>0</v>
      </c>
      <c r="H77" s="35"/>
      <c r="I77" s="36"/>
      <c r="K77" s="86">
        <f t="shared" ref="K77:X77" si="17">K75-K76</f>
        <v>0</v>
      </c>
      <c r="L77" s="86">
        <f t="shared" si="17"/>
        <v>0</v>
      </c>
      <c r="M77" s="86">
        <f t="shared" si="17"/>
        <v>0</v>
      </c>
      <c r="N77" s="86">
        <f t="shared" si="17"/>
        <v>0</v>
      </c>
      <c r="O77" s="86">
        <f t="shared" si="17"/>
        <v>0</v>
      </c>
      <c r="P77" s="86">
        <f t="shared" si="17"/>
        <v>0</v>
      </c>
      <c r="Q77" s="86">
        <f t="shared" si="17"/>
        <v>0</v>
      </c>
      <c r="R77" s="86">
        <f t="shared" si="17"/>
        <v>0</v>
      </c>
      <c r="S77" s="86">
        <f t="shared" si="17"/>
        <v>0</v>
      </c>
      <c r="T77" s="86">
        <f t="shared" si="17"/>
        <v>0</v>
      </c>
      <c r="U77" s="86">
        <f t="shared" si="17"/>
        <v>0</v>
      </c>
      <c r="V77" s="86">
        <f t="shared" si="17"/>
        <v>0</v>
      </c>
      <c r="W77" s="86">
        <f t="shared" si="17"/>
        <v>0</v>
      </c>
      <c r="X77" s="86">
        <f t="shared" si="17"/>
        <v>0</v>
      </c>
      <c r="Y77" s="87"/>
    </row>
    <row r="78" spans="1:25" ht="15.6" thickTop="1" thickBot="1" x14ac:dyDescent="0.35"/>
    <row r="79" spans="1:25" x14ac:dyDescent="0.3">
      <c r="A79" s="17">
        <v>44951</v>
      </c>
      <c r="B79" s="18">
        <v>44952</v>
      </c>
      <c r="C79" s="18">
        <v>44953</v>
      </c>
      <c r="D79" s="18">
        <v>44954</v>
      </c>
      <c r="E79" s="18">
        <v>44955</v>
      </c>
      <c r="F79" s="18">
        <v>44956</v>
      </c>
      <c r="G79" s="18">
        <v>44957</v>
      </c>
      <c r="H79" s="39"/>
      <c r="I79" s="13" t="s">
        <v>8</v>
      </c>
    </row>
    <row r="80" spans="1:25" x14ac:dyDescent="0.3">
      <c r="A80" s="21"/>
      <c r="B80" s="22"/>
      <c r="C80" s="22"/>
      <c r="D80" s="22"/>
      <c r="E80" s="22"/>
      <c r="F80" s="22"/>
      <c r="G80" s="22"/>
      <c r="H80" s="37"/>
      <c r="I80" s="14"/>
    </row>
    <row r="81" spans="1:9" x14ac:dyDescent="0.3">
      <c r="A81" s="24"/>
      <c r="B81" s="22"/>
      <c r="C81" s="22"/>
      <c r="D81" s="22"/>
      <c r="E81" s="25"/>
      <c r="F81" s="22"/>
      <c r="G81" s="22"/>
      <c r="H81" s="37"/>
      <c r="I81" s="14"/>
    </row>
    <row r="82" spans="1:9" x14ac:dyDescent="0.3">
      <c r="A82" s="24"/>
      <c r="B82" s="22"/>
      <c r="C82" s="22"/>
      <c r="D82" s="26"/>
      <c r="E82" s="22"/>
      <c r="F82" s="22"/>
      <c r="G82" s="22"/>
      <c r="H82" s="37"/>
      <c r="I82" s="15"/>
    </row>
    <row r="83" spans="1:9" x14ac:dyDescent="0.3">
      <c r="A83" s="24"/>
      <c r="B83" s="22"/>
      <c r="C83" s="22"/>
      <c r="D83" s="25"/>
      <c r="E83" s="22"/>
      <c r="F83" s="22"/>
      <c r="G83" s="22"/>
      <c r="H83" s="37"/>
      <c r="I83" s="15"/>
    </row>
    <row r="84" spans="1:9" x14ac:dyDescent="0.3">
      <c r="A84" s="24"/>
      <c r="B84" s="22"/>
      <c r="C84" s="22"/>
      <c r="D84" s="22"/>
      <c r="E84" s="22"/>
      <c r="F84" s="22"/>
      <c r="G84" s="22"/>
      <c r="H84" s="37"/>
      <c r="I84" s="15"/>
    </row>
    <row r="85" spans="1:9" x14ac:dyDescent="0.3">
      <c r="A85" s="24"/>
      <c r="B85" s="22"/>
      <c r="C85" s="22"/>
      <c r="D85" s="22"/>
      <c r="E85" s="22"/>
      <c r="F85" s="22"/>
      <c r="G85" s="22"/>
      <c r="H85" s="37"/>
      <c r="I85" s="15"/>
    </row>
    <row r="86" spans="1:9" ht="15" thickBot="1" x14ac:dyDescent="0.35">
      <c r="A86" s="24"/>
      <c r="B86" s="22"/>
      <c r="C86" s="22"/>
      <c r="D86" s="22"/>
      <c r="E86" s="22"/>
      <c r="F86" s="22"/>
      <c r="G86" s="22"/>
      <c r="H86" s="37"/>
      <c r="I86" s="16">
        <f>SUM(I80:I85)</f>
        <v>0</v>
      </c>
    </row>
    <row r="87" spans="1:9" ht="15" thickTop="1" x14ac:dyDescent="0.3">
      <c r="A87" s="24"/>
      <c r="B87" s="22"/>
      <c r="C87" s="22"/>
      <c r="D87" s="22"/>
      <c r="E87" s="22"/>
      <c r="F87" s="22"/>
      <c r="G87" s="22"/>
      <c r="H87" s="22"/>
      <c r="I87" s="40"/>
    </row>
    <row r="88" spans="1:9" x14ac:dyDescent="0.3">
      <c r="A88" s="24"/>
      <c r="B88" s="22"/>
      <c r="C88" s="22"/>
      <c r="D88" s="22"/>
      <c r="E88" s="22"/>
      <c r="F88" s="22"/>
      <c r="G88" s="22"/>
      <c r="H88" s="22"/>
      <c r="I88" s="27"/>
    </row>
    <row r="89" spans="1:9" x14ac:dyDescent="0.3">
      <c r="A89" s="24"/>
      <c r="B89" s="22"/>
      <c r="C89" s="22"/>
      <c r="D89" s="22"/>
      <c r="E89" s="22"/>
      <c r="F89" s="22"/>
      <c r="G89" s="22"/>
      <c r="H89" s="22"/>
      <c r="I89" s="27"/>
    </row>
    <row r="90" spans="1:9" x14ac:dyDescent="0.3">
      <c r="A90" s="24"/>
      <c r="B90" s="22"/>
      <c r="C90" s="22"/>
      <c r="D90" s="22"/>
      <c r="E90" s="22"/>
      <c r="F90" s="22"/>
      <c r="G90" s="22"/>
      <c r="H90" s="22"/>
      <c r="I90" s="23"/>
    </row>
    <row r="91" spans="1:9" x14ac:dyDescent="0.3">
      <c r="A91" s="24"/>
      <c r="B91" s="22"/>
      <c r="C91" s="22"/>
      <c r="D91" s="22"/>
      <c r="E91" s="22"/>
      <c r="F91" s="22"/>
      <c r="G91" s="22"/>
      <c r="H91" s="22"/>
      <c r="I91" s="23"/>
    </row>
    <row r="92" spans="1:9" x14ac:dyDescent="0.3">
      <c r="A92" s="24"/>
      <c r="B92" s="22"/>
      <c r="C92" s="22"/>
      <c r="D92" s="22"/>
      <c r="E92" s="22"/>
      <c r="F92" s="22"/>
      <c r="G92" s="22"/>
      <c r="H92" s="22"/>
      <c r="I92" s="23"/>
    </row>
    <row r="93" spans="1:9" x14ac:dyDescent="0.3">
      <c r="A93" s="24"/>
      <c r="B93" s="22"/>
      <c r="C93" s="22"/>
      <c r="D93" s="22"/>
      <c r="E93" s="22"/>
      <c r="F93" s="28"/>
      <c r="G93" s="22"/>
      <c r="H93" s="22"/>
      <c r="I93" s="23"/>
    </row>
    <row r="94" spans="1:9" x14ac:dyDescent="0.3">
      <c r="A94" s="24">
        <f t="shared" ref="A94:G94" si="18">SUM(A80:A93)</f>
        <v>0</v>
      </c>
      <c r="B94" s="22">
        <f t="shared" si="18"/>
        <v>0</v>
      </c>
      <c r="C94" s="22">
        <f t="shared" si="18"/>
        <v>0</v>
      </c>
      <c r="D94" s="22">
        <f t="shared" si="18"/>
        <v>0</v>
      </c>
      <c r="E94" s="22">
        <f t="shared" si="18"/>
        <v>0</v>
      </c>
      <c r="F94" s="22">
        <f t="shared" si="18"/>
        <v>0</v>
      </c>
      <c r="G94" s="22">
        <f t="shared" si="18"/>
        <v>0</v>
      </c>
      <c r="H94" s="29">
        <f>SUM(A94:G94)+I86</f>
        <v>0</v>
      </c>
      <c r="I94" s="30" t="s">
        <v>7</v>
      </c>
    </row>
    <row r="95" spans="1:9" x14ac:dyDescent="0.3">
      <c r="A95" s="31"/>
      <c r="B95" s="32"/>
      <c r="C95" s="32"/>
      <c r="D95" s="32"/>
      <c r="E95" s="32"/>
      <c r="F95" s="32"/>
      <c r="G95" s="32"/>
      <c r="H95" s="22">
        <f>SUM(A95:G95)</f>
        <v>0</v>
      </c>
      <c r="I95" s="33" t="s">
        <v>1</v>
      </c>
    </row>
    <row r="96" spans="1:9" ht="15" thickBot="1" x14ac:dyDescent="0.35">
      <c r="A96" s="34">
        <f>A94-A95</f>
        <v>0</v>
      </c>
      <c r="B96" s="35">
        <f>B94-B95</f>
        <v>0</v>
      </c>
      <c r="C96" s="35">
        <f t="shared" ref="C96:F96" si="19">C94-C95</f>
        <v>0</v>
      </c>
      <c r="D96" s="35">
        <f t="shared" si="19"/>
        <v>0</v>
      </c>
      <c r="E96" s="35">
        <f t="shared" si="19"/>
        <v>0</v>
      </c>
      <c r="F96" s="35">
        <f t="shared" si="19"/>
        <v>0</v>
      </c>
      <c r="G96" s="35">
        <f>G94-G95</f>
        <v>0</v>
      </c>
      <c r="H96" s="35"/>
      <c r="I96" s="36"/>
    </row>
    <row r="97" ht="15" thickTop="1" x14ac:dyDescent="0.3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476C-6D22-4E9F-8C4E-76A21A4508EF}">
  <dimension ref="A1:Y76"/>
  <sheetViews>
    <sheetView topLeftCell="F24" workbookViewId="0">
      <selection activeCell="H76" sqref="H76"/>
    </sheetView>
  </sheetViews>
  <sheetFormatPr defaultRowHeight="14.4" x14ac:dyDescent="0.3"/>
  <cols>
    <col min="1" max="9" width="14.6640625" customWidth="1"/>
    <col min="11" max="11" width="12.44140625" customWidth="1"/>
    <col min="12" max="12" width="12.5546875" customWidth="1"/>
    <col min="13" max="13" width="11.6640625" customWidth="1"/>
    <col min="14" max="14" width="11.44140625" customWidth="1"/>
    <col min="15" max="15" width="11.5546875" customWidth="1"/>
    <col min="16" max="16" width="11.109375" customWidth="1"/>
    <col min="17" max="17" width="11.44140625" customWidth="1"/>
    <col min="18" max="18" width="10.33203125" customWidth="1"/>
    <col min="19" max="19" width="12.109375" customWidth="1"/>
    <col min="20" max="21" width="11.109375" customWidth="1"/>
    <col min="23" max="23" width="12.33203125" customWidth="1"/>
    <col min="24" max="25" width="10.6640625" bestFit="1" customWidth="1"/>
  </cols>
  <sheetData>
    <row r="1" spans="1:25" x14ac:dyDescent="0.3">
      <c r="A1" s="17">
        <v>45077</v>
      </c>
      <c r="B1" s="17">
        <v>45078</v>
      </c>
      <c r="C1" s="17">
        <v>45079</v>
      </c>
      <c r="D1" s="17">
        <v>45080</v>
      </c>
      <c r="E1" s="17">
        <v>45081</v>
      </c>
      <c r="F1" s="17">
        <v>45082</v>
      </c>
      <c r="G1" s="17">
        <v>45083</v>
      </c>
      <c r="H1" s="17"/>
      <c r="I1" s="13" t="s">
        <v>8</v>
      </c>
      <c r="K1" s="59">
        <v>45077</v>
      </c>
      <c r="L1" s="59"/>
      <c r="M1" s="59">
        <v>45078</v>
      </c>
      <c r="N1" s="59"/>
      <c r="O1" s="59">
        <v>45079</v>
      </c>
      <c r="P1" s="59"/>
      <c r="Q1" s="59">
        <v>45080</v>
      </c>
      <c r="R1" s="59"/>
      <c r="S1" s="59">
        <v>45081</v>
      </c>
      <c r="T1" s="59"/>
      <c r="U1" s="59">
        <v>45082</v>
      </c>
      <c r="V1" s="59"/>
      <c r="W1" s="59">
        <v>45083</v>
      </c>
      <c r="X1" s="59"/>
      <c r="Y1" s="13"/>
    </row>
    <row r="2" spans="1:25" ht="15" thickBot="1" x14ac:dyDescent="0.35">
      <c r="A2" s="21">
        <v>3375.52</v>
      </c>
      <c r="B2" s="22">
        <v>1485.35</v>
      </c>
      <c r="C2" s="22">
        <v>1375.35</v>
      </c>
      <c r="D2" s="22">
        <v>901.9</v>
      </c>
      <c r="E2" s="22">
        <v>185</v>
      </c>
      <c r="F2" s="22">
        <v>693.45</v>
      </c>
      <c r="G2" s="22">
        <v>1375.35</v>
      </c>
      <c r="H2" s="37"/>
      <c r="I2" s="14">
        <v>5535.3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5" x14ac:dyDescent="0.3">
      <c r="A3" s="24">
        <v>624.65</v>
      </c>
      <c r="B3" s="22">
        <v>1957.67</v>
      </c>
      <c r="C3" s="22">
        <v>1817.98</v>
      </c>
      <c r="D3" s="22">
        <v>2463.9</v>
      </c>
      <c r="E3" s="22">
        <v>185</v>
      </c>
      <c r="F3" s="22">
        <v>635.35</v>
      </c>
      <c r="G3" s="22">
        <v>1837.67</v>
      </c>
      <c r="H3" s="37"/>
      <c r="I3" s="14">
        <v>4741.26</v>
      </c>
      <c r="K3" s="75">
        <v>4515</v>
      </c>
      <c r="L3" s="76">
        <v>152.5</v>
      </c>
      <c r="M3" s="77">
        <v>2460</v>
      </c>
      <c r="N3" s="77">
        <v>50</v>
      </c>
      <c r="O3" s="77">
        <v>2730</v>
      </c>
      <c r="P3" s="77">
        <v>65</v>
      </c>
      <c r="Q3" s="77">
        <v>2170</v>
      </c>
      <c r="R3" s="77">
        <v>3660</v>
      </c>
      <c r="S3" s="78">
        <v>60</v>
      </c>
      <c r="T3" s="69">
        <v>0</v>
      </c>
      <c r="U3" s="63">
        <v>2810</v>
      </c>
      <c r="V3" s="63">
        <v>863.7</v>
      </c>
      <c r="W3" s="63">
        <v>2320</v>
      </c>
      <c r="X3" s="65">
        <v>57.5</v>
      </c>
      <c r="Y3" s="14"/>
    </row>
    <row r="4" spans="1:25" x14ac:dyDescent="0.3">
      <c r="A4" s="24"/>
      <c r="B4" s="22">
        <v>624.65</v>
      </c>
      <c r="C4" s="22">
        <v>389.65</v>
      </c>
      <c r="D4" s="26">
        <v>458.1</v>
      </c>
      <c r="E4" s="22">
        <v>110</v>
      </c>
      <c r="F4" s="22">
        <v>1692.15</v>
      </c>
      <c r="G4" s="22">
        <v>674.65</v>
      </c>
      <c r="H4" s="37"/>
      <c r="I4" s="15">
        <v>350</v>
      </c>
      <c r="K4" s="21">
        <v>385</v>
      </c>
      <c r="L4" s="79">
        <v>50</v>
      </c>
      <c r="M4" s="43">
        <v>1555</v>
      </c>
      <c r="N4" s="43"/>
      <c r="O4" s="43">
        <v>1960</v>
      </c>
      <c r="P4" s="43"/>
      <c r="Q4" s="80">
        <v>1120</v>
      </c>
      <c r="R4" s="80">
        <v>57.5</v>
      </c>
      <c r="S4" s="43">
        <v>60</v>
      </c>
      <c r="T4" s="22"/>
      <c r="U4" s="22">
        <v>2235</v>
      </c>
      <c r="V4" s="22"/>
      <c r="W4" s="22">
        <v>3630</v>
      </c>
      <c r="X4" s="37">
        <v>10</v>
      </c>
      <c r="Y4" s="15"/>
    </row>
    <row r="5" spans="1:25" x14ac:dyDescent="0.3">
      <c r="A5" s="24"/>
      <c r="B5" s="22"/>
      <c r="C5" s="22"/>
      <c r="D5" s="25"/>
      <c r="E5" s="22"/>
      <c r="F5" s="22">
        <v>751.2</v>
      </c>
      <c r="G5" s="22"/>
      <c r="H5" s="37"/>
      <c r="I5" s="15">
        <v>5533.72</v>
      </c>
      <c r="K5" s="21">
        <v>248</v>
      </c>
      <c r="L5" s="79"/>
      <c r="M5" s="43">
        <v>875</v>
      </c>
      <c r="N5" s="43"/>
      <c r="O5" s="43">
        <v>520</v>
      </c>
      <c r="P5" s="43"/>
      <c r="Q5" s="80">
        <v>320</v>
      </c>
      <c r="R5" s="81"/>
      <c r="S5" s="43">
        <v>120</v>
      </c>
      <c r="T5" s="22"/>
      <c r="U5" s="22">
        <v>180</v>
      </c>
      <c r="V5" s="22"/>
      <c r="W5" s="22">
        <v>810</v>
      </c>
      <c r="X5" s="37"/>
      <c r="Y5" s="15"/>
    </row>
    <row r="6" spans="1:25" x14ac:dyDescent="0.3">
      <c r="A6" s="24"/>
      <c r="B6" s="22"/>
      <c r="C6" s="22"/>
      <c r="D6" s="22"/>
      <c r="E6" s="22"/>
      <c r="F6" s="22"/>
      <c r="G6" s="22"/>
      <c r="H6" s="37"/>
      <c r="I6" s="15">
        <v>1179.5999999999999</v>
      </c>
      <c r="K6" s="21"/>
      <c r="L6" s="79"/>
      <c r="M6" s="43">
        <v>300</v>
      </c>
      <c r="N6" s="43"/>
      <c r="O6" s="43">
        <v>144</v>
      </c>
      <c r="P6" s="43"/>
      <c r="Q6" s="43">
        <v>228</v>
      </c>
      <c r="R6" s="43"/>
      <c r="S6" s="43">
        <v>72</v>
      </c>
      <c r="T6" s="22"/>
      <c r="U6" s="22">
        <v>160</v>
      </c>
      <c r="V6" s="22"/>
      <c r="W6" s="22">
        <v>288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37"/>
      <c r="I7" s="15">
        <v>4115</v>
      </c>
      <c r="K7" s="21"/>
      <c r="L7" s="79"/>
      <c r="M7" s="43">
        <v>72</v>
      </c>
      <c r="N7" s="43"/>
      <c r="O7" s="43"/>
      <c r="P7" s="43"/>
      <c r="Q7" s="43">
        <v>96</v>
      </c>
      <c r="R7" s="43"/>
      <c r="S7" s="43"/>
      <c r="T7" s="22"/>
      <c r="U7" s="22">
        <v>195</v>
      </c>
      <c r="V7" s="22"/>
      <c r="W7" s="22">
        <v>96</v>
      </c>
      <c r="X7" s="37"/>
      <c r="Y7" s="15"/>
    </row>
    <row r="8" spans="1:25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21454.880000000001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>
        <v>300</v>
      </c>
      <c r="V8" s="22"/>
      <c r="W8" s="22"/>
      <c r="X8" s="37"/>
      <c r="Y8" s="83"/>
    </row>
    <row r="9" spans="1:25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7"/>
      <c r="Y9" s="16">
        <f>SUM(Y2:Y7)</f>
        <v>0</v>
      </c>
    </row>
    <row r="10" spans="1:25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5" x14ac:dyDescent="0.3">
      <c r="A11" s="24"/>
      <c r="B11" s="22"/>
      <c r="C11" s="22"/>
      <c r="D11" s="22"/>
      <c r="E11" s="22"/>
      <c r="F11" s="22"/>
      <c r="G11" s="22"/>
      <c r="H11" s="22"/>
      <c r="I11" s="23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 t="shared" ref="A16:G16" si="0">SUM(A2:A15)</f>
        <v>4000.17</v>
      </c>
      <c r="B16" s="22">
        <f t="shared" si="0"/>
        <v>4067.67</v>
      </c>
      <c r="C16" s="22">
        <f t="shared" si="0"/>
        <v>3582.98</v>
      </c>
      <c r="D16" s="22">
        <f t="shared" si="0"/>
        <v>3823.9</v>
      </c>
      <c r="E16" s="22">
        <f t="shared" si="0"/>
        <v>480</v>
      </c>
      <c r="F16" s="22">
        <f t="shared" si="0"/>
        <v>3772.1500000000005</v>
      </c>
      <c r="G16" s="22">
        <f t="shared" si="0"/>
        <v>3887.67</v>
      </c>
      <c r="H16" s="29">
        <f>SUM(A16:G16)+I8</f>
        <v>45069.42</v>
      </c>
      <c r="I16" s="30" t="s">
        <v>7</v>
      </c>
      <c r="K16" s="24">
        <f t="shared" ref="K16:X16" si="1">SUM(K3:K15)</f>
        <v>5148</v>
      </c>
      <c r="L16" s="22">
        <f t="shared" si="1"/>
        <v>202.5</v>
      </c>
      <c r="M16" s="22">
        <f t="shared" si="1"/>
        <v>5262</v>
      </c>
      <c r="N16" s="22">
        <f t="shared" si="1"/>
        <v>50</v>
      </c>
      <c r="O16" s="22">
        <f t="shared" si="1"/>
        <v>5354</v>
      </c>
      <c r="P16" s="22">
        <f t="shared" si="1"/>
        <v>65</v>
      </c>
      <c r="Q16" s="22">
        <f t="shared" si="1"/>
        <v>3934</v>
      </c>
      <c r="R16" s="22">
        <f t="shared" si="1"/>
        <v>3717.5</v>
      </c>
      <c r="S16" s="22">
        <f t="shared" si="1"/>
        <v>312</v>
      </c>
      <c r="T16" s="22">
        <f t="shared" si="1"/>
        <v>0</v>
      </c>
      <c r="U16" s="22">
        <f t="shared" si="1"/>
        <v>5880</v>
      </c>
      <c r="V16" s="22">
        <f t="shared" si="1"/>
        <v>863.7</v>
      </c>
      <c r="W16" s="22">
        <f t="shared" si="1"/>
        <v>7144</v>
      </c>
      <c r="X16" s="22">
        <f t="shared" si="1"/>
        <v>67.5</v>
      </c>
      <c r="Y16" s="33">
        <f>K17+M17+O17+Q17+S17+U17+W17</f>
        <v>33034</v>
      </c>
    </row>
    <row r="17" spans="1:25" x14ac:dyDescent="0.3">
      <c r="A17" s="31">
        <v>4000.17</v>
      </c>
      <c r="B17" s="32">
        <v>4067.67</v>
      </c>
      <c r="C17" s="32">
        <v>3582.98</v>
      </c>
      <c r="D17" s="32">
        <v>3823.9</v>
      </c>
      <c r="E17" s="32">
        <v>480</v>
      </c>
      <c r="F17" s="32">
        <v>3772.15</v>
      </c>
      <c r="G17" s="32">
        <v>3887.67</v>
      </c>
      <c r="H17" s="22">
        <f>SUM(A17:G17)+I8</f>
        <v>45069.42</v>
      </c>
      <c r="I17" s="33" t="s">
        <v>1</v>
      </c>
      <c r="K17" s="85">
        <v>5148</v>
      </c>
      <c r="L17" s="32">
        <v>202.5</v>
      </c>
      <c r="M17" s="32">
        <v>5262</v>
      </c>
      <c r="N17" s="32">
        <v>50</v>
      </c>
      <c r="O17" s="32">
        <v>5354</v>
      </c>
      <c r="P17" s="32">
        <v>65</v>
      </c>
      <c r="Q17" s="32">
        <v>3934</v>
      </c>
      <c r="R17" s="32">
        <v>3717.5</v>
      </c>
      <c r="S17" s="32">
        <v>312</v>
      </c>
      <c r="T17" s="32">
        <v>0</v>
      </c>
      <c r="U17" s="32">
        <v>5880</v>
      </c>
      <c r="V17" s="32">
        <v>863.7</v>
      </c>
      <c r="W17" s="32">
        <v>7144</v>
      </c>
      <c r="X17" s="22">
        <v>67.5</v>
      </c>
      <c r="Y17" s="33">
        <f>L17+N17+P17+R17+T17+V17+X17</f>
        <v>4966.2</v>
      </c>
    </row>
    <row r="18" spans="1:25" ht="15" thickBot="1" x14ac:dyDescent="0.35">
      <c r="A18" s="34">
        <f t="shared" ref="A18:G18" si="2">A16-A17</f>
        <v>0</v>
      </c>
      <c r="B18" s="35">
        <f t="shared" si="2"/>
        <v>0</v>
      </c>
      <c r="C18" s="35">
        <f t="shared" si="2"/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 t="shared" si="2"/>
        <v>0</v>
      </c>
      <c r="H18" s="35"/>
      <c r="I18" s="36"/>
      <c r="K18" s="86">
        <f t="shared" ref="K18:X18" si="3">K16-K17</f>
        <v>0</v>
      </c>
      <c r="L18" s="86">
        <f t="shared" si="3"/>
        <v>0</v>
      </c>
      <c r="M18" s="86">
        <f t="shared" si="3"/>
        <v>0</v>
      </c>
      <c r="N18" s="86">
        <f t="shared" si="3"/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7"/>
    </row>
    <row r="19" spans="1:25" ht="15.6" thickTop="1" thickBot="1" x14ac:dyDescent="0.35"/>
    <row r="20" spans="1:25" x14ac:dyDescent="0.3">
      <c r="A20" s="17">
        <v>45084</v>
      </c>
      <c r="B20" s="17">
        <v>45085</v>
      </c>
      <c r="C20" s="17">
        <v>45086</v>
      </c>
      <c r="D20" s="17">
        <v>45087</v>
      </c>
      <c r="E20" s="17">
        <v>45088</v>
      </c>
      <c r="F20" s="17">
        <v>45089</v>
      </c>
      <c r="G20" s="17">
        <v>45090</v>
      </c>
      <c r="H20" s="17"/>
      <c r="I20" s="13" t="s">
        <v>8</v>
      </c>
      <c r="K20" s="59">
        <v>45084</v>
      </c>
      <c r="L20" s="59"/>
      <c r="M20" s="59">
        <v>45085</v>
      </c>
      <c r="N20" s="59"/>
      <c r="O20" s="59">
        <v>45086</v>
      </c>
      <c r="P20" s="59"/>
      <c r="Q20" s="59">
        <v>45087</v>
      </c>
      <c r="R20" s="59"/>
      <c r="S20" s="59">
        <v>45088</v>
      </c>
      <c r="T20" s="59"/>
      <c r="U20" s="59">
        <v>45089</v>
      </c>
      <c r="V20" s="59"/>
      <c r="W20" s="59">
        <v>45090</v>
      </c>
      <c r="X20" s="59"/>
      <c r="Y20" s="13"/>
    </row>
    <row r="21" spans="1:25" ht="15" thickBot="1" x14ac:dyDescent="0.35">
      <c r="A21" s="21">
        <v>1595.35</v>
      </c>
      <c r="B21" s="22">
        <v>1190.3499999999999</v>
      </c>
      <c r="C21" s="22">
        <v>1375.35</v>
      </c>
      <c r="D21" s="22">
        <v>1005.35</v>
      </c>
      <c r="E21" s="22">
        <v>370</v>
      </c>
      <c r="F21" s="22">
        <v>913.45</v>
      </c>
      <c r="G21" s="22">
        <v>1443.8</v>
      </c>
      <c r="H21" s="37"/>
      <c r="I21" s="14">
        <v>4795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5" x14ac:dyDescent="0.3">
      <c r="A22" s="24">
        <v>1757.36</v>
      </c>
      <c r="B22" s="22">
        <v>110</v>
      </c>
      <c r="C22" s="22">
        <v>138.44999999999999</v>
      </c>
      <c r="D22" s="22">
        <v>2524.54</v>
      </c>
      <c r="E22" s="25"/>
      <c r="F22" s="22">
        <v>525.35</v>
      </c>
      <c r="G22" s="22">
        <v>2027.05</v>
      </c>
      <c r="H22" s="37"/>
      <c r="I22" s="14">
        <v>5535.3</v>
      </c>
      <c r="K22" s="75">
        <v>4010</v>
      </c>
      <c r="L22" s="76">
        <v>65</v>
      </c>
      <c r="M22" s="77">
        <v>3340</v>
      </c>
      <c r="N22" s="77">
        <v>65</v>
      </c>
      <c r="O22" s="77">
        <v>3640</v>
      </c>
      <c r="P22" s="77">
        <v>60</v>
      </c>
      <c r="Q22" s="77">
        <v>2220</v>
      </c>
      <c r="R22" s="77">
        <v>780</v>
      </c>
      <c r="S22" s="78">
        <v>120</v>
      </c>
      <c r="T22" s="69"/>
      <c r="U22" s="63">
        <v>4190</v>
      </c>
      <c r="V22" s="63">
        <v>117.5</v>
      </c>
      <c r="W22" s="63">
        <v>3990</v>
      </c>
      <c r="X22" s="65">
        <v>50</v>
      </c>
      <c r="Y22" s="14"/>
    </row>
    <row r="23" spans="1:25" x14ac:dyDescent="0.3">
      <c r="A23" s="24">
        <v>594.65</v>
      </c>
      <c r="B23" s="22">
        <v>2203.19</v>
      </c>
      <c r="C23" s="22">
        <v>1850.43</v>
      </c>
      <c r="D23" s="26">
        <v>429.65</v>
      </c>
      <c r="E23" s="22"/>
      <c r="F23" s="22">
        <v>110</v>
      </c>
      <c r="G23" s="22">
        <v>406.2</v>
      </c>
      <c r="H23" s="37"/>
      <c r="I23" s="15">
        <v>5165.1000000000004</v>
      </c>
      <c r="K23" s="21">
        <v>2145</v>
      </c>
      <c r="L23" s="79"/>
      <c r="M23" s="43">
        <v>1425</v>
      </c>
      <c r="N23" s="43">
        <v>372</v>
      </c>
      <c r="O23" s="43">
        <v>2155</v>
      </c>
      <c r="P23" s="43">
        <v>77.5</v>
      </c>
      <c r="Q23" s="80">
        <v>1440</v>
      </c>
      <c r="R23" s="80">
        <v>50</v>
      </c>
      <c r="S23" s="43">
        <v>420</v>
      </c>
      <c r="T23" s="22"/>
      <c r="U23" s="22">
        <v>2525</v>
      </c>
      <c r="V23" s="22"/>
      <c r="W23" s="22">
        <v>1820</v>
      </c>
      <c r="X23" s="37">
        <v>24</v>
      </c>
      <c r="Y23" s="15"/>
    </row>
    <row r="24" spans="1:25" x14ac:dyDescent="0.3">
      <c r="A24" s="24"/>
      <c r="B24" s="22">
        <v>374.65</v>
      </c>
      <c r="C24" s="22">
        <v>571.20000000000005</v>
      </c>
      <c r="D24" s="25"/>
      <c r="E24" s="22"/>
      <c r="F24" s="22">
        <v>1857.05</v>
      </c>
      <c r="G24" s="22"/>
      <c r="H24" s="37"/>
      <c r="I24" s="15">
        <v>4866.03</v>
      </c>
      <c r="K24" s="21">
        <v>615</v>
      </c>
      <c r="L24" s="79"/>
      <c r="M24" s="43">
        <v>1085</v>
      </c>
      <c r="N24" s="43"/>
      <c r="O24" s="43">
        <v>1075</v>
      </c>
      <c r="P24" s="43">
        <v>185</v>
      </c>
      <c r="Q24" s="80">
        <v>590</v>
      </c>
      <c r="R24" s="81"/>
      <c r="S24" s="43">
        <v>72</v>
      </c>
      <c r="T24" s="22"/>
      <c r="U24" s="22">
        <v>65</v>
      </c>
      <c r="V24" s="22"/>
      <c r="W24" s="22">
        <v>700</v>
      </c>
      <c r="X24" s="37"/>
      <c r="Y24" s="15"/>
    </row>
    <row r="25" spans="1:25" x14ac:dyDescent="0.3">
      <c r="A25" s="24"/>
      <c r="B25" s="22"/>
      <c r="C25" s="22"/>
      <c r="D25" s="22"/>
      <c r="E25" s="22"/>
      <c r="F25" s="22">
        <v>646.20000000000005</v>
      </c>
      <c r="G25" s="22"/>
      <c r="H25" s="37"/>
      <c r="I25" s="15">
        <v>431.04</v>
      </c>
      <c r="K25" s="21">
        <v>222</v>
      </c>
      <c r="L25" s="79"/>
      <c r="M25" s="43">
        <v>300</v>
      </c>
      <c r="N25" s="43"/>
      <c r="O25" s="43">
        <v>144</v>
      </c>
      <c r="P25" s="43"/>
      <c r="Q25" s="43">
        <v>348</v>
      </c>
      <c r="R25" s="43"/>
      <c r="S25" s="43"/>
      <c r="T25" s="22"/>
      <c r="U25" s="22">
        <v>396</v>
      </c>
      <c r="V25" s="22"/>
      <c r="W25" s="22">
        <v>300</v>
      </c>
      <c r="X25" s="37"/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350</v>
      </c>
      <c r="K26" s="21">
        <v>74</v>
      </c>
      <c r="L26" s="79"/>
      <c r="M26" s="43">
        <v>72</v>
      </c>
      <c r="N26" s="43"/>
      <c r="O26" s="43"/>
      <c r="P26" s="43"/>
      <c r="Q26" s="43">
        <v>72</v>
      </c>
      <c r="R26" s="43"/>
      <c r="S26" s="43"/>
      <c r="T26" s="22"/>
      <c r="U26" s="22">
        <v>13</v>
      </c>
      <c r="V26" s="22"/>
      <c r="W26" s="22">
        <v>72</v>
      </c>
      <c r="X26" s="37"/>
      <c r="Y26" s="15"/>
    </row>
    <row r="27" spans="1:25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21142.47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23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</row>
    <row r="35" spans="1:25" x14ac:dyDescent="0.3">
      <c r="A35" s="24">
        <f t="shared" ref="A35:G35" si="4">SUM(A21:A34)</f>
        <v>3947.36</v>
      </c>
      <c r="B35" s="22">
        <f t="shared" si="4"/>
        <v>3878.19</v>
      </c>
      <c r="C35" s="22">
        <f t="shared" si="4"/>
        <v>3935.4300000000003</v>
      </c>
      <c r="D35" s="22">
        <f t="shared" si="4"/>
        <v>3959.54</v>
      </c>
      <c r="E35" s="22">
        <f t="shared" si="4"/>
        <v>370</v>
      </c>
      <c r="F35" s="22">
        <f t="shared" si="4"/>
        <v>4052.05</v>
      </c>
      <c r="G35" s="22">
        <f t="shared" si="4"/>
        <v>3877.0499999999997</v>
      </c>
      <c r="H35" s="29">
        <f>SUM(A35:G35)+I27</f>
        <v>45162.09</v>
      </c>
      <c r="I35" s="30" t="s">
        <v>7</v>
      </c>
      <c r="K35" s="24">
        <f t="shared" ref="K35:X35" si="5">SUM(K22:K34)</f>
        <v>7066</v>
      </c>
      <c r="L35" s="22">
        <f t="shared" si="5"/>
        <v>65</v>
      </c>
      <c r="M35" s="22">
        <f t="shared" si="5"/>
        <v>6222</v>
      </c>
      <c r="N35" s="22">
        <f t="shared" si="5"/>
        <v>437</v>
      </c>
      <c r="O35" s="22">
        <f t="shared" si="5"/>
        <v>7014</v>
      </c>
      <c r="P35" s="22">
        <f t="shared" si="5"/>
        <v>322.5</v>
      </c>
      <c r="Q35" s="22">
        <f t="shared" si="5"/>
        <v>4670</v>
      </c>
      <c r="R35" s="22">
        <f t="shared" si="5"/>
        <v>830</v>
      </c>
      <c r="S35" s="22">
        <f t="shared" si="5"/>
        <v>612</v>
      </c>
      <c r="T35" s="22">
        <f t="shared" si="5"/>
        <v>0</v>
      </c>
      <c r="U35" s="22">
        <f t="shared" si="5"/>
        <v>7189</v>
      </c>
      <c r="V35" s="22">
        <f t="shared" si="5"/>
        <v>117.5</v>
      </c>
      <c r="W35" s="22">
        <f t="shared" si="5"/>
        <v>6882</v>
      </c>
      <c r="X35" s="22">
        <f t="shared" si="5"/>
        <v>74</v>
      </c>
      <c r="Y35" s="33">
        <f>K36+M36+O36+Q36+S36+U36+W36</f>
        <v>39655</v>
      </c>
    </row>
    <row r="36" spans="1:25" x14ac:dyDescent="0.3">
      <c r="A36" s="31">
        <v>3947.36</v>
      </c>
      <c r="B36" s="32">
        <v>3878.19</v>
      </c>
      <c r="C36" s="32">
        <v>3935.43</v>
      </c>
      <c r="D36" s="32">
        <v>3959.54</v>
      </c>
      <c r="E36" s="32">
        <v>370</v>
      </c>
      <c r="F36" s="32">
        <v>4052.05</v>
      </c>
      <c r="G36" s="32">
        <v>3877.05</v>
      </c>
      <c r="H36" s="22">
        <f>SUM(A36:G36)+I27</f>
        <v>45162.09</v>
      </c>
      <c r="I36" s="33" t="s">
        <v>1</v>
      </c>
      <c r="K36" s="85">
        <v>7066</v>
      </c>
      <c r="L36" s="32">
        <v>65</v>
      </c>
      <c r="M36" s="32">
        <v>6222</v>
      </c>
      <c r="N36" s="32">
        <v>437</v>
      </c>
      <c r="O36" s="32">
        <v>7014</v>
      </c>
      <c r="P36" s="32">
        <v>322.5</v>
      </c>
      <c r="Q36" s="32">
        <v>4670</v>
      </c>
      <c r="R36" s="32">
        <v>830</v>
      </c>
      <c r="S36" s="32">
        <v>612</v>
      </c>
      <c r="T36" s="32">
        <v>0</v>
      </c>
      <c r="U36" s="32">
        <v>7189</v>
      </c>
      <c r="V36" s="32">
        <v>117.5</v>
      </c>
      <c r="W36" s="32">
        <v>6882</v>
      </c>
      <c r="X36" s="22">
        <v>74</v>
      </c>
      <c r="Y36" s="33">
        <f>L36+N36+P36+R36+T36+V36+X36</f>
        <v>1846</v>
      </c>
    </row>
    <row r="37" spans="1:25" ht="15" thickBot="1" x14ac:dyDescent="0.35">
      <c r="A37" s="34">
        <f t="shared" ref="A37:G37" si="6">A35-A36</f>
        <v>0</v>
      </c>
      <c r="B37" s="35">
        <f t="shared" si="6"/>
        <v>0</v>
      </c>
      <c r="C37" s="35">
        <f t="shared" si="6"/>
        <v>0</v>
      </c>
      <c r="D37" s="35">
        <f t="shared" si="6"/>
        <v>0</v>
      </c>
      <c r="E37" s="35">
        <f t="shared" si="6"/>
        <v>0</v>
      </c>
      <c r="F37" s="35">
        <f t="shared" si="6"/>
        <v>0</v>
      </c>
      <c r="G37" s="35">
        <f t="shared" si="6"/>
        <v>0</v>
      </c>
      <c r="H37" s="35"/>
      <c r="I37" s="36"/>
      <c r="K37" s="86">
        <f t="shared" ref="K37:X37" si="7">K35-K36</f>
        <v>0</v>
      </c>
      <c r="L37" s="86">
        <f t="shared" si="7"/>
        <v>0</v>
      </c>
      <c r="M37" s="86">
        <f t="shared" si="7"/>
        <v>0</v>
      </c>
      <c r="N37" s="86">
        <f t="shared" si="7"/>
        <v>0</v>
      </c>
      <c r="O37" s="86">
        <f t="shared" si="7"/>
        <v>0</v>
      </c>
      <c r="P37" s="86">
        <f t="shared" si="7"/>
        <v>0</v>
      </c>
      <c r="Q37" s="86">
        <f t="shared" si="7"/>
        <v>0</v>
      </c>
      <c r="R37" s="86">
        <f t="shared" si="7"/>
        <v>0</v>
      </c>
      <c r="S37" s="86">
        <f t="shared" si="7"/>
        <v>0</v>
      </c>
      <c r="T37" s="86">
        <f t="shared" si="7"/>
        <v>0</v>
      </c>
      <c r="U37" s="86">
        <f t="shared" si="7"/>
        <v>0</v>
      </c>
      <c r="V37" s="86">
        <f t="shared" si="7"/>
        <v>0</v>
      </c>
      <c r="W37" s="86">
        <f t="shared" si="7"/>
        <v>0</v>
      </c>
      <c r="X37" s="86">
        <f t="shared" si="7"/>
        <v>0</v>
      </c>
      <c r="Y37" s="87"/>
    </row>
    <row r="38" spans="1:25" ht="15.6" thickTop="1" thickBot="1" x14ac:dyDescent="0.35"/>
    <row r="39" spans="1:25" x14ac:dyDescent="0.3">
      <c r="A39" s="17">
        <v>45091</v>
      </c>
      <c r="B39" s="17">
        <v>45092</v>
      </c>
      <c r="C39" s="17">
        <v>45093</v>
      </c>
      <c r="D39" s="17">
        <v>45094</v>
      </c>
      <c r="E39" s="17">
        <v>45095</v>
      </c>
      <c r="F39" s="17">
        <v>45096</v>
      </c>
      <c r="G39" s="17">
        <v>45097</v>
      </c>
      <c r="H39" s="17"/>
      <c r="I39" s="13" t="s">
        <v>8</v>
      </c>
      <c r="K39" s="59">
        <v>45091</v>
      </c>
      <c r="L39" s="59"/>
      <c r="M39" s="59">
        <v>45092</v>
      </c>
      <c r="N39" s="59"/>
      <c r="O39" s="59">
        <v>45093</v>
      </c>
      <c r="P39" s="59"/>
      <c r="Q39" s="59">
        <v>45094</v>
      </c>
      <c r="R39" s="59"/>
      <c r="S39" s="59">
        <v>45095</v>
      </c>
      <c r="T39" s="59"/>
      <c r="U39" s="59">
        <v>45096</v>
      </c>
      <c r="V39" s="59"/>
      <c r="W39" s="59">
        <v>45097</v>
      </c>
      <c r="X39" s="59"/>
      <c r="Y39" s="13"/>
    </row>
    <row r="40" spans="1:25" ht="15" thickBot="1" x14ac:dyDescent="0.35">
      <c r="A40" s="21">
        <v>1438.8</v>
      </c>
      <c r="B40" s="22">
        <v>775</v>
      </c>
      <c r="C40" s="22">
        <v>578.45000000000005</v>
      </c>
      <c r="D40" s="22">
        <v>1126.9000000000001</v>
      </c>
      <c r="E40" s="22">
        <v>370</v>
      </c>
      <c r="F40" s="22">
        <v>700</v>
      </c>
      <c r="G40" s="22">
        <v>1306.9000000000001</v>
      </c>
      <c r="H40" s="37"/>
      <c r="I40" s="14">
        <v>5828.62</v>
      </c>
      <c r="K40" s="66" t="s">
        <v>10</v>
      </c>
      <c r="L40" s="66" t="s">
        <v>11</v>
      </c>
      <c r="M40" s="67" t="s">
        <v>10</v>
      </c>
      <c r="N40" s="67" t="s">
        <v>11</v>
      </c>
      <c r="O40" s="67" t="s">
        <v>10</v>
      </c>
      <c r="P40" s="67" t="s">
        <v>11</v>
      </c>
      <c r="Q40" s="67" t="s">
        <v>10</v>
      </c>
      <c r="R40" s="67" t="s">
        <v>11</v>
      </c>
      <c r="S40" s="67" t="s">
        <v>10</v>
      </c>
      <c r="T40" s="67" t="s">
        <v>11</v>
      </c>
      <c r="U40" s="67" t="s">
        <v>10</v>
      </c>
      <c r="V40" s="67" t="s">
        <v>11</v>
      </c>
      <c r="W40" s="67" t="s">
        <v>10</v>
      </c>
      <c r="X40" s="67" t="s">
        <v>11</v>
      </c>
      <c r="Y40" s="14"/>
    </row>
    <row r="41" spans="1:25" x14ac:dyDescent="0.3">
      <c r="A41" s="24">
        <v>1919.55</v>
      </c>
      <c r="B41" s="22">
        <v>1559.67</v>
      </c>
      <c r="C41" s="22">
        <v>1016.9</v>
      </c>
      <c r="D41" s="22">
        <v>110</v>
      </c>
      <c r="E41" s="25">
        <v>220</v>
      </c>
      <c r="F41" s="22">
        <v>606.9</v>
      </c>
      <c r="G41" s="22">
        <v>2042.98</v>
      </c>
      <c r="H41" s="37"/>
      <c r="I41" s="14">
        <v>5904.32</v>
      </c>
      <c r="K41" s="75">
        <v>4790</v>
      </c>
      <c r="L41" s="76">
        <v>3397</v>
      </c>
      <c r="M41" s="77">
        <v>5130</v>
      </c>
      <c r="N41" s="77">
        <v>5130</v>
      </c>
      <c r="O41" s="77">
        <v>4890</v>
      </c>
      <c r="P41" s="77">
        <v>65</v>
      </c>
      <c r="Q41" s="77">
        <v>1800</v>
      </c>
      <c r="R41" s="77">
        <v>57.5</v>
      </c>
      <c r="S41" s="78">
        <v>120</v>
      </c>
      <c r="T41" s="69"/>
      <c r="U41" s="63">
        <v>5040</v>
      </c>
      <c r="V41" s="63">
        <v>197</v>
      </c>
      <c r="W41" s="63">
        <v>4640</v>
      </c>
      <c r="X41" s="65">
        <v>60</v>
      </c>
      <c r="Y41" s="14"/>
    </row>
    <row r="42" spans="1:25" x14ac:dyDescent="0.3">
      <c r="A42" s="24">
        <v>436.2</v>
      </c>
      <c r="B42" s="22">
        <v>1297.4000000000001</v>
      </c>
      <c r="C42" s="22">
        <v>407.5</v>
      </c>
      <c r="D42" s="26">
        <v>2548.2800000000002</v>
      </c>
      <c r="E42" s="22"/>
      <c r="F42" s="22">
        <v>1707.67</v>
      </c>
      <c r="G42" s="22">
        <v>278.10000000000002</v>
      </c>
      <c r="H42" s="37"/>
      <c r="I42" s="15">
        <v>4630</v>
      </c>
      <c r="K42" s="21">
        <v>1625</v>
      </c>
      <c r="L42" s="79">
        <v>26</v>
      </c>
      <c r="M42" s="43">
        <v>1690</v>
      </c>
      <c r="N42" s="43">
        <v>1690</v>
      </c>
      <c r="O42" s="43">
        <v>1610</v>
      </c>
      <c r="P42" s="43">
        <v>240</v>
      </c>
      <c r="Q42" s="80">
        <v>970</v>
      </c>
      <c r="R42" s="80">
        <v>60</v>
      </c>
      <c r="S42" s="43">
        <v>240</v>
      </c>
      <c r="T42" s="22"/>
      <c r="U42" s="22">
        <v>2380</v>
      </c>
      <c r="V42" s="22">
        <v>180</v>
      </c>
      <c r="W42" s="22">
        <v>2045</v>
      </c>
      <c r="X42" s="37">
        <v>372</v>
      </c>
      <c r="Y42" s="15"/>
    </row>
    <row r="43" spans="1:25" x14ac:dyDescent="0.3">
      <c r="A43" s="24"/>
      <c r="B43" s="22">
        <v>488.1</v>
      </c>
      <c r="C43" s="22">
        <v>324.64999999999998</v>
      </c>
      <c r="D43" s="25">
        <v>383.1</v>
      </c>
      <c r="E43" s="22"/>
      <c r="F43" s="22">
        <v>393.1</v>
      </c>
      <c r="G43" s="22"/>
      <c r="H43" s="37"/>
      <c r="I43" s="15">
        <v>4505.6000000000004</v>
      </c>
      <c r="K43" s="21">
        <v>195</v>
      </c>
      <c r="L43" s="79">
        <v>42.5</v>
      </c>
      <c r="M43" s="43">
        <v>970</v>
      </c>
      <c r="N43" s="43">
        <v>970</v>
      </c>
      <c r="O43" s="43">
        <v>340</v>
      </c>
      <c r="P43" s="43"/>
      <c r="Q43" s="80">
        <v>300</v>
      </c>
      <c r="R43" s="81"/>
      <c r="S43" s="43">
        <v>72</v>
      </c>
      <c r="T43" s="22"/>
      <c r="U43" s="22">
        <v>620</v>
      </c>
      <c r="V43" s="22"/>
      <c r="W43" s="22">
        <v>775</v>
      </c>
      <c r="X43" s="37">
        <v>52.5</v>
      </c>
      <c r="Y43" s="15"/>
    </row>
    <row r="44" spans="1:25" x14ac:dyDescent="0.3">
      <c r="A44" s="24"/>
      <c r="B44" s="22"/>
      <c r="C44" s="22"/>
      <c r="D44" s="22"/>
      <c r="E44" s="22"/>
      <c r="F44" s="22"/>
      <c r="G44" s="22"/>
      <c r="H44" s="37"/>
      <c r="I44" s="15">
        <v>1451.88</v>
      </c>
      <c r="K44" s="21">
        <v>222</v>
      </c>
      <c r="L44" s="79">
        <v>20</v>
      </c>
      <c r="M44" s="43">
        <v>300</v>
      </c>
      <c r="N44" s="43">
        <v>300</v>
      </c>
      <c r="O44" s="43">
        <v>144</v>
      </c>
      <c r="P44" s="43"/>
      <c r="Q44" s="43">
        <v>228</v>
      </c>
      <c r="R44" s="43"/>
      <c r="S44" s="43"/>
      <c r="T44" s="22"/>
      <c r="U44" s="22">
        <v>300</v>
      </c>
      <c r="V44" s="22"/>
      <c r="W44" s="22">
        <v>300</v>
      </c>
      <c r="X44" s="37">
        <v>500</v>
      </c>
      <c r="Y44" s="15"/>
    </row>
    <row r="45" spans="1:25" x14ac:dyDescent="0.3">
      <c r="A45" s="24"/>
      <c r="B45" s="22"/>
      <c r="C45" s="22"/>
      <c r="D45" s="22"/>
      <c r="E45" s="22"/>
      <c r="F45" s="22"/>
      <c r="G45" s="22"/>
      <c r="H45" s="37"/>
      <c r="I45" s="15">
        <v>1010</v>
      </c>
      <c r="K45" s="21"/>
      <c r="L45" s="79"/>
      <c r="M45" s="43">
        <v>98</v>
      </c>
      <c r="N45" s="43">
        <v>98</v>
      </c>
      <c r="O45" s="43"/>
      <c r="P45" s="43"/>
      <c r="Q45" s="43">
        <v>96</v>
      </c>
      <c r="R45" s="43"/>
      <c r="S45" s="43"/>
      <c r="T45" s="22"/>
      <c r="U45" s="22"/>
      <c r="V45" s="22"/>
      <c r="W45" s="22">
        <v>72</v>
      </c>
      <c r="X45" s="37"/>
      <c r="Y45" s="15"/>
    </row>
    <row r="46" spans="1:25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23330.420000000002</v>
      </c>
      <c r="K46" s="21"/>
      <c r="L46" s="79"/>
      <c r="M46" s="43"/>
      <c r="N46" s="43"/>
      <c r="O46" s="43"/>
      <c r="P46" s="43"/>
      <c r="Q46" s="43"/>
      <c r="R46" s="43"/>
      <c r="S46" s="43"/>
      <c r="T46" s="22"/>
      <c r="U46" s="22"/>
      <c r="V46" s="22"/>
      <c r="W46" s="22"/>
      <c r="X46" s="37"/>
      <c r="Y46" s="83"/>
    </row>
    <row r="47" spans="1:25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K47" s="24"/>
      <c r="L47" s="5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7"/>
      <c r="Y47" s="16">
        <f>SUM(Y40:Y45)</f>
        <v>0</v>
      </c>
    </row>
    <row r="48" spans="1:25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38"/>
    </row>
    <row r="49" spans="1:25" x14ac:dyDescent="0.3">
      <c r="A49" s="24"/>
      <c r="B49" s="22"/>
      <c r="C49" s="22"/>
      <c r="D49" s="22"/>
      <c r="E49" s="22"/>
      <c r="F49" s="22"/>
      <c r="G49" s="22"/>
      <c r="H49" s="22"/>
      <c r="I49" s="23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8"/>
      <c r="V53" s="28"/>
      <c r="W53" s="22"/>
      <c r="X53" s="22"/>
      <c r="Y53" s="23"/>
    </row>
    <row r="54" spans="1:25" x14ac:dyDescent="0.3">
      <c r="A54" s="24">
        <f t="shared" ref="A54:G54" si="8">SUM(A40:A53)</f>
        <v>3794.5499999999997</v>
      </c>
      <c r="B54" s="22">
        <f t="shared" si="8"/>
        <v>4120.17</v>
      </c>
      <c r="C54" s="22">
        <f t="shared" si="8"/>
        <v>2327.5</v>
      </c>
      <c r="D54" s="22">
        <f t="shared" si="8"/>
        <v>4168.2800000000007</v>
      </c>
      <c r="E54" s="22">
        <f t="shared" si="8"/>
        <v>590</v>
      </c>
      <c r="F54" s="22">
        <f t="shared" si="8"/>
        <v>3407.67</v>
      </c>
      <c r="G54" s="22">
        <f t="shared" si="8"/>
        <v>3627.98</v>
      </c>
      <c r="H54" s="29">
        <f>SUM(A54:G54)+I46</f>
        <v>45366.57</v>
      </c>
      <c r="I54" s="30" t="s">
        <v>7</v>
      </c>
      <c r="K54" s="24">
        <f t="shared" ref="K54:X54" si="9">SUM(K41:K53)</f>
        <v>6832</v>
      </c>
      <c r="L54" s="22">
        <f t="shared" si="9"/>
        <v>3485.5</v>
      </c>
      <c r="M54" s="22">
        <f t="shared" si="9"/>
        <v>8188</v>
      </c>
      <c r="N54" s="22">
        <f t="shared" si="9"/>
        <v>8188</v>
      </c>
      <c r="O54" s="22">
        <f t="shared" si="9"/>
        <v>6984</v>
      </c>
      <c r="P54" s="22">
        <f t="shared" si="9"/>
        <v>305</v>
      </c>
      <c r="Q54" s="22">
        <f t="shared" si="9"/>
        <v>3394</v>
      </c>
      <c r="R54" s="22">
        <f t="shared" si="9"/>
        <v>117.5</v>
      </c>
      <c r="S54" s="22">
        <f t="shared" si="9"/>
        <v>432</v>
      </c>
      <c r="T54" s="22">
        <f t="shared" si="9"/>
        <v>0</v>
      </c>
      <c r="U54" s="22">
        <f t="shared" si="9"/>
        <v>8340</v>
      </c>
      <c r="V54" s="22">
        <f t="shared" si="9"/>
        <v>377</v>
      </c>
      <c r="W54" s="22">
        <f t="shared" si="9"/>
        <v>7832</v>
      </c>
      <c r="X54" s="22">
        <f t="shared" si="9"/>
        <v>984.5</v>
      </c>
      <c r="Y54" s="33">
        <f>K55+M55+O55+Q55+S55+U55+W55</f>
        <v>42002</v>
      </c>
    </row>
    <row r="55" spans="1:25" x14ac:dyDescent="0.3">
      <c r="A55" s="31">
        <v>3794.55</v>
      </c>
      <c r="B55" s="32">
        <v>4120.17</v>
      </c>
      <c r="C55" s="32">
        <v>2327.5</v>
      </c>
      <c r="D55" s="32">
        <v>4168.28</v>
      </c>
      <c r="E55" s="32">
        <v>590</v>
      </c>
      <c r="F55" s="32">
        <v>3407.67</v>
      </c>
      <c r="G55" s="32">
        <v>3627.98</v>
      </c>
      <c r="H55" s="22">
        <f>SUM(A55:G55)+I46</f>
        <v>45366.57</v>
      </c>
      <c r="I55" s="33" t="s">
        <v>1</v>
      </c>
      <c r="K55" s="85">
        <v>6832</v>
      </c>
      <c r="L55" s="32">
        <v>3485.5</v>
      </c>
      <c r="M55" s="32">
        <v>8188</v>
      </c>
      <c r="N55" s="32">
        <v>8188</v>
      </c>
      <c r="O55" s="32">
        <v>6984</v>
      </c>
      <c r="P55" s="32">
        <v>305</v>
      </c>
      <c r="Q55" s="32">
        <v>3394</v>
      </c>
      <c r="R55" s="32">
        <v>117.5</v>
      </c>
      <c r="S55" s="32">
        <v>432</v>
      </c>
      <c r="T55" s="32">
        <v>0</v>
      </c>
      <c r="U55" s="32">
        <v>8340</v>
      </c>
      <c r="V55" s="32">
        <v>377</v>
      </c>
      <c r="W55" s="22">
        <v>7832</v>
      </c>
      <c r="X55" s="22">
        <v>984.5</v>
      </c>
      <c r="Y55" s="33">
        <f>L55+N55+P55+R55+T55+V55+X55</f>
        <v>13457.5</v>
      </c>
    </row>
    <row r="56" spans="1:25" ht="15" thickBot="1" x14ac:dyDescent="0.35">
      <c r="A56" s="34">
        <f t="shared" ref="A56:G56" si="10">A54-A55</f>
        <v>0</v>
      </c>
      <c r="B56" s="35">
        <f t="shared" si="10"/>
        <v>0</v>
      </c>
      <c r="C56" s="35">
        <f t="shared" si="10"/>
        <v>0</v>
      </c>
      <c r="D56" s="35">
        <f t="shared" si="10"/>
        <v>0</v>
      </c>
      <c r="E56" s="35">
        <f t="shared" si="10"/>
        <v>0</v>
      </c>
      <c r="F56" s="35">
        <f t="shared" si="10"/>
        <v>0</v>
      </c>
      <c r="G56" s="35">
        <f t="shared" si="10"/>
        <v>0</v>
      </c>
      <c r="H56" s="35"/>
      <c r="I56" s="36"/>
      <c r="K56" s="86">
        <f t="shared" ref="K56:V56" si="11">K54-K55</f>
        <v>0</v>
      </c>
      <c r="L56" s="86">
        <f t="shared" si="11"/>
        <v>0</v>
      </c>
      <c r="M56" s="86">
        <f t="shared" si="11"/>
        <v>0</v>
      </c>
      <c r="N56" s="86">
        <f t="shared" si="11"/>
        <v>0</v>
      </c>
      <c r="O56" s="86">
        <f t="shared" si="11"/>
        <v>0</v>
      </c>
      <c r="P56" s="86">
        <f t="shared" si="11"/>
        <v>0</v>
      </c>
      <c r="Q56" s="86">
        <f t="shared" si="11"/>
        <v>0</v>
      </c>
      <c r="R56" s="86">
        <f t="shared" si="11"/>
        <v>0</v>
      </c>
      <c r="S56" s="86">
        <f t="shared" si="11"/>
        <v>0</v>
      </c>
      <c r="T56" s="86">
        <f t="shared" si="11"/>
        <v>0</v>
      </c>
      <c r="U56" s="86">
        <f t="shared" si="11"/>
        <v>0</v>
      </c>
      <c r="V56" s="86">
        <f t="shared" si="11"/>
        <v>0</v>
      </c>
      <c r="W56" s="86">
        <f>X511</f>
        <v>0</v>
      </c>
      <c r="X56" s="86">
        <f>X54-X55</f>
        <v>0</v>
      </c>
      <c r="Y56" s="87"/>
    </row>
    <row r="57" spans="1:25" ht="15.6" thickTop="1" thickBot="1" x14ac:dyDescent="0.35"/>
    <row r="58" spans="1:25" x14ac:dyDescent="0.3">
      <c r="A58" s="17">
        <v>45098</v>
      </c>
      <c r="B58" s="17">
        <v>45099</v>
      </c>
      <c r="C58" s="17">
        <v>45100</v>
      </c>
      <c r="D58" s="17">
        <v>45101</v>
      </c>
      <c r="E58" s="17">
        <v>45102</v>
      </c>
      <c r="F58" s="17">
        <v>45103</v>
      </c>
      <c r="G58" s="17">
        <v>45104</v>
      </c>
      <c r="H58" s="17"/>
      <c r="I58" s="13" t="s">
        <v>8</v>
      </c>
      <c r="K58" s="59">
        <v>45098</v>
      </c>
      <c r="L58" s="59"/>
      <c r="M58" s="59">
        <v>45099</v>
      </c>
      <c r="N58" s="59"/>
      <c r="O58" s="59">
        <v>45100</v>
      </c>
      <c r="P58" s="59"/>
      <c r="Q58" s="59">
        <v>45101</v>
      </c>
      <c r="R58" s="59"/>
      <c r="S58" s="59">
        <v>45102</v>
      </c>
      <c r="T58" s="59"/>
      <c r="U58" s="59">
        <v>45103</v>
      </c>
      <c r="V58" s="59"/>
      <c r="W58" s="59">
        <v>45104</v>
      </c>
      <c r="X58" s="59"/>
      <c r="Y58" s="13"/>
    </row>
    <row r="59" spans="1:25" ht="15" thickBot="1" x14ac:dyDescent="0.35">
      <c r="A59" s="21">
        <v>1463.45</v>
      </c>
      <c r="B59" s="22">
        <v>653.45000000000005</v>
      </c>
      <c r="C59" s="22">
        <v>1711.9</v>
      </c>
      <c r="D59" s="22">
        <v>920</v>
      </c>
      <c r="E59" s="22">
        <v>480</v>
      </c>
      <c r="F59" s="22">
        <v>440</v>
      </c>
      <c r="G59" s="22">
        <v>948.45</v>
      </c>
      <c r="H59" s="37"/>
      <c r="I59" s="14">
        <v>5125</v>
      </c>
      <c r="K59" s="66" t="s">
        <v>10</v>
      </c>
      <c r="L59" s="66" t="s">
        <v>11</v>
      </c>
      <c r="M59" s="67" t="s">
        <v>10</v>
      </c>
      <c r="N59" s="67" t="s">
        <v>11</v>
      </c>
      <c r="O59" s="67" t="s">
        <v>10</v>
      </c>
      <c r="P59" s="67" t="s">
        <v>11</v>
      </c>
      <c r="Q59" s="67" t="s">
        <v>10</v>
      </c>
      <c r="R59" s="67" t="s">
        <v>11</v>
      </c>
      <c r="S59" s="67" t="s">
        <v>10</v>
      </c>
      <c r="T59" s="67" t="s">
        <v>11</v>
      </c>
      <c r="U59" s="67" t="s">
        <v>10</v>
      </c>
      <c r="V59" s="67" t="s">
        <v>11</v>
      </c>
      <c r="W59" s="67" t="s">
        <v>10</v>
      </c>
      <c r="X59" s="67" t="s">
        <v>11</v>
      </c>
      <c r="Y59" s="14"/>
    </row>
    <row r="60" spans="1:25" x14ac:dyDescent="0.3">
      <c r="A60" s="24">
        <v>1992.67</v>
      </c>
      <c r="B60" s="22">
        <v>693.45</v>
      </c>
      <c r="C60" s="22">
        <v>1919.55</v>
      </c>
      <c r="D60" s="22">
        <v>2444.54</v>
      </c>
      <c r="E60" s="25"/>
      <c r="F60" s="22">
        <v>976.9</v>
      </c>
      <c r="G60" s="22">
        <v>358.45</v>
      </c>
      <c r="H60" s="37"/>
      <c r="I60" s="14">
        <v>5535.3</v>
      </c>
      <c r="K60" s="75">
        <v>1925</v>
      </c>
      <c r="L60" s="76"/>
      <c r="M60" s="77"/>
      <c r="N60" s="77"/>
      <c r="O60" s="77"/>
      <c r="P60" s="77"/>
      <c r="Q60" s="77"/>
      <c r="R60" s="77"/>
      <c r="S60" s="78"/>
      <c r="T60" s="69"/>
      <c r="U60" s="63"/>
      <c r="V60" s="63"/>
      <c r="W60" s="63"/>
      <c r="X60" s="65"/>
      <c r="Y60" s="14"/>
    </row>
    <row r="61" spans="1:25" x14ac:dyDescent="0.3">
      <c r="A61" s="24">
        <v>541.54999999999995</v>
      </c>
      <c r="B61" s="22">
        <v>1849.86</v>
      </c>
      <c r="C61" s="22">
        <v>243.1</v>
      </c>
      <c r="D61" s="26">
        <v>330</v>
      </c>
      <c r="E61" s="22"/>
      <c r="F61" s="22">
        <v>2017.67</v>
      </c>
      <c r="G61" s="22">
        <v>1802.46</v>
      </c>
      <c r="H61" s="37"/>
      <c r="I61" s="15">
        <v>5828.62</v>
      </c>
      <c r="K61" s="21">
        <v>1715</v>
      </c>
      <c r="L61" s="79"/>
      <c r="M61" s="43"/>
      <c r="N61" s="43"/>
      <c r="O61" s="43"/>
      <c r="P61" s="43"/>
      <c r="Q61" s="80"/>
      <c r="R61" s="80"/>
      <c r="S61" s="43"/>
      <c r="T61" s="22"/>
      <c r="U61" s="22"/>
      <c r="V61" s="22"/>
      <c r="W61" s="22"/>
      <c r="X61" s="37"/>
      <c r="Y61" s="15"/>
    </row>
    <row r="62" spans="1:25" x14ac:dyDescent="0.3">
      <c r="A62" s="24"/>
      <c r="B62" s="22">
        <v>508.1</v>
      </c>
      <c r="C62" s="22"/>
      <c r="D62" s="25"/>
      <c r="E62" s="22"/>
      <c r="F62" s="22">
        <v>403.1</v>
      </c>
      <c r="G62" s="22">
        <v>443.1</v>
      </c>
      <c r="H62" s="37"/>
      <c r="I62" s="15">
        <v>4269.9399999999996</v>
      </c>
      <c r="K62" s="21">
        <v>720</v>
      </c>
      <c r="L62" s="79"/>
      <c r="M62" s="43"/>
      <c r="N62" s="43"/>
      <c r="O62" s="43"/>
      <c r="P62" s="43"/>
      <c r="Q62" s="80"/>
      <c r="R62" s="84"/>
      <c r="S62" s="43"/>
      <c r="T62" s="22"/>
      <c r="U62" s="22"/>
      <c r="V62" s="22"/>
      <c r="W62" s="22"/>
      <c r="X62" s="37"/>
      <c r="Y62" s="15"/>
    </row>
    <row r="63" spans="1:25" x14ac:dyDescent="0.3">
      <c r="A63" s="24"/>
      <c r="B63" s="22"/>
      <c r="C63" s="22"/>
      <c r="D63" s="22"/>
      <c r="E63" s="22"/>
      <c r="F63" s="22"/>
      <c r="G63" s="22"/>
      <c r="H63" s="37"/>
      <c r="I63" s="15">
        <v>1980</v>
      </c>
      <c r="K63" s="21">
        <v>222</v>
      </c>
      <c r="L63" s="79"/>
      <c r="M63" s="43"/>
      <c r="N63" s="43"/>
      <c r="O63" s="43"/>
      <c r="P63" s="43"/>
      <c r="Q63" s="43"/>
      <c r="R63" s="43"/>
      <c r="S63" s="43"/>
      <c r="T63" s="22"/>
      <c r="U63" s="22"/>
      <c r="V63" s="22"/>
      <c r="W63" s="22"/>
      <c r="X63" s="37"/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>
        <v>725.94</v>
      </c>
      <c r="K64" s="21">
        <v>24</v>
      </c>
      <c r="L64" s="79"/>
      <c r="M64" s="43"/>
      <c r="N64" s="43"/>
      <c r="O64" s="43"/>
      <c r="P64" s="43"/>
      <c r="Q64" s="43"/>
      <c r="R64" s="43"/>
      <c r="S64" s="43"/>
      <c r="T64" s="22"/>
      <c r="U64" s="22"/>
      <c r="V64" s="22"/>
      <c r="W64" s="22"/>
      <c r="X64" s="37"/>
      <c r="Y64" s="15"/>
    </row>
    <row r="65" spans="1:25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23464.799999999996</v>
      </c>
      <c r="K65" s="21"/>
      <c r="L65" s="79"/>
      <c r="M65" s="43"/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37"/>
      <c r="Y65" s="83"/>
    </row>
    <row r="66" spans="1:25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7"/>
      <c r="Y66" s="16">
        <f>SUM(Y59:Y64)</f>
        <v>0</v>
      </c>
    </row>
    <row r="67" spans="1:25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38"/>
    </row>
    <row r="68" spans="1:25" x14ac:dyDescent="0.3">
      <c r="A68" s="24"/>
      <c r="B68" s="22"/>
      <c r="C68" s="22"/>
      <c r="D68" s="22"/>
      <c r="E68" s="22"/>
      <c r="F68" s="22"/>
      <c r="G68" s="22"/>
      <c r="H68" s="22"/>
      <c r="I68" s="23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8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8"/>
      <c r="V72" s="28"/>
      <c r="W72" s="22"/>
      <c r="X72" s="22"/>
      <c r="Y72" s="23"/>
    </row>
    <row r="73" spans="1:25" x14ac:dyDescent="0.3">
      <c r="A73" s="24">
        <f t="shared" ref="A73:G73" si="12">SUM(A59:A72)</f>
        <v>3997.67</v>
      </c>
      <c r="B73" s="22">
        <f t="shared" si="12"/>
        <v>3704.86</v>
      </c>
      <c r="C73" s="22">
        <f t="shared" si="12"/>
        <v>3874.5499999999997</v>
      </c>
      <c r="D73" s="22">
        <f t="shared" si="12"/>
        <v>3694.54</v>
      </c>
      <c r="E73" s="22">
        <f t="shared" si="12"/>
        <v>480</v>
      </c>
      <c r="F73" s="22">
        <f t="shared" si="12"/>
        <v>3837.67</v>
      </c>
      <c r="G73" s="22">
        <f t="shared" si="12"/>
        <v>3552.46</v>
      </c>
      <c r="H73" s="29">
        <f>SUM(A73:G73)+I65</f>
        <v>46606.549999999996</v>
      </c>
      <c r="I73" s="30" t="s">
        <v>7</v>
      </c>
      <c r="K73" s="24">
        <f t="shared" ref="K73:X73" si="13">SUM(K60:K72)</f>
        <v>4606</v>
      </c>
      <c r="L73" s="22">
        <f t="shared" si="13"/>
        <v>0</v>
      </c>
      <c r="M73" s="22">
        <f t="shared" si="13"/>
        <v>0</v>
      </c>
      <c r="N73" s="22">
        <f t="shared" si="13"/>
        <v>0</v>
      </c>
      <c r="O73" s="22">
        <f t="shared" si="13"/>
        <v>0</v>
      </c>
      <c r="P73" s="22">
        <f t="shared" si="13"/>
        <v>0</v>
      </c>
      <c r="Q73" s="22">
        <f t="shared" si="13"/>
        <v>0</v>
      </c>
      <c r="R73" s="22">
        <f t="shared" si="13"/>
        <v>0</v>
      </c>
      <c r="S73" s="22">
        <f t="shared" si="13"/>
        <v>0</v>
      </c>
      <c r="T73" s="22">
        <f t="shared" si="13"/>
        <v>0</v>
      </c>
      <c r="U73" s="22">
        <f t="shared" si="13"/>
        <v>0</v>
      </c>
      <c r="V73" s="22">
        <f t="shared" si="13"/>
        <v>0</v>
      </c>
      <c r="W73" s="22">
        <f t="shared" si="13"/>
        <v>0</v>
      </c>
      <c r="X73" s="22">
        <f t="shared" si="13"/>
        <v>0</v>
      </c>
      <c r="Y73" s="33">
        <f>K74+M74+O74+Q74+S74+U74+W74</f>
        <v>4606</v>
      </c>
    </row>
    <row r="74" spans="1:25" x14ac:dyDescent="0.3">
      <c r="A74" s="31">
        <v>3997.67</v>
      </c>
      <c r="B74" s="32">
        <v>3704.86</v>
      </c>
      <c r="C74" s="32">
        <v>3874.55</v>
      </c>
      <c r="D74" s="32">
        <v>3694.54</v>
      </c>
      <c r="E74" s="32">
        <v>480</v>
      </c>
      <c r="F74" s="32">
        <v>3837.67</v>
      </c>
      <c r="G74" s="32">
        <v>3552.46</v>
      </c>
      <c r="H74" s="22">
        <f>SUM(A74:G74)+I65</f>
        <v>46606.549999999996</v>
      </c>
      <c r="I74" s="33" t="s">
        <v>1</v>
      </c>
      <c r="K74" s="85">
        <v>4606</v>
      </c>
      <c r="L74" s="85"/>
      <c r="M74" s="85"/>
      <c r="N74" s="85"/>
      <c r="O74" s="32"/>
      <c r="P74" s="32"/>
      <c r="Q74" s="32"/>
      <c r="R74" s="32"/>
      <c r="S74" s="32"/>
      <c r="T74" s="32"/>
      <c r="U74" s="32"/>
      <c r="V74" s="32"/>
      <c r="W74" s="32"/>
      <c r="X74" s="22"/>
      <c r="Y74" s="33">
        <f>L74+N74+P74+R74+T74+V74+X74</f>
        <v>0</v>
      </c>
    </row>
    <row r="75" spans="1:25" ht="15" thickBot="1" x14ac:dyDescent="0.35">
      <c r="A75" s="34">
        <f t="shared" ref="A75:G75" si="14">A73-A74</f>
        <v>0</v>
      </c>
      <c r="B75" s="35">
        <f t="shared" si="14"/>
        <v>0</v>
      </c>
      <c r="C75" s="35">
        <f t="shared" si="14"/>
        <v>0</v>
      </c>
      <c r="D75" s="35">
        <f t="shared" si="14"/>
        <v>0</v>
      </c>
      <c r="E75" s="35">
        <f t="shared" si="14"/>
        <v>0</v>
      </c>
      <c r="F75" s="35">
        <f t="shared" si="14"/>
        <v>0</v>
      </c>
      <c r="G75" s="35">
        <f t="shared" si="14"/>
        <v>0</v>
      </c>
      <c r="H75" s="35"/>
      <c r="I75" s="36"/>
      <c r="K75" s="86">
        <f t="shared" ref="K75:X75" si="15">K73-K74</f>
        <v>0</v>
      </c>
      <c r="L75" s="86">
        <f t="shared" si="15"/>
        <v>0</v>
      </c>
      <c r="M75" s="86">
        <f t="shared" si="15"/>
        <v>0</v>
      </c>
      <c r="N75" s="86">
        <f t="shared" si="15"/>
        <v>0</v>
      </c>
      <c r="O75" s="86">
        <f t="shared" si="15"/>
        <v>0</v>
      </c>
      <c r="P75" s="86">
        <f t="shared" si="15"/>
        <v>0</v>
      </c>
      <c r="Q75" s="86">
        <f t="shared" si="15"/>
        <v>0</v>
      </c>
      <c r="R75" s="86">
        <f t="shared" si="15"/>
        <v>0</v>
      </c>
      <c r="S75" s="86">
        <f t="shared" si="15"/>
        <v>0</v>
      </c>
      <c r="T75" s="86">
        <f t="shared" si="15"/>
        <v>0</v>
      </c>
      <c r="U75" s="86">
        <f t="shared" si="15"/>
        <v>0</v>
      </c>
      <c r="V75" s="86">
        <f t="shared" si="15"/>
        <v>0</v>
      </c>
      <c r="W75" s="86">
        <f t="shared" si="15"/>
        <v>0</v>
      </c>
      <c r="X75" s="86">
        <f t="shared" si="15"/>
        <v>0</v>
      </c>
      <c r="Y75" s="87"/>
    </row>
    <row r="76" spans="1:25" ht="15" thickTop="1" x14ac:dyDescent="0.3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878C-A230-43BB-B03E-99703EF3241E}">
  <dimension ref="A1:AA112"/>
  <sheetViews>
    <sheetView topLeftCell="E64" workbookViewId="0">
      <selection activeCell="K77" sqref="K77:Y94"/>
    </sheetView>
  </sheetViews>
  <sheetFormatPr defaultRowHeight="14.4" x14ac:dyDescent="0.3"/>
  <cols>
    <col min="1" max="3" width="14.6640625" customWidth="1"/>
    <col min="4" max="4" width="14.6640625" style="90" customWidth="1"/>
    <col min="5" max="9" width="14.6640625" customWidth="1"/>
    <col min="11" max="11" width="12.5546875" customWidth="1"/>
    <col min="12" max="12" width="10.6640625" bestFit="1" customWidth="1"/>
    <col min="13" max="13" width="11" customWidth="1"/>
    <col min="14" max="14" width="10.33203125" customWidth="1"/>
    <col min="15" max="15" width="11" customWidth="1"/>
    <col min="16" max="16" width="11.6640625" customWidth="1"/>
    <col min="17" max="17" width="13.109375" customWidth="1"/>
    <col min="18" max="18" width="11.33203125" customWidth="1"/>
    <col min="19" max="19" width="11.6640625" customWidth="1"/>
    <col min="20" max="20" width="11.109375" customWidth="1"/>
    <col min="21" max="21" width="11.5546875" customWidth="1"/>
    <col min="23" max="23" width="12.88671875" customWidth="1"/>
    <col min="24" max="24" width="10.6640625" bestFit="1" customWidth="1"/>
    <col min="25" max="25" width="13.33203125" customWidth="1"/>
    <col min="27" max="27" width="10" bestFit="1" customWidth="1"/>
  </cols>
  <sheetData>
    <row r="1" spans="1:27" x14ac:dyDescent="0.3">
      <c r="A1" s="17">
        <v>45105</v>
      </c>
      <c r="B1" s="17">
        <v>45106</v>
      </c>
      <c r="C1" s="17">
        <v>45107</v>
      </c>
      <c r="D1" s="100">
        <v>45108</v>
      </c>
      <c r="E1" s="17">
        <v>45109</v>
      </c>
      <c r="F1" s="17">
        <v>45110</v>
      </c>
      <c r="G1" s="17">
        <v>45111</v>
      </c>
      <c r="H1" s="17"/>
      <c r="I1" s="13" t="s">
        <v>8</v>
      </c>
      <c r="K1" s="59">
        <v>45105</v>
      </c>
      <c r="L1" s="59"/>
      <c r="M1" s="59">
        <v>45106</v>
      </c>
      <c r="N1" s="59"/>
      <c r="O1" s="59">
        <v>45107</v>
      </c>
      <c r="P1" s="59"/>
      <c r="Q1" s="59">
        <v>45108</v>
      </c>
      <c r="R1" s="59"/>
      <c r="S1" s="59">
        <v>45109</v>
      </c>
      <c r="T1" s="59"/>
      <c r="U1" s="59">
        <v>45110</v>
      </c>
      <c r="V1" s="59"/>
      <c r="W1" s="59">
        <v>45111</v>
      </c>
      <c r="X1" s="59"/>
      <c r="Y1" s="13"/>
    </row>
    <row r="2" spans="1:27" ht="15" thickBot="1" x14ac:dyDescent="0.35">
      <c r="A2" s="21">
        <v>1526.9</v>
      </c>
      <c r="B2" s="22">
        <v>653.45000000000005</v>
      </c>
      <c r="C2" s="22">
        <v>1341.9</v>
      </c>
      <c r="D2" s="91">
        <v>735</v>
      </c>
      <c r="E2" s="22">
        <v>580</v>
      </c>
      <c r="F2" s="22">
        <v>820</v>
      </c>
      <c r="G2" s="22">
        <v>1150</v>
      </c>
      <c r="H2" s="37"/>
      <c r="I2" s="14">
        <v>6797.4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7" x14ac:dyDescent="0.3">
      <c r="A3" s="24">
        <v>1884.65</v>
      </c>
      <c r="B3" s="22">
        <v>895.35</v>
      </c>
      <c r="C3" s="22">
        <v>1720.17</v>
      </c>
      <c r="D3" s="91">
        <v>1517.86</v>
      </c>
      <c r="E3" s="25">
        <v>120</v>
      </c>
      <c r="F3" s="22">
        <v>2760.47</v>
      </c>
      <c r="G3" s="22">
        <v>2850.47</v>
      </c>
      <c r="H3" s="37"/>
      <c r="I3" s="14">
        <v>6085</v>
      </c>
      <c r="K3" s="75">
        <v>5400</v>
      </c>
      <c r="L3" s="76">
        <v>57.5</v>
      </c>
      <c r="M3" s="77">
        <v>5490</v>
      </c>
      <c r="N3" s="77">
        <v>57.5</v>
      </c>
      <c r="O3" s="77">
        <v>5480</v>
      </c>
      <c r="P3" s="77">
        <v>240</v>
      </c>
      <c r="Q3" s="77">
        <v>710</v>
      </c>
      <c r="R3" s="77">
        <v>42.5</v>
      </c>
      <c r="S3" s="78">
        <v>240</v>
      </c>
      <c r="T3" s="69"/>
      <c r="U3" s="63">
        <v>1950</v>
      </c>
      <c r="V3" s="63">
        <v>460</v>
      </c>
      <c r="W3" s="63">
        <v>1760</v>
      </c>
      <c r="X3" s="65">
        <v>102.5</v>
      </c>
      <c r="Y3" s="14"/>
    </row>
    <row r="4" spans="1:27" x14ac:dyDescent="0.3">
      <c r="A4" s="24">
        <v>593.1</v>
      </c>
      <c r="B4" s="22">
        <v>1880.48</v>
      </c>
      <c r="C4" s="22">
        <v>488.1</v>
      </c>
      <c r="D4" s="101">
        <v>480</v>
      </c>
      <c r="E4" s="22"/>
      <c r="F4" s="22"/>
      <c r="G4" s="22">
        <v>475</v>
      </c>
      <c r="H4" s="37"/>
      <c r="I4" s="15">
        <v>3793.52</v>
      </c>
      <c r="K4" s="21">
        <v>1800</v>
      </c>
      <c r="L4" s="79">
        <v>27.9</v>
      </c>
      <c r="M4" s="43">
        <v>1600</v>
      </c>
      <c r="N4" s="43"/>
      <c r="O4" s="43">
        <v>2500</v>
      </c>
      <c r="P4" s="43">
        <v>65</v>
      </c>
      <c r="Q4" s="80">
        <v>1290</v>
      </c>
      <c r="R4" s="80"/>
      <c r="S4" s="43">
        <v>140</v>
      </c>
      <c r="T4" s="22"/>
      <c r="U4" s="22">
        <v>2710</v>
      </c>
      <c r="V4" s="22">
        <v>52.9</v>
      </c>
      <c r="W4" s="22">
        <v>2170</v>
      </c>
      <c r="X4" s="37"/>
      <c r="Y4" s="15"/>
    </row>
    <row r="5" spans="1:27" x14ac:dyDescent="0.3">
      <c r="A5" s="24"/>
      <c r="B5" s="22">
        <v>346.2</v>
      </c>
      <c r="C5" s="22"/>
      <c r="D5" s="89"/>
      <c r="E5" s="22"/>
      <c r="F5" s="22">
        <v>920</v>
      </c>
      <c r="G5" s="22"/>
      <c r="H5" s="37"/>
      <c r="I5" s="15">
        <v>1410.51</v>
      </c>
      <c r="K5" s="21">
        <v>130</v>
      </c>
      <c r="L5" s="79">
        <v>120</v>
      </c>
      <c r="M5" s="43">
        <v>770</v>
      </c>
      <c r="N5" s="43"/>
      <c r="O5" s="43">
        <v>470</v>
      </c>
      <c r="P5" s="43">
        <v>320</v>
      </c>
      <c r="Q5" s="80">
        <v>520</v>
      </c>
      <c r="R5" s="81"/>
      <c r="S5" s="43">
        <v>72</v>
      </c>
      <c r="T5" s="22"/>
      <c r="U5" s="22">
        <v>350</v>
      </c>
      <c r="V5" s="22"/>
      <c r="W5" s="22">
        <v>880</v>
      </c>
      <c r="X5" s="37"/>
      <c r="Y5" s="15"/>
    </row>
    <row r="6" spans="1:27" x14ac:dyDescent="0.3">
      <c r="A6" s="24"/>
      <c r="B6" s="22"/>
      <c r="C6" s="22"/>
      <c r="D6" s="88"/>
      <c r="E6" s="22"/>
      <c r="F6" s="22"/>
      <c r="G6" s="22"/>
      <c r="H6" s="37"/>
      <c r="I6" s="15">
        <v>862.08</v>
      </c>
      <c r="K6" s="21">
        <v>222</v>
      </c>
      <c r="L6" s="79"/>
      <c r="M6" s="43">
        <v>300</v>
      </c>
      <c r="N6" s="43"/>
      <c r="O6" s="43">
        <v>516</v>
      </c>
      <c r="P6" s="43"/>
      <c r="Q6" s="43">
        <v>228</v>
      </c>
      <c r="R6" s="43"/>
      <c r="S6" s="43"/>
      <c r="T6" s="22"/>
      <c r="U6" s="22">
        <v>300</v>
      </c>
      <c r="V6" s="22"/>
      <c r="W6" s="22">
        <v>372</v>
      </c>
      <c r="X6" s="37"/>
      <c r="Y6" s="15"/>
    </row>
    <row r="7" spans="1:27" x14ac:dyDescent="0.3">
      <c r="A7" s="24"/>
      <c r="B7" s="22"/>
      <c r="C7" s="22"/>
      <c r="D7" s="88"/>
      <c r="E7" s="22"/>
      <c r="F7" s="22"/>
      <c r="G7" s="22"/>
      <c r="H7" s="37"/>
      <c r="I7" s="15">
        <v>3598.38</v>
      </c>
      <c r="K7" s="21">
        <v>30</v>
      </c>
      <c r="L7" s="79"/>
      <c r="M7" s="43">
        <v>72</v>
      </c>
      <c r="N7" s="43"/>
      <c r="O7" s="43"/>
      <c r="P7" s="43"/>
      <c r="Q7" s="43">
        <v>102</v>
      </c>
      <c r="R7" s="43"/>
      <c r="S7" s="43"/>
      <c r="T7" s="22"/>
      <c r="U7" s="22">
        <v>26</v>
      </c>
      <c r="V7" s="22"/>
      <c r="W7" s="22">
        <v>72</v>
      </c>
      <c r="X7" s="37"/>
      <c r="Y7" s="15"/>
    </row>
    <row r="8" spans="1:27" ht="15" thickBot="1" x14ac:dyDescent="0.35">
      <c r="A8" s="24"/>
      <c r="B8" s="22"/>
      <c r="C8" s="22"/>
      <c r="D8" s="88"/>
      <c r="E8" s="22"/>
      <c r="F8" s="22"/>
      <c r="G8" s="22"/>
      <c r="H8" s="37"/>
      <c r="I8" s="16">
        <f>SUM(I2:I7)</f>
        <v>22546.89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37"/>
      <c r="Y8" s="83"/>
    </row>
    <row r="9" spans="1:27" ht="15.6" thickTop="1" thickBot="1" x14ac:dyDescent="0.35">
      <c r="A9" s="24"/>
      <c r="B9" s="22"/>
      <c r="C9" s="22"/>
      <c r="D9" s="88"/>
      <c r="E9" s="22"/>
      <c r="F9" s="22"/>
      <c r="G9" s="22"/>
      <c r="H9" s="22"/>
      <c r="I9" s="38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7"/>
      <c r="Y9" s="16">
        <f>SUM(Y2:Y7)</f>
        <v>0</v>
      </c>
    </row>
    <row r="10" spans="1:27" ht="15" thickTop="1" x14ac:dyDescent="0.3">
      <c r="A10" s="24"/>
      <c r="B10" s="22"/>
      <c r="C10" s="22"/>
      <c r="D10" s="88"/>
      <c r="E10" s="22"/>
      <c r="F10" s="22"/>
      <c r="G10" s="22"/>
      <c r="H10" s="22"/>
      <c r="I10" s="23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7" x14ac:dyDescent="0.3">
      <c r="A11" s="24"/>
      <c r="B11" s="22"/>
      <c r="C11" s="22"/>
      <c r="D11" s="88"/>
      <c r="E11" s="22"/>
      <c r="F11" s="22"/>
      <c r="G11" s="22"/>
      <c r="H11" s="22"/>
      <c r="I11" s="23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7" x14ac:dyDescent="0.3">
      <c r="A12" s="24"/>
      <c r="B12" s="22"/>
      <c r="C12" s="22"/>
      <c r="D12" s="88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7" x14ac:dyDescent="0.3">
      <c r="A13" s="24"/>
      <c r="B13" s="22"/>
      <c r="C13" s="22"/>
      <c r="D13" s="88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7" x14ac:dyDescent="0.3">
      <c r="A14" s="24"/>
      <c r="B14" s="22"/>
      <c r="C14" s="22"/>
      <c r="D14" s="88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7" x14ac:dyDescent="0.3">
      <c r="A15" s="24"/>
      <c r="B15" s="22"/>
      <c r="C15" s="22"/>
      <c r="D15" s="88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7" x14ac:dyDescent="0.3">
      <c r="A16" s="24">
        <f t="shared" ref="A16:G16" si="0">SUM(A2:A15)</f>
        <v>4004.65</v>
      </c>
      <c r="B16" s="22">
        <f t="shared" si="0"/>
        <v>3775.48</v>
      </c>
      <c r="C16" s="22">
        <f t="shared" si="0"/>
        <v>3550.17</v>
      </c>
      <c r="D16" s="91">
        <f>SUM(D2:D15)</f>
        <v>2732.8599999999997</v>
      </c>
      <c r="E16" s="22">
        <f t="shared" si="0"/>
        <v>700</v>
      </c>
      <c r="F16" s="22">
        <f t="shared" si="0"/>
        <v>4500.4699999999993</v>
      </c>
      <c r="G16" s="22">
        <f t="shared" si="0"/>
        <v>4475.4699999999993</v>
      </c>
      <c r="H16" s="29">
        <f>SUM(A16:G16)+I8</f>
        <v>46285.99</v>
      </c>
      <c r="I16" s="30" t="s">
        <v>7</v>
      </c>
      <c r="K16" s="24">
        <f t="shared" ref="K16:X16" si="1">SUM(K3:K15)</f>
        <v>7582</v>
      </c>
      <c r="L16" s="22">
        <f t="shared" si="1"/>
        <v>205.4</v>
      </c>
      <c r="M16" s="22">
        <f t="shared" si="1"/>
        <v>8232</v>
      </c>
      <c r="N16" s="22">
        <f t="shared" si="1"/>
        <v>57.5</v>
      </c>
      <c r="O16" s="22">
        <f t="shared" si="1"/>
        <v>8966</v>
      </c>
      <c r="P16" s="22">
        <f t="shared" si="1"/>
        <v>625</v>
      </c>
      <c r="Q16" s="22">
        <f t="shared" si="1"/>
        <v>2850</v>
      </c>
      <c r="R16" s="22">
        <f t="shared" si="1"/>
        <v>42.5</v>
      </c>
      <c r="S16" s="22">
        <f t="shared" si="1"/>
        <v>452</v>
      </c>
      <c r="T16" s="22">
        <f t="shared" si="1"/>
        <v>0</v>
      </c>
      <c r="U16" s="22">
        <f t="shared" si="1"/>
        <v>5336</v>
      </c>
      <c r="V16" s="22">
        <f t="shared" si="1"/>
        <v>512.9</v>
      </c>
      <c r="W16" s="22">
        <f t="shared" si="1"/>
        <v>5254</v>
      </c>
      <c r="X16" s="22">
        <f t="shared" si="1"/>
        <v>102.5</v>
      </c>
      <c r="Y16" s="33">
        <f>K17+M17+O17+Q17+S17+U17+W17</f>
        <v>38672</v>
      </c>
      <c r="AA16" s="1"/>
    </row>
    <row r="17" spans="1:27" x14ac:dyDescent="0.3">
      <c r="A17" s="31">
        <v>4004.65</v>
      </c>
      <c r="B17" s="32">
        <v>3775.48</v>
      </c>
      <c r="C17" s="32">
        <v>3550.17</v>
      </c>
      <c r="D17" s="92">
        <v>2732.86</v>
      </c>
      <c r="E17" s="32">
        <v>700</v>
      </c>
      <c r="F17" s="32">
        <v>4500.47</v>
      </c>
      <c r="G17" s="32">
        <v>4475.47</v>
      </c>
      <c r="H17" s="22">
        <f>SUM(A17:G17)+I8</f>
        <v>46285.990000000005</v>
      </c>
      <c r="I17" s="33" t="s">
        <v>1</v>
      </c>
      <c r="K17" s="85">
        <v>7582</v>
      </c>
      <c r="L17" s="32">
        <v>205.4</v>
      </c>
      <c r="M17" s="32">
        <v>8232</v>
      </c>
      <c r="N17" s="32">
        <v>57.5</v>
      </c>
      <c r="O17" s="32">
        <v>8966</v>
      </c>
      <c r="P17" s="32">
        <v>625</v>
      </c>
      <c r="Q17" s="32">
        <v>2850</v>
      </c>
      <c r="R17" s="32">
        <v>42.5</v>
      </c>
      <c r="S17" s="32">
        <v>452</v>
      </c>
      <c r="T17" s="32">
        <v>0</v>
      </c>
      <c r="U17" s="32">
        <v>5336</v>
      </c>
      <c r="V17" s="32">
        <v>512</v>
      </c>
      <c r="W17" s="32">
        <v>5254</v>
      </c>
      <c r="X17" s="22">
        <v>102.5</v>
      </c>
      <c r="Y17" s="33">
        <f>L17+N17+P17+R17+T17+V17+X17</f>
        <v>1544.9</v>
      </c>
      <c r="AA17" s="1"/>
    </row>
    <row r="18" spans="1:27" ht="15" thickBot="1" x14ac:dyDescent="0.35">
      <c r="A18" s="34">
        <f t="shared" ref="A18:G18" si="2">A16-A17</f>
        <v>0</v>
      </c>
      <c r="B18" s="35">
        <f t="shared" si="2"/>
        <v>0</v>
      </c>
      <c r="C18" s="35">
        <f t="shared" si="2"/>
        <v>0</v>
      </c>
      <c r="D18" s="102">
        <f t="shared" si="2"/>
        <v>0</v>
      </c>
      <c r="E18" s="35">
        <f t="shared" si="2"/>
        <v>0</v>
      </c>
      <c r="F18" s="35">
        <f t="shared" si="2"/>
        <v>0</v>
      </c>
      <c r="G18" s="35">
        <f t="shared" si="2"/>
        <v>0</v>
      </c>
      <c r="H18" s="35"/>
      <c r="I18" s="36"/>
      <c r="K18" s="86">
        <f t="shared" ref="K18:X18" si="3">K16-K17</f>
        <v>0</v>
      </c>
      <c r="L18" s="86">
        <f t="shared" si="3"/>
        <v>0</v>
      </c>
      <c r="M18" s="86">
        <f t="shared" si="3"/>
        <v>0</v>
      </c>
      <c r="N18" s="86">
        <f t="shared" si="3"/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0.89999999999997726</v>
      </c>
      <c r="W18" s="86">
        <f t="shared" si="3"/>
        <v>0</v>
      </c>
      <c r="X18" s="86">
        <f t="shared" si="3"/>
        <v>0</v>
      </c>
      <c r="Y18" s="87"/>
    </row>
    <row r="19" spans="1:27" ht="15.6" thickTop="1" thickBot="1" x14ac:dyDescent="0.35">
      <c r="D19" s="93"/>
    </row>
    <row r="20" spans="1:27" x14ac:dyDescent="0.3">
      <c r="A20" s="17">
        <v>45112</v>
      </c>
      <c r="B20" s="17">
        <v>45113</v>
      </c>
      <c r="C20" s="17">
        <v>45114</v>
      </c>
      <c r="D20" s="17">
        <v>45115</v>
      </c>
      <c r="E20" s="17">
        <v>45116</v>
      </c>
      <c r="F20" s="17">
        <v>45117</v>
      </c>
      <c r="G20" s="17">
        <v>45118</v>
      </c>
      <c r="H20" s="17"/>
      <c r="I20" s="13" t="s">
        <v>8</v>
      </c>
      <c r="K20" s="59">
        <v>45112</v>
      </c>
      <c r="L20" s="59"/>
      <c r="M20" s="59">
        <v>45113</v>
      </c>
      <c r="N20" s="59"/>
      <c r="O20" s="59">
        <v>45114</v>
      </c>
      <c r="P20" s="59"/>
      <c r="Q20" s="59">
        <v>45115</v>
      </c>
      <c r="R20" s="59"/>
      <c r="S20" s="59">
        <v>45116</v>
      </c>
      <c r="T20" s="59"/>
      <c r="U20" s="59">
        <v>45117</v>
      </c>
      <c r="V20" s="59"/>
      <c r="W20" s="59">
        <v>45118</v>
      </c>
      <c r="X20" s="59"/>
      <c r="Y20" s="13"/>
    </row>
    <row r="21" spans="1:27" ht="15" thickBot="1" x14ac:dyDescent="0.35">
      <c r="A21" s="21">
        <v>1150</v>
      </c>
      <c r="B21" s="22">
        <v>1020</v>
      </c>
      <c r="C21" s="22">
        <v>1375</v>
      </c>
      <c r="D21" s="22">
        <v>685</v>
      </c>
      <c r="E21" s="22">
        <v>240</v>
      </c>
      <c r="F21" s="22">
        <v>1045</v>
      </c>
      <c r="G21" s="22">
        <v>750</v>
      </c>
      <c r="H21" s="37"/>
      <c r="I21" s="14">
        <v>5922.75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7" x14ac:dyDescent="0.3">
      <c r="A22" s="24">
        <v>2827.97</v>
      </c>
      <c r="B22" s="22">
        <v>2463.06</v>
      </c>
      <c r="C22" s="22">
        <v>2480.56</v>
      </c>
      <c r="D22" s="25">
        <v>870</v>
      </c>
      <c r="E22" s="25"/>
      <c r="F22" s="22">
        <v>2623</v>
      </c>
      <c r="G22" s="22">
        <v>2463</v>
      </c>
      <c r="H22" s="37"/>
      <c r="I22" s="14">
        <v>5289.97</v>
      </c>
      <c r="K22" s="75">
        <v>1730</v>
      </c>
      <c r="L22" s="76">
        <v>156.5</v>
      </c>
      <c r="M22" s="77">
        <v>1850</v>
      </c>
      <c r="N22" s="77">
        <v>42.5</v>
      </c>
      <c r="O22" s="77">
        <v>1550</v>
      </c>
      <c r="P22" s="77">
        <v>1500</v>
      </c>
      <c r="Q22" s="77">
        <v>770</v>
      </c>
      <c r="R22" s="77">
        <v>2040</v>
      </c>
      <c r="S22" s="78">
        <v>480</v>
      </c>
      <c r="T22" s="69"/>
      <c r="U22" s="63">
        <v>1840</v>
      </c>
      <c r="V22" s="63">
        <v>80</v>
      </c>
      <c r="W22" s="63">
        <v>2080</v>
      </c>
      <c r="X22" s="65">
        <v>42.5</v>
      </c>
      <c r="Y22" s="14"/>
    </row>
    <row r="23" spans="1:27" x14ac:dyDescent="0.3">
      <c r="A23" s="24">
        <v>565</v>
      </c>
      <c r="B23" s="22">
        <v>585</v>
      </c>
      <c r="C23" s="22">
        <v>405</v>
      </c>
      <c r="D23" s="22">
        <v>610</v>
      </c>
      <c r="E23" s="22"/>
      <c r="F23" s="22">
        <v>185</v>
      </c>
      <c r="G23" s="22">
        <v>710</v>
      </c>
      <c r="H23" s="37"/>
      <c r="I23" s="15">
        <v>4755</v>
      </c>
      <c r="K23" s="21">
        <v>3525</v>
      </c>
      <c r="L23" s="79"/>
      <c r="M23" s="43">
        <v>2055</v>
      </c>
      <c r="N23" s="43">
        <v>26.1</v>
      </c>
      <c r="O23" s="43">
        <v>2445</v>
      </c>
      <c r="P23" s="43">
        <v>50</v>
      </c>
      <c r="Q23" s="80">
        <v>1450</v>
      </c>
      <c r="R23" s="80">
        <v>60</v>
      </c>
      <c r="S23" s="43">
        <v>140</v>
      </c>
      <c r="T23" s="22"/>
      <c r="U23" s="22">
        <v>2720</v>
      </c>
      <c r="V23" s="22"/>
      <c r="W23" s="22">
        <v>2115</v>
      </c>
      <c r="X23" s="37">
        <v>65</v>
      </c>
      <c r="Y23" s="15"/>
    </row>
    <row r="24" spans="1:27" x14ac:dyDescent="0.3">
      <c r="A24" s="24"/>
      <c r="B24" s="22"/>
      <c r="C24" s="22"/>
      <c r="D24" s="22"/>
      <c r="E24" s="22"/>
      <c r="F24" s="22">
        <v>1095</v>
      </c>
      <c r="G24" s="22"/>
      <c r="H24" s="37"/>
      <c r="I24" s="15">
        <v>780</v>
      </c>
      <c r="K24" s="21">
        <v>575</v>
      </c>
      <c r="L24" s="79"/>
      <c r="M24" s="43">
        <v>1075</v>
      </c>
      <c r="N24" s="43"/>
      <c r="O24" s="43">
        <v>605</v>
      </c>
      <c r="P24" s="43">
        <v>2000</v>
      </c>
      <c r="Q24" s="80">
        <v>440</v>
      </c>
      <c r="R24" s="81"/>
      <c r="S24" s="43">
        <v>140</v>
      </c>
      <c r="T24" s="22"/>
      <c r="U24" s="22">
        <v>920</v>
      </c>
      <c r="V24" s="22"/>
      <c r="W24" s="22">
        <v>1465</v>
      </c>
      <c r="X24" s="37"/>
      <c r="Y24" s="15"/>
    </row>
    <row r="25" spans="1:27" x14ac:dyDescent="0.3">
      <c r="A25" s="24"/>
      <c r="B25" s="22"/>
      <c r="C25" s="22"/>
      <c r="D25" s="22"/>
      <c r="E25" s="22"/>
      <c r="F25" s="22"/>
      <c r="G25" s="22"/>
      <c r="H25" s="37"/>
      <c r="I25" s="15">
        <v>4005.15</v>
      </c>
      <c r="K25" s="21">
        <v>222</v>
      </c>
      <c r="L25" s="79"/>
      <c r="M25" s="43">
        <v>300</v>
      </c>
      <c r="N25" s="43"/>
      <c r="O25" s="43">
        <v>144</v>
      </c>
      <c r="P25" s="43"/>
      <c r="Q25" s="43">
        <v>348</v>
      </c>
      <c r="R25" s="43"/>
      <c r="S25" s="43">
        <v>72</v>
      </c>
      <c r="T25" s="22"/>
      <c r="U25" s="22">
        <v>300</v>
      </c>
      <c r="V25" s="22"/>
      <c r="W25" s="22">
        <v>300</v>
      </c>
      <c r="X25" s="37"/>
      <c r="Y25" s="15"/>
    </row>
    <row r="26" spans="1:27" x14ac:dyDescent="0.3">
      <c r="A26" s="24"/>
      <c r="B26" s="22"/>
      <c r="C26" s="22"/>
      <c r="D26" s="22"/>
      <c r="E26" s="22"/>
      <c r="F26" s="22"/>
      <c r="G26" s="22"/>
      <c r="H26" s="37"/>
      <c r="I26" s="15"/>
      <c r="K26" s="21"/>
      <c r="L26" s="79"/>
      <c r="M26" s="43">
        <v>72</v>
      </c>
      <c r="N26" s="43"/>
      <c r="O26" s="43"/>
      <c r="P26" s="43"/>
      <c r="Q26" s="43">
        <v>96</v>
      </c>
      <c r="R26" s="43"/>
      <c r="S26" s="43"/>
      <c r="T26" s="22"/>
      <c r="U26" s="22"/>
      <c r="V26" s="22"/>
      <c r="W26" s="22">
        <v>72</v>
      </c>
      <c r="X26" s="37"/>
      <c r="Y26" s="15"/>
    </row>
    <row r="27" spans="1:27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20752.870000000003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7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7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J29" t="s">
        <v>9</v>
      </c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7" x14ac:dyDescent="0.3">
      <c r="A30" s="24"/>
      <c r="B30" s="22"/>
      <c r="C30" s="22"/>
      <c r="D30" s="22"/>
      <c r="E30" s="22"/>
      <c r="F30" s="22"/>
      <c r="G30" s="22"/>
      <c r="H30" s="22"/>
      <c r="I30" s="23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7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7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7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  <c r="AA33">
        <v>13892</v>
      </c>
    </row>
    <row r="34" spans="1:27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  <c r="AA34">
        <v>657</v>
      </c>
    </row>
    <row r="35" spans="1:27" x14ac:dyDescent="0.3">
      <c r="A35" s="24">
        <f t="shared" ref="A35:G35" si="4">SUM(A21:A34)</f>
        <v>4542.9699999999993</v>
      </c>
      <c r="B35" s="22">
        <f t="shared" si="4"/>
        <v>4068.06</v>
      </c>
      <c r="C35" s="22">
        <f t="shared" si="4"/>
        <v>4260.5599999999995</v>
      </c>
      <c r="D35" s="22">
        <f t="shared" si="4"/>
        <v>2165</v>
      </c>
      <c r="E35" s="22">
        <f t="shared" si="4"/>
        <v>240</v>
      </c>
      <c r="F35" s="22">
        <f t="shared" si="4"/>
        <v>4948</v>
      </c>
      <c r="G35" s="22">
        <f t="shared" si="4"/>
        <v>3923</v>
      </c>
      <c r="H35" s="29">
        <f>SUM(A35:G35)+I27</f>
        <v>44900.46</v>
      </c>
      <c r="I35" s="30" t="s">
        <v>7</v>
      </c>
      <c r="K35" s="24">
        <f t="shared" ref="K35:X35" si="5">SUM(K22:K34)</f>
        <v>6052</v>
      </c>
      <c r="L35" s="22">
        <f t="shared" si="5"/>
        <v>156.5</v>
      </c>
      <c r="M35" s="22">
        <f t="shared" si="5"/>
        <v>5352</v>
      </c>
      <c r="N35" s="22">
        <f t="shared" si="5"/>
        <v>68.599999999999994</v>
      </c>
      <c r="O35" s="22">
        <f t="shared" si="5"/>
        <v>4744</v>
      </c>
      <c r="P35" s="22">
        <f t="shared" si="5"/>
        <v>3550</v>
      </c>
      <c r="Q35" s="22">
        <f t="shared" si="5"/>
        <v>3104</v>
      </c>
      <c r="R35" s="22">
        <f t="shared" si="5"/>
        <v>2100</v>
      </c>
      <c r="S35" s="22">
        <f t="shared" si="5"/>
        <v>832</v>
      </c>
      <c r="T35" s="22">
        <f t="shared" si="5"/>
        <v>0</v>
      </c>
      <c r="U35" s="22">
        <f>SUM(U22:U34)</f>
        <v>5780</v>
      </c>
      <c r="V35" s="22">
        <f t="shared" si="5"/>
        <v>80</v>
      </c>
      <c r="W35" s="22">
        <f t="shared" si="5"/>
        <v>6032</v>
      </c>
      <c r="X35" s="22">
        <f t="shared" si="5"/>
        <v>107.5</v>
      </c>
      <c r="Y35" s="33">
        <f>K36+M36+O36+Q36+S36+U36+W36</f>
        <v>31896</v>
      </c>
      <c r="AA35" s="1">
        <f>Y35</f>
        <v>31896</v>
      </c>
    </row>
    <row r="36" spans="1:27" x14ac:dyDescent="0.3">
      <c r="A36" s="31">
        <v>4542.97</v>
      </c>
      <c r="B36" s="32">
        <v>4068.06</v>
      </c>
      <c r="C36" s="32">
        <v>4260.5600000000004</v>
      </c>
      <c r="D36" s="32">
        <v>2165</v>
      </c>
      <c r="E36" s="32">
        <v>240</v>
      </c>
      <c r="F36" s="32">
        <v>4948</v>
      </c>
      <c r="G36" s="32">
        <v>3923</v>
      </c>
      <c r="H36" s="22">
        <f>SUM(A36:G36)+I27</f>
        <v>44900.460000000006</v>
      </c>
      <c r="I36" s="33" t="s">
        <v>1</v>
      </c>
      <c r="K36" s="85">
        <v>6052</v>
      </c>
      <c r="L36" s="32">
        <v>156.5</v>
      </c>
      <c r="M36" s="32">
        <v>5352</v>
      </c>
      <c r="N36" s="32">
        <v>68.599999999999994</v>
      </c>
      <c r="O36" s="32">
        <v>4744</v>
      </c>
      <c r="P36" s="32">
        <v>3550</v>
      </c>
      <c r="Q36" s="32">
        <v>3104</v>
      </c>
      <c r="R36" s="32">
        <v>2100</v>
      </c>
      <c r="S36" s="32">
        <v>832</v>
      </c>
      <c r="T36" s="32">
        <v>0</v>
      </c>
      <c r="U36" s="32">
        <v>5780</v>
      </c>
      <c r="V36" s="32">
        <v>80</v>
      </c>
      <c r="W36" s="32">
        <v>6032</v>
      </c>
      <c r="X36" s="22">
        <v>107.5</v>
      </c>
      <c r="Y36" s="33">
        <f>L36+N36+P36+R36+T36+V36+X36</f>
        <v>6062.6</v>
      </c>
      <c r="AA36" s="1">
        <f>Y36</f>
        <v>6062.6</v>
      </c>
    </row>
    <row r="37" spans="1:27" ht="15" thickBot="1" x14ac:dyDescent="0.35">
      <c r="A37" s="34">
        <f t="shared" ref="A37:G37" si="6">A35-A36</f>
        <v>0</v>
      </c>
      <c r="B37" s="35">
        <f t="shared" si="6"/>
        <v>0</v>
      </c>
      <c r="C37" s="35">
        <f t="shared" si="6"/>
        <v>0</v>
      </c>
      <c r="D37" s="35">
        <f t="shared" si="6"/>
        <v>0</v>
      </c>
      <c r="E37" s="35">
        <f t="shared" si="6"/>
        <v>0</v>
      </c>
      <c r="F37" s="35">
        <f t="shared" si="6"/>
        <v>0</v>
      </c>
      <c r="G37" s="35">
        <f t="shared" si="6"/>
        <v>0</v>
      </c>
      <c r="H37" s="35"/>
      <c r="I37" s="36"/>
      <c r="K37" s="86">
        <f t="shared" ref="K37:X37" si="7">K35-K36</f>
        <v>0</v>
      </c>
      <c r="L37" s="86">
        <f t="shared" si="7"/>
        <v>0</v>
      </c>
      <c r="M37" s="86">
        <f t="shared" si="7"/>
        <v>0</v>
      </c>
      <c r="N37" s="86">
        <f t="shared" si="7"/>
        <v>0</v>
      </c>
      <c r="O37" s="86">
        <f t="shared" si="7"/>
        <v>0</v>
      </c>
      <c r="P37" s="86">
        <f t="shared" si="7"/>
        <v>0</v>
      </c>
      <c r="Q37" s="86">
        <f t="shared" si="7"/>
        <v>0</v>
      </c>
      <c r="R37" s="86">
        <f t="shared" si="7"/>
        <v>0</v>
      </c>
      <c r="S37" s="86">
        <f t="shared" si="7"/>
        <v>0</v>
      </c>
      <c r="T37" s="86">
        <f t="shared" si="7"/>
        <v>0</v>
      </c>
      <c r="U37" s="86">
        <f t="shared" si="7"/>
        <v>0</v>
      </c>
      <c r="V37" s="86">
        <f t="shared" si="7"/>
        <v>0</v>
      </c>
      <c r="W37" s="86">
        <f t="shared" si="7"/>
        <v>0</v>
      </c>
      <c r="X37" s="86">
        <f t="shared" si="7"/>
        <v>0</v>
      </c>
      <c r="Y37" s="87"/>
      <c r="AA37" s="1">
        <f>Y54</f>
        <v>28690</v>
      </c>
    </row>
    <row r="38" spans="1:27" ht="15.6" thickTop="1" thickBot="1" x14ac:dyDescent="0.35">
      <c r="R38" s="59"/>
      <c r="AA38" s="1">
        <f>Y55</f>
        <v>3203.5</v>
      </c>
    </row>
    <row r="39" spans="1:27" x14ac:dyDescent="0.3">
      <c r="A39" s="17">
        <v>45119</v>
      </c>
      <c r="B39" s="17">
        <v>45120</v>
      </c>
      <c r="C39" s="17">
        <v>45121</v>
      </c>
      <c r="D39" s="17">
        <v>45122</v>
      </c>
      <c r="E39" s="17">
        <v>45123</v>
      </c>
      <c r="F39" s="17">
        <v>45124</v>
      </c>
      <c r="G39" s="17">
        <v>45125</v>
      </c>
      <c r="H39" s="17"/>
      <c r="I39" s="13" t="s">
        <v>8</v>
      </c>
      <c r="K39" s="59">
        <v>45119</v>
      </c>
      <c r="L39" s="59"/>
      <c r="M39" s="59">
        <v>45120</v>
      </c>
      <c r="N39" s="59"/>
      <c r="O39" s="59">
        <v>45121</v>
      </c>
      <c r="P39" s="59"/>
      <c r="Q39" s="59">
        <v>45122</v>
      </c>
      <c r="R39" s="59">
        <v>45123</v>
      </c>
      <c r="S39" s="59">
        <v>45123</v>
      </c>
      <c r="T39" s="59"/>
      <c r="U39" s="59">
        <v>45124</v>
      </c>
      <c r="V39" s="59"/>
      <c r="W39" s="59">
        <v>45125</v>
      </c>
      <c r="X39" s="59"/>
      <c r="Y39" s="13"/>
      <c r="AA39" s="1">
        <f>Y73</f>
        <v>27112</v>
      </c>
    </row>
    <row r="40" spans="1:27" ht="15" thickBot="1" x14ac:dyDescent="0.35">
      <c r="A40" s="21">
        <v>1325</v>
      </c>
      <c r="B40" s="22">
        <v>1320</v>
      </c>
      <c r="C40" s="22">
        <v>1120</v>
      </c>
      <c r="D40" s="98">
        <v>210</v>
      </c>
      <c r="E40" s="22">
        <v>325</v>
      </c>
      <c r="F40" s="22">
        <v>910</v>
      </c>
      <c r="G40" s="22">
        <v>1200</v>
      </c>
      <c r="H40" s="37"/>
      <c r="I40" s="14">
        <v>5922.75</v>
      </c>
      <c r="K40" s="66" t="s">
        <v>10</v>
      </c>
      <c r="L40" s="66" t="s">
        <v>11</v>
      </c>
      <c r="M40" s="67" t="s">
        <v>10</v>
      </c>
      <c r="N40" s="67" t="s">
        <v>11</v>
      </c>
      <c r="O40" s="67" t="s">
        <v>10</v>
      </c>
      <c r="P40" s="67" t="s">
        <v>11</v>
      </c>
      <c r="Q40" s="67" t="s">
        <v>10</v>
      </c>
      <c r="R40" s="67" t="s">
        <v>11</v>
      </c>
      <c r="S40" s="67" t="s">
        <v>10</v>
      </c>
      <c r="T40" s="67" t="s">
        <v>11</v>
      </c>
      <c r="U40" s="67" t="s">
        <v>10</v>
      </c>
      <c r="V40" s="67" t="s">
        <v>11</v>
      </c>
      <c r="W40" s="67" t="s">
        <v>10</v>
      </c>
      <c r="X40" s="67" t="s">
        <v>11</v>
      </c>
      <c r="Y40" s="14"/>
      <c r="AA40" s="1">
        <f>Y74</f>
        <v>3932.5</v>
      </c>
    </row>
    <row r="41" spans="1:27" x14ac:dyDescent="0.3">
      <c r="A41" s="24">
        <v>2747.97</v>
      </c>
      <c r="B41" s="22">
        <v>2423.09</v>
      </c>
      <c r="C41" s="22">
        <v>2593.06</v>
      </c>
      <c r="D41" s="98">
        <v>410</v>
      </c>
      <c r="E41" s="25"/>
      <c r="F41" s="22">
        <v>2319.9899999999998</v>
      </c>
      <c r="G41" s="22">
        <v>2412.8200000000002</v>
      </c>
      <c r="H41" s="37"/>
      <c r="I41" s="14">
        <v>2620</v>
      </c>
      <c r="K41" s="75">
        <v>1670</v>
      </c>
      <c r="L41" s="76">
        <v>1500</v>
      </c>
      <c r="M41" s="77">
        <v>1580</v>
      </c>
      <c r="N41" s="77">
        <v>60</v>
      </c>
      <c r="O41" s="77">
        <v>1820</v>
      </c>
      <c r="P41" s="77">
        <v>50</v>
      </c>
      <c r="Q41" s="77">
        <v>870</v>
      </c>
      <c r="R41" s="80">
        <v>50</v>
      </c>
      <c r="S41" s="78">
        <v>480</v>
      </c>
      <c r="T41" s="69"/>
      <c r="U41" s="63">
        <v>1950</v>
      </c>
      <c r="V41" s="63">
        <v>50</v>
      </c>
      <c r="W41" s="63">
        <v>1790</v>
      </c>
      <c r="X41" s="65">
        <v>77.900000000000006</v>
      </c>
      <c r="Y41" s="14"/>
      <c r="AA41" s="1">
        <f>Y92</f>
        <v>27948</v>
      </c>
    </row>
    <row r="42" spans="1:27" x14ac:dyDescent="0.3">
      <c r="A42" s="24">
        <v>690</v>
      </c>
      <c r="B42" s="22">
        <v>820</v>
      </c>
      <c r="C42" s="22">
        <v>605</v>
      </c>
      <c r="D42" s="99">
        <v>1266.1400000000001</v>
      </c>
      <c r="E42" s="22"/>
      <c r="F42" s="22">
        <v>940</v>
      </c>
      <c r="G42" s="22">
        <v>640</v>
      </c>
      <c r="H42" s="37"/>
      <c r="I42" s="15">
        <v>2690</v>
      </c>
      <c r="K42" s="21">
        <v>1965</v>
      </c>
      <c r="L42" s="79">
        <v>42.5</v>
      </c>
      <c r="M42" s="43">
        <v>1765</v>
      </c>
      <c r="N42" s="43">
        <v>372</v>
      </c>
      <c r="O42" s="43">
        <v>2065</v>
      </c>
      <c r="P42" s="43">
        <v>30</v>
      </c>
      <c r="Q42" s="80">
        <v>140</v>
      </c>
      <c r="R42" s="81"/>
      <c r="S42" s="43">
        <v>70</v>
      </c>
      <c r="T42" s="22"/>
      <c r="U42" s="22">
        <v>1930</v>
      </c>
      <c r="V42" s="22">
        <v>731.1</v>
      </c>
      <c r="W42" s="22">
        <v>1515</v>
      </c>
      <c r="X42" s="37"/>
      <c r="Y42" s="15"/>
      <c r="AA42" s="1">
        <f>Y93</f>
        <v>5048.3999999999996</v>
      </c>
    </row>
    <row r="43" spans="1:27" x14ac:dyDescent="0.3">
      <c r="A43" s="24"/>
      <c r="B43" s="22"/>
      <c r="C43" s="22"/>
      <c r="D43" s="99">
        <v>560</v>
      </c>
      <c r="E43" s="22"/>
      <c r="F43" s="22"/>
      <c r="G43" s="22"/>
      <c r="H43" s="37"/>
      <c r="I43" s="15">
        <v>4005.15</v>
      </c>
      <c r="K43" s="21">
        <v>1155</v>
      </c>
      <c r="L43" s="79"/>
      <c r="M43" s="43">
        <v>1635</v>
      </c>
      <c r="N43" s="43">
        <v>90</v>
      </c>
      <c r="O43" s="43">
        <v>695</v>
      </c>
      <c r="P43" s="43"/>
      <c r="Q43" s="80">
        <v>590</v>
      </c>
      <c r="R43" s="81"/>
      <c r="S43" s="43">
        <v>140</v>
      </c>
      <c r="T43" s="22"/>
      <c r="U43" s="22">
        <v>510</v>
      </c>
      <c r="V43" s="22"/>
      <c r="W43" s="22">
        <v>905</v>
      </c>
      <c r="X43" s="37"/>
      <c r="Y43" s="15"/>
      <c r="AA43">
        <f>SUM(AA33:AA42)</f>
        <v>148442</v>
      </c>
    </row>
    <row r="44" spans="1:27" x14ac:dyDescent="0.3">
      <c r="A44" s="24"/>
      <c r="B44" s="22"/>
      <c r="C44" s="22"/>
      <c r="D44" s="95"/>
      <c r="E44" s="22"/>
      <c r="F44" s="22"/>
      <c r="G44" s="22"/>
      <c r="H44" s="37"/>
      <c r="I44" s="15">
        <v>5389.97</v>
      </c>
      <c r="K44" s="21">
        <v>222</v>
      </c>
      <c r="L44" s="79"/>
      <c r="M44" s="43">
        <v>300</v>
      </c>
      <c r="N44" s="43">
        <v>150</v>
      </c>
      <c r="O44" s="43">
        <v>144</v>
      </c>
      <c r="P44" s="43"/>
      <c r="Q44" s="43">
        <v>510</v>
      </c>
      <c r="R44" s="81"/>
      <c r="S44" s="43">
        <v>72</v>
      </c>
      <c r="T44" s="22"/>
      <c r="U44" s="22">
        <v>1110</v>
      </c>
      <c r="V44" s="22"/>
      <c r="W44" s="22">
        <v>300</v>
      </c>
      <c r="X44" s="37"/>
      <c r="Y44" s="15"/>
    </row>
    <row r="45" spans="1:27" x14ac:dyDescent="0.3">
      <c r="A45" s="24"/>
      <c r="B45" s="22"/>
      <c r="C45" s="22"/>
      <c r="D45" s="95"/>
      <c r="E45" s="22"/>
      <c r="F45" s="22"/>
      <c r="G45" s="22"/>
      <c r="H45" s="37"/>
      <c r="I45" s="15">
        <v>461.2</v>
      </c>
      <c r="K45" s="21"/>
      <c r="L45" s="79"/>
      <c r="M45" s="43">
        <v>72</v>
      </c>
      <c r="N45" s="43"/>
      <c r="O45" s="43"/>
      <c r="P45" s="43"/>
      <c r="Q45" s="43">
        <v>276</v>
      </c>
      <c r="R45" s="81"/>
      <c r="S45" s="43"/>
      <c r="T45" s="22"/>
      <c r="U45" s="22">
        <v>300</v>
      </c>
      <c r="V45" s="22"/>
      <c r="W45" s="22">
        <v>72</v>
      </c>
      <c r="X45" s="37"/>
      <c r="Y45" s="15"/>
    </row>
    <row r="46" spans="1:27" ht="15" thickBot="1" x14ac:dyDescent="0.35">
      <c r="A46" s="24"/>
      <c r="B46" s="22"/>
      <c r="C46" s="22"/>
      <c r="D46" s="95"/>
      <c r="E46" s="22"/>
      <c r="F46" s="22"/>
      <c r="G46" s="22"/>
      <c r="H46" s="37"/>
      <c r="I46" s="16">
        <f>SUM(I40:I45)</f>
        <v>21089.07</v>
      </c>
      <c r="K46" s="21"/>
      <c r="L46" s="79"/>
      <c r="M46" s="43"/>
      <c r="N46" s="43"/>
      <c r="O46" s="43"/>
      <c r="P46" s="43"/>
      <c r="Q46" s="43">
        <v>72</v>
      </c>
      <c r="R46" s="81"/>
      <c r="S46" s="43"/>
      <c r="T46" s="22"/>
      <c r="U46" s="22"/>
      <c r="V46" s="22"/>
      <c r="W46" s="22"/>
      <c r="X46" s="37"/>
      <c r="Y46" s="83"/>
    </row>
    <row r="47" spans="1:27" ht="15.6" thickTop="1" thickBot="1" x14ac:dyDescent="0.35">
      <c r="A47" s="24"/>
      <c r="B47" s="22"/>
      <c r="C47" s="22"/>
      <c r="D47" s="95"/>
      <c r="E47" s="22"/>
      <c r="F47" s="22"/>
      <c r="G47" s="22"/>
      <c r="H47" s="22"/>
      <c r="I47" s="38"/>
      <c r="K47" s="24"/>
      <c r="L47" s="56"/>
      <c r="M47" s="22"/>
      <c r="N47" s="22"/>
      <c r="O47" s="22"/>
      <c r="P47" s="22"/>
      <c r="Q47" s="22"/>
      <c r="R47" s="81"/>
      <c r="S47" s="22"/>
      <c r="T47" s="22"/>
      <c r="U47" s="22"/>
      <c r="V47" s="22"/>
      <c r="W47" s="22"/>
      <c r="X47" s="37"/>
      <c r="Y47" s="16">
        <f>SUM(Y40:Y45)</f>
        <v>0</v>
      </c>
    </row>
    <row r="48" spans="1:27" ht="15" thickTop="1" x14ac:dyDescent="0.3">
      <c r="A48" s="24"/>
      <c r="B48" s="22"/>
      <c r="C48" s="22"/>
      <c r="D48" s="95"/>
      <c r="E48" s="22"/>
      <c r="F48" s="22"/>
      <c r="G48" s="22"/>
      <c r="H48" s="22"/>
      <c r="I48" s="23"/>
      <c r="K48" s="24"/>
      <c r="L48" s="56"/>
      <c r="M48" s="22"/>
      <c r="N48" s="22"/>
      <c r="O48" s="22"/>
      <c r="P48" s="22"/>
      <c r="Q48" s="22"/>
      <c r="R48" s="81"/>
      <c r="S48" s="22"/>
      <c r="T48" s="22"/>
      <c r="U48" s="22"/>
      <c r="V48" s="22"/>
      <c r="W48" s="22"/>
      <c r="X48" s="22"/>
      <c r="Y48" s="38"/>
    </row>
    <row r="49" spans="1:25" x14ac:dyDescent="0.3">
      <c r="A49" s="24"/>
      <c r="B49" s="22"/>
      <c r="C49" s="22"/>
      <c r="D49" s="95"/>
      <c r="E49" s="22"/>
      <c r="F49" s="22"/>
      <c r="G49" s="22"/>
      <c r="H49" s="22"/>
      <c r="I49" s="23"/>
      <c r="K49" s="24"/>
      <c r="L49" s="56"/>
      <c r="M49" s="22"/>
      <c r="N49" s="22"/>
      <c r="O49" s="22"/>
      <c r="P49" s="22"/>
      <c r="Q49" s="22"/>
      <c r="R49" s="81"/>
      <c r="S49" s="22"/>
      <c r="T49" s="22"/>
      <c r="U49" s="22"/>
      <c r="V49" s="22"/>
      <c r="W49" s="22"/>
      <c r="X49" s="22"/>
      <c r="Y49" s="23"/>
    </row>
    <row r="50" spans="1:25" x14ac:dyDescent="0.3">
      <c r="A50" s="24"/>
      <c r="B50" s="22"/>
      <c r="C50" s="22"/>
      <c r="D50" s="95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81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95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81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>
        <v>555</v>
      </c>
      <c r="C52" s="22"/>
      <c r="D52" s="95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81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95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81"/>
      <c r="S53" s="22"/>
      <c r="T53" s="22"/>
      <c r="U53" s="28"/>
      <c r="V53" s="28"/>
      <c r="W53" s="22"/>
      <c r="X53" s="22"/>
      <c r="Y53" s="23"/>
    </row>
    <row r="54" spans="1:25" x14ac:dyDescent="0.3">
      <c r="A54" s="24">
        <f t="shared" ref="A54:G54" si="8">SUM(A40:A53)</f>
        <v>4762.9699999999993</v>
      </c>
      <c r="B54" s="22">
        <f t="shared" si="8"/>
        <v>5118.09</v>
      </c>
      <c r="C54" s="22">
        <f t="shared" si="8"/>
        <v>4318.0599999999995</v>
      </c>
      <c r="D54" s="94">
        <f t="shared" si="8"/>
        <v>2446.1400000000003</v>
      </c>
      <c r="E54" s="22">
        <f t="shared" si="8"/>
        <v>325</v>
      </c>
      <c r="F54" s="22">
        <f t="shared" si="8"/>
        <v>4169.99</v>
      </c>
      <c r="G54" s="22">
        <f t="shared" si="8"/>
        <v>4252.82</v>
      </c>
      <c r="H54" s="29">
        <f>SUM(A54:G54)+I46</f>
        <v>46482.14</v>
      </c>
      <c r="I54" s="30" t="s">
        <v>7</v>
      </c>
      <c r="K54" s="24">
        <f t="shared" ref="K54:X54" si="9">SUM(K41:K53)</f>
        <v>5012</v>
      </c>
      <c r="L54" s="22">
        <f t="shared" si="9"/>
        <v>1542.5</v>
      </c>
      <c r="M54" s="22">
        <f t="shared" si="9"/>
        <v>5352</v>
      </c>
      <c r="N54" s="22">
        <f t="shared" si="9"/>
        <v>672</v>
      </c>
      <c r="O54" s="22">
        <f t="shared" si="9"/>
        <v>4724</v>
      </c>
      <c r="P54" s="22">
        <f t="shared" si="9"/>
        <v>80</v>
      </c>
      <c r="Q54" s="22">
        <f t="shared" si="9"/>
        <v>2458</v>
      </c>
      <c r="R54" s="22">
        <f t="shared" si="9"/>
        <v>50</v>
      </c>
      <c r="S54" s="22">
        <f t="shared" si="9"/>
        <v>762</v>
      </c>
      <c r="T54" s="22">
        <f t="shared" si="9"/>
        <v>0</v>
      </c>
      <c r="U54" s="22">
        <f t="shared" si="9"/>
        <v>5800</v>
      </c>
      <c r="V54" s="22">
        <f t="shared" si="9"/>
        <v>781.1</v>
      </c>
      <c r="W54" s="22">
        <f t="shared" si="9"/>
        <v>4582</v>
      </c>
      <c r="X54" s="22">
        <f t="shared" si="9"/>
        <v>77.900000000000006</v>
      </c>
      <c r="Y54" s="33">
        <f>K55+M55+O55+Q55+S55+U55+W55</f>
        <v>28690</v>
      </c>
    </row>
    <row r="55" spans="1:25" ht="15" thickBot="1" x14ac:dyDescent="0.35">
      <c r="A55" s="31">
        <v>4762.97</v>
      </c>
      <c r="B55" s="32">
        <v>4563.09</v>
      </c>
      <c r="C55" s="32">
        <v>4318.0600000000004</v>
      </c>
      <c r="D55" s="96">
        <v>2446.14</v>
      </c>
      <c r="E55" s="32">
        <v>325</v>
      </c>
      <c r="F55" s="32">
        <v>4169.99</v>
      </c>
      <c r="G55" s="32">
        <v>4252.82</v>
      </c>
      <c r="H55" s="22">
        <f>SUM(A55:G55)+I46</f>
        <v>45927.14</v>
      </c>
      <c r="I55" s="33" t="s">
        <v>1</v>
      </c>
      <c r="K55" s="85">
        <v>5012</v>
      </c>
      <c r="L55" s="32">
        <v>1542.5</v>
      </c>
      <c r="M55" s="32">
        <v>5352</v>
      </c>
      <c r="N55" s="32">
        <v>672</v>
      </c>
      <c r="O55" s="32">
        <v>4724</v>
      </c>
      <c r="P55" s="32">
        <v>80</v>
      </c>
      <c r="Q55" s="32">
        <v>2458</v>
      </c>
      <c r="R55" s="86">
        <v>50</v>
      </c>
      <c r="S55" s="32">
        <v>762</v>
      </c>
      <c r="T55" s="32"/>
      <c r="U55" s="32">
        <v>5800</v>
      </c>
      <c r="V55" s="32">
        <v>781.1</v>
      </c>
      <c r="W55" s="32">
        <v>4582</v>
      </c>
      <c r="X55" s="22">
        <v>77.900000000000006</v>
      </c>
      <c r="Y55" s="33">
        <f>L55+N55+P55+R54+T55+V55+X55</f>
        <v>3203.5</v>
      </c>
    </row>
    <row r="56" spans="1:25" ht="15" thickBot="1" x14ac:dyDescent="0.35">
      <c r="A56" s="34">
        <f t="shared" ref="A56:G56" si="10">A54-A55</f>
        <v>0</v>
      </c>
      <c r="B56" s="35">
        <f t="shared" si="10"/>
        <v>555</v>
      </c>
      <c r="C56" s="35">
        <f t="shared" si="10"/>
        <v>0</v>
      </c>
      <c r="D56" s="97">
        <f t="shared" si="10"/>
        <v>0</v>
      </c>
      <c r="E56" s="35">
        <f t="shared" si="10"/>
        <v>0</v>
      </c>
      <c r="F56" s="35">
        <f t="shared" si="10"/>
        <v>0</v>
      </c>
      <c r="G56" s="35">
        <f t="shared" si="10"/>
        <v>0</v>
      </c>
      <c r="H56" s="35"/>
      <c r="I56" s="36"/>
      <c r="K56" s="86">
        <f t="shared" ref="K56:X56" si="11">K54-K55</f>
        <v>0</v>
      </c>
      <c r="L56" s="86">
        <f t="shared" si="11"/>
        <v>0</v>
      </c>
      <c r="M56" s="86">
        <f t="shared" si="11"/>
        <v>0</v>
      </c>
      <c r="N56" s="86">
        <f t="shared" si="11"/>
        <v>0</v>
      </c>
      <c r="O56" s="86">
        <f t="shared" si="11"/>
        <v>0</v>
      </c>
      <c r="P56" s="86">
        <f t="shared" si="11"/>
        <v>0</v>
      </c>
      <c r="Q56" s="86">
        <f t="shared" si="11"/>
        <v>0</v>
      </c>
      <c r="R56" s="86">
        <f t="shared" si="11"/>
        <v>0</v>
      </c>
      <c r="S56" s="86">
        <f t="shared" si="11"/>
        <v>0</v>
      </c>
      <c r="T56" s="86">
        <f t="shared" si="11"/>
        <v>0</v>
      </c>
      <c r="U56" s="86">
        <f t="shared" si="11"/>
        <v>0</v>
      </c>
      <c r="V56" s="86">
        <f t="shared" si="11"/>
        <v>0</v>
      </c>
      <c r="W56" s="86">
        <f t="shared" si="11"/>
        <v>0</v>
      </c>
      <c r="X56" s="86">
        <f t="shared" si="11"/>
        <v>0</v>
      </c>
      <c r="Y56" s="87"/>
    </row>
    <row r="57" spans="1:25" ht="15.6" thickTop="1" thickBot="1" x14ac:dyDescent="0.35">
      <c r="D57" s="93"/>
      <c r="R57" s="59"/>
    </row>
    <row r="58" spans="1:25" x14ac:dyDescent="0.3">
      <c r="A58" s="17">
        <v>45126</v>
      </c>
      <c r="B58" s="17">
        <v>45127</v>
      </c>
      <c r="C58" s="17">
        <v>45128</v>
      </c>
      <c r="D58" s="17">
        <v>45129</v>
      </c>
      <c r="E58" s="17">
        <v>45130</v>
      </c>
      <c r="F58" s="17">
        <v>45131</v>
      </c>
      <c r="G58" s="17">
        <v>45132</v>
      </c>
      <c r="H58" s="17"/>
      <c r="I58" s="13" t="s">
        <v>8</v>
      </c>
      <c r="K58" s="59">
        <v>45126</v>
      </c>
      <c r="L58" s="59"/>
      <c r="M58" s="59">
        <v>45127</v>
      </c>
      <c r="N58" s="59"/>
      <c r="O58" s="59">
        <v>45128</v>
      </c>
      <c r="P58" s="59"/>
      <c r="Q58" s="59">
        <v>45129</v>
      </c>
      <c r="R58" s="59"/>
      <c r="S58" s="59">
        <v>45130</v>
      </c>
      <c r="T58" s="59"/>
      <c r="U58" s="59">
        <v>45131</v>
      </c>
      <c r="V58" s="59"/>
      <c r="W58" s="59">
        <v>45132</v>
      </c>
      <c r="X58" s="59"/>
      <c r="Y58" s="13"/>
    </row>
    <row r="59" spans="1:25" ht="15" thickBot="1" x14ac:dyDescent="0.35">
      <c r="A59" s="21">
        <v>1195</v>
      </c>
      <c r="B59" s="22">
        <v>1100</v>
      </c>
      <c r="C59" s="22">
        <v>1420</v>
      </c>
      <c r="D59" s="108">
        <v>680</v>
      </c>
      <c r="E59" s="22">
        <v>240</v>
      </c>
      <c r="F59" s="22">
        <v>1185.92</v>
      </c>
      <c r="G59" s="22">
        <v>1105</v>
      </c>
      <c r="H59" s="37"/>
      <c r="I59" s="14">
        <v>3185</v>
      </c>
      <c r="K59" s="66" t="s">
        <v>10</v>
      </c>
      <c r="L59" s="66" t="s">
        <v>11</v>
      </c>
      <c r="M59" s="67" t="s">
        <v>10</v>
      </c>
      <c r="N59" s="67" t="s">
        <v>11</v>
      </c>
      <c r="O59" s="67" t="s">
        <v>10</v>
      </c>
      <c r="P59" s="67" t="s">
        <v>11</v>
      </c>
      <c r="Q59" s="67" t="s">
        <v>10</v>
      </c>
      <c r="R59" s="67" t="s">
        <v>11</v>
      </c>
      <c r="S59" s="67" t="s">
        <v>10</v>
      </c>
      <c r="T59" s="67" t="s">
        <v>11</v>
      </c>
      <c r="U59" s="67" t="s">
        <v>10</v>
      </c>
      <c r="V59" s="67" t="s">
        <v>11</v>
      </c>
      <c r="W59" s="67" t="s">
        <v>10</v>
      </c>
      <c r="X59" s="67" t="s">
        <v>11</v>
      </c>
      <c r="Y59" s="14"/>
    </row>
    <row r="60" spans="1:25" x14ac:dyDescent="0.3">
      <c r="A60" s="24">
        <v>2414.9899999999998</v>
      </c>
      <c r="B60" s="22">
        <v>2550.59</v>
      </c>
      <c r="C60" s="22">
        <v>2520.59</v>
      </c>
      <c r="D60" s="108">
        <v>1622.86</v>
      </c>
      <c r="E60" s="25"/>
      <c r="F60" s="22">
        <v>2081</v>
      </c>
      <c r="G60" s="22">
        <v>2457.4899999999998</v>
      </c>
      <c r="H60" s="37"/>
      <c r="I60" s="14">
        <v>5922.75</v>
      </c>
      <c r="K60" s="75">
        <v>1745</v>
      </c>
      <c r="L60" s="76">
        <v>50</v>
      </c>
      <c r="M60" s="77">
        <v>1780</v>
      </c>
      <c r="N60" s="77">
        <v>35</v>
      </c>
      <c r="O60" s="77">
        <v>1550</v>
      </c>
      <c r="P60" s="77">
        <v>372</v>
      </c>
      <c r="Q60" s="77">
        <v>790</v>
      </c>
      <c r="R60" s="77">
        <v>2880</v>
      </c>
      <c r="S60" s="78">
        <v>480</v>
      </c>
      <c r="T60" s="69">
        <v>0</v>
      </c>
      <c r="U60" s="63">
        <v>1710</v>
      </c>
      <c r="V60" s="63">
        <v>42.5</v>
      </c>
      <c r="W60" s="63">
        <v>1780</v>
      </c>
      <c r="X60" s="65">
        <v>42.5</v>
      </c>
      <c r="Y60" s="14"/>
    </row>
    <row r="61" spans="1:25" x14ac:dyDescent="0.3">
      <c r="A61" s="24">
        <v>555</v>
      </c>
      <c r="B61" s="22">
        <v>185</v>
      </c>
      <c r="C61" s="22">
        <v>380</v>
      </c>
      <c r="D61" s="109">
        <v>585</v>
      </c>
      <c r="E61" s="22"/>
      <c r="F61" s="22">
        <v>930</v>
      </c>
      <c r="G61" s="22">
        <v>870</v>
      </c>
      <c r="H61" s="37"/>
      <c r="I61" s="15">
        <v>5289.97</v>
      </c>
      <c r="K61" s="21">
        <v>1395</v>
      </c>
      <c r="L61" s="79">
        <v>30</v>
      </c>
      <c r="M61" s="43">
        <v>1620</v>
      </c>
      <c r="N61" s="43"/>
      <c r="O61" s="43">
        <v>2030</v>
      </c>
      <c r="P61" s="43">
        <v>50</v>
      </c>
      <c r="Q61" s="80">
        <v>1500</v>
      </c>
      <c r="R61" s="80">
        <v>70</v>
      </c>
      <c r="S61" s="43">
        <v>140</v>
      </c>
      <c r="T61" s="22"/>
      <c r="U61" s="22">
        <v>2020</v>
      </c>
      <c r="V61" s="22">
        <v>129.9</v>
      </c>
      <c r="W61" s="22">
        <v>1300</v>
      </c>
      <c r="X61" s="37">
        <v>137</v>
      </c>
      <c r="Y61" s="15"/>
    </row>
    <row r="62" spans="1:25" x14ac:dyDescent="0.3">
      <c r="A62" s="24"/>
      <c r="B62" s="22">
        <v>995</v>
      </c>
      <c r="C62" s="22"/>
      <c r="D62" s="104"/>
      <c r="E62" s="22"/>
      <c r="F62" s="22"/>
      <c r="G62" s="22"/>
      <c r="H62" s="37"/>
      <c r="I62" s="15">
        <v>4005.15</v>
      </c>
      <c r="K62" s="21">
        <v>580</v>
      </c>
      <c r="L62" s="79"/>
      <c r="M62" s="43">
        <v>980</v>
      </c>
      <c r="N62" s="43"/>
      <c r="O62" s="43">
        <v>730</v>
      </c>
      <c r="P62" s="43">
        <v>69.599999999999994</v>
      </c>
      <c r="Q62" s="80">
        <v>440</v>
      </c>
      <c r="R62" s="81"/>
      <c r="S62" s="43">
        <v>140</v>
      </c>
      <c r="T62" s="22"/>
      <c r="U62" s="22">
        <v>500</v>
      </c>
      <c r="V62" s="22"/>
      <c r="W62" s="22">
        <v>410</v>
      </c>
      <c r="X62" s="37">
        <v>24</v>
      </c>
      <c r="Y62" s="15"/>
    </row>
    <row r="63" spans="1:25" x14ac:dyDescent="0.3">
      <c r="A63" s="24"/>
      <c r="B63" s="22"/>
      <c r="C63" s="22"/>
      <c r="D63" s="103"/>
      <c r="E63" s="22"/>
      <c r="F63" s="22"/>
      <c r="G63" s="22"/>
      <c r="H63" s="37"/>
      <c r="I63" s="15">
        <v>1950</v>
      </c>
      <c r="K63" s="21">
        <v>222</v>
      </c>
      <c r="L63" s="79"/>
      <c r="M63" s="43">
        <v>300</v>
      </c>
      <c r="N63" s="43"/>
      <c r="O63" s="43">
        <v>144</v>
      </c>
      <c r="P63" s="43"/>
      <c r="Q63" s="43">
        <v>228</v>
      </c>
      <c r="R63" s="43"/>
      <c r="S63" s="43">
        <v>72</v>
      </c>
      <c r="T63" s="22"/>
      <c r="U63" s="22">
        <v>850</v>
      </c>
      <c r="V63" s="22"/>
      <c r="W63" s="22">
        <v>710</v>
      </c>
      <c r="X63" s="37"/>
      <c r="Y63" s="15"/>
    </row>
    <row r="64" spans="1:25" ht="15" thickBot="1" x14ac:dyDescent="0.35">
      <c r="A64" s="24"/>
      <c r="B64" s="22"/>
      <c r="C64" s="22"/>
      <c r="D64" s="103"/>
      <c r="E64" s="22"/>
      <c r="F64" s="22"/>
      <c r="G64" s="22"/>
      <c r="H64" s="82"/>
      <c r="I64" s="15">
        <v>1237.94</v>
      </c>
      <c r="K64" s="21"/>
      <c r="L64" s="79"/>
      <c r="M64" s="43">
        <v>96</v>
      </c>
      <c r="N64" s="43"/>
      <c r="O64" s="43">
        <v>24</v>
      </c>
      <c r="P64" s="43"/>
      <c r="Q64" s="43">
        <v>120</v>
      </c>
      <c r="R64" s="43"/>
      <c r="S64" s="43"/>
      <c r="T64" s="22"/>
      <c r="U64" s="22">
        <v>300</v>
      </c>
      <c r="V64" s="22"/>
      <c r="W64" s="22">
        <v>300</v>
      </c>
      <c r="X64" s="37"/>
      <c r="Y64" s="15"/>
    </row>
    <row r="65" spans="1:25" ht="15.6" thickTop="1" thickBot="1" x14ac:dyDescent="0.35">
      <c r="A65" s="24"/>
      <c r="B65" s="22"/>
      <c r="C65" s="22"/>
      <c r="D65" s="103"/>
      <c r="E65" s="22"/>
      <c r="F65" s="22"/>
      <c r="G65" s="22"/>
      <c r="H65" s="65"/>
      <c r="I65" s="16">
        <f>SUM(I59:I64)</f>
        <v>21590.81</v>
      </c>
      <c r="K65" s="21"/>
      <c r="L65" s="79"/>
      <c r="M65" s="43"/>
      <c r="N65" s="43"/>
      <c r="O65" s="43"/>
      <c r="P65" s="43"/>
      <c r="Q65" s="43"/>
      <c r="R65" s="43"/>
      <c r="S65" s="43"/>
      <c r="T65" s="22"/>
      <c r="U65" s="22">
        <v>24</v>
      </c>
      <c r="V65" s="22"/>
      <c r="W65" s="22">
        <v>102</v>
      </c>
      <c r="X65" s="37"/>
      <c r="Y65" s="83"/>
    </row>
    <row r="66" spans="1:25" ht="15.6" thickTop="1" thickBot="1" x14ac:dyDescent="0.35">
      <c r="A66" s="24"/>
      <c r="B66" s="22"/>
      <c r="C66" s="22"/>
      <c r="D66" s="103"/>
      <c r="E66" s="22"/>
      <c r="F66" s="22"/>
      <c r="G66" s="22"/>
      <c r="H66" s="22"/>
      <c r="I66" s="38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7"/>
      <c r="Y66" s="16">
        <f>SUM(Y59:Y64)</f>
        <v>0</v>
      </c>
    </row>
    <row r="67" spans="1:25" ht="15" thickTop="1" x14ac:dyDescent="0.3">
      <c r="A67" s="24"/>
      <c r="B67" s="22"/>
      <c r="C67" s="22"/>
      <c r="D67" s="103"/>
      <c r="E67" s="22"/>
      <c r="F67" s="22"/>
      <c r="G67" s="22"/>
      <c r="H67" s="22"/>
      <c r="I67" s="23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38"/>
    </row>
    <row r="68" spans="1:25" x14ac:dyDescent="0.3">
      <c r="A68" s="24"/>
      <c r="B68" s="22"/>
      <c r="C68" s="22"/>
      <c r="D68" s="103"/>
      <c r="E68" s="22"/>
      <c r="F68" s="22"/>
      <c r="G68" s="22"/>
      <c r="H68" s="22"/>
      <c r="I68" s="23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1:25" x14ac:dyDescent="0.3">
      <c r="A69" s="24"/>
      <c r="B69" s="22"/>
      <c r="C69" s="22"/>
      <c r="D69" s="103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103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103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103"/>
      <c r="E72" s="22"/>
      <c r="F72" s="28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8"/>
      <c r="V72" s="28"/>
      <c r="W72" s="22"/>
      <c r="X72" s="22"/>
      <c r="Y72" s="23"/>
    </row>
    <row r="73" spans="1:25" x14ac:dyDescent="0.3">
      <c r="A73" s="24">
        <f t="shared" ref="A73:G73" si="12">SUM(A59:A72)</f>
        <v>4164.99</v>
      </c>
      <c r="B73" s="22">
        <f t="shared" si="12"/>
        <v>4830.59</v>
      </c>
      <c r="C73" s="22">
        <f t="shared" si="12"/>
        <v>4320.59</v>
      </c>
      <c r="D73" s="105">
        <f t="shared" si="12"/>
        <v>2887.8599999999997</v>
      </c>
      <c r="E73" s="22">
        <f t="shared" si="12"/>
        <v>240</v>
      </c>
      <c r="F73" s="22">
        <f t="shared" si="12"/>
        <v>4196.92</v>
      </c>
      <c r="G73" s="22">
        <f t="shared" si="12"/>
        <v>4432.49</v>
      </c>
      <c r="H73" s="29">
        <f>SUM(A73:G73)+I65</f>
        <v>46664.25</v>
      </c>
      <c r="I73" s="30" t="s">
        <v>7</v>
      </c>
      <c r="K73" s="24">
        <f t="shared" ref="K73:X73" si="13">SUM(K60:K72)</f>
        <v>3942</v>
      </c>
      <c r="L73" s="22">
        <f t="shared" si="13"/>
        <v>80</v>
      </c>
      <c r="M73" s="22">
        <f t="shared" si="13"/>
        <v>4776</v>
      </c>
      <c r="N73" s="22">
        <f t="shared" si="13"/>
        <v>35</v>
      </c>
      <c r="O73" s="22">
        <f t="shared" si="13"/>
        <v>4478</v>
      </c>
      <c r="P73" s="22">
        <f t="shared" si="13"/>
        <v>491.6</v>
      </c>
      <c r="Q73" s="22">
        <f t="shared" si="13"/>
        <v>3078</v>
      </c>
      <c r="R73" s="22">
        <f>SUM(R60:R72)</f>
        <v>2950</v>
      </c>
      <c r="S73" s="22">
        <f t="shared" si="13"/>
        <v>832</v>
      </c>
      <c r="T73" s="22">
        <f t="shared" si="13"/>
        <v>0</v>
      </c>
      <c r="U73" s="22">
        <f t="shared" si="13"/>
        <v>5404</v>
      </c>
      <c r="V73" s="22">
        <f t="shared" si="13"/>
        <v>172.4</v>
      </c>
      <c r="W73" s="22">
        <f t="shared" si="13"/>
        <v>4602</v>
      </c>
      <c r="X73" s="22">
        <f t="shared" si="13"/>
        <v>203.5</v>
      </c>
      <c r="Y73" s="33">
        <f>K74+M74+O74+Q74+S74+U74+W74</f>
        <v>27112</v>
      </c>
    </row>
    <row r="74" spans="1:25" x14ac:dyDescent="0.3">
      <c r="A74" s="31">
        <v>4164.99</v>
      </c>
      <c r="B74" s="32">
        <v>4830.59</v>
      </c>
      <c r="C74" s="32">
        <v>4320.59</v>
      </c>
      <c r="D74" s="107">
        <v>2887.86</v>
      </c>
      <c r="E74" s="32">
        <v>240</v>
      </c>
      <c r="F74" s="32">
        <v>4196.92</v>
      </c>
      <c r="G74" s="32">
        <v>4432.49</v>
      </c>
      <c r="H74" s="22">
        <f>SUM(A74:G74)+I65</f>
        <v>46664.25</v>
      </c>
      <c r="I74" s="33" t="s">
        <v>1</v>
      </c>
      <c r="K74" s="85">
        <v>3942</v>
      </c>
      <c r="L74" s="32">
        <v>80</v>
      </c>
      <c r="M74" s="32">
        <v>4776</v>
      </c>
      <c r="N74" s="32">
        <v>35</v>
      </c>
      <c r="O74" s="32">
        <v>4478</v>
      </c>
      <c r="P74" s="32">
        <v>491.6</v>
      </c>
      <c r="Q74" s="32">
        <v>3078</v>
      </c>
      <c r="R74" s="32">
        <v>2950</v>
      </c>
      <c r="S74" s="32">
        <v>832</v>
      </c>
      <c r="T74" s="32">
        <v>0</v>
      </c>
      <c r="U74" s="32">
        <v>5404</v>
      </c>
      <c r="V74" s="32">
        <v>172.4</v>
      </c>
      <c r="W74" s="32">
        <v>4602</v>
      </c>
      <c r="X74" s="22">
        <v>203.5</v>
      </c>
      <c r="Y74" s="33">
        <f>L74+N74+P74+R74+T74+V74+X74</f>
        <v>3932.5</v>
      </c>
    </row>
    <row r="75" spans="1:25" ht="15" thickBot="1" x14ac:dyDescent="0.35">
      <c r="A75" s="34">
        <f t="shared" ref="A75:G75" si="14">A73-A74</f>
        <v>0</v>
      </c>
      <c r="B75" s="35">
        <f t="shared" si="14"/>
        <v>0</v>
      </c>
      <c r="C75" s="35">
        <f t="shared" si="14"/>
        <v>0</v>
      </c>
      <c r="D75" s="106">
        <f t="shared" si="14"/>
        <v>0</v>
      </c>
      <c r="E75" s="35">
        <f t="shared" si="14"/>
        <v>0</v>
      </c>
      <c r="F75" s="35">
        <f t="shared" si="14"/>
        <v>0</v>
      </c>
      <c r="G75" s="35">
        <f t="shared" si="14"/>
        <v>0</v>
      </c>
      <c r="H75" s="35"/>
      <c r="I75" s="36"/>
      <c r="K75" s="86">
        <f t="shared" ref="K75:X75" si="15">K73-K74</f>
        <v>0</v>
      </c>
      <c r="L75" s="86">
        <f t="shared" si="15"/>
        <v>0</v>
      </c>
      <c r="M75" s="86">
        <f t="shared" si="15"/>
        <v>0</v>
      </c>
      <c r="N75" s="86">
        <f t="shared" si="15"/>
        <v>0</v>
      </c>
      <c r="O75" s="86">
        <f t="shared" si="15"/>
        <v>0</v>
      </c>
      <c r="P75" s="86">
        <f t="shared" si="15"/>
        <v>0</v>
      </c>
      <c r="Q75" s="86">
        <f t="shared" si="15"/>
        <v>0</v>
      </c>
      <c r="R75" s="86">
        <f>R73-R74</f>
        <v>0</v>
      </c>
      <c r="S75" s="86">
        <f t="shared" si="15"/>
        <v>0</v>
      </c>
      <c r="T75" s="86">
        <f t="shared" si="15"/>
        <v>0</v>
      </c>
      <c r="U75" s="86">
        <f t="shared" si="15"/>
        <v>0</v>
      </c>
      <c r="V75" s="86">
        <f t="shared" si="15"/>
        <v>0</v>
      </c>
      <c r="W75" s="86">
        <f t="shared" si="15"/>
        <v>0</v>
      </c>
      <c r="X75" s="86">
        <f t="shared" si="15"/>
        <v>0</v>
      </c>
      <c r="Y75" s="87"/>
    </row>
    <row r="76" spans="1:25" ht="15.6" thickTop="1" thickBot="1" x14ac:dyDescent="0.35">
      <c r="D76" s="93"/>
    </row>
    <row r="77" spans="1:25" x14ac:dyDescent="0.3">
      <c r="A77" s="17">
        <v>45133</v>
      </c>
      <c r="B77" s="17">
        <v>45134</v>
      </c>
      <c r="C77" s="17">
        <v>45135</v>
      </c>
      <c r="D77" s="17">
        <v>45136</v>
      </c>
      <c r="E77" s="17">
        <v>45137</v>
      </c>
      <c r="F77" s="17">
        <v>45138</v>
      </c>
      <c r="G77" s="17">
        <v>45139</v>
      </c>
      <c r="H77" s="39"/>
      <c r="I77" s="13" t="s">
        <v>8</v>
      </c>
      <c r="K77" s="59">
        <v>45133</v>
      </c>
      <c r="L77" s="59"/>
      <c r="M77" s="59">
        <v>45134</v>
      </c>
      <c r="N77" s="59"/>
      <c r="O77" s="59">
        <v>45135</v>
      </c>
      <c r="P77" s="59"/>
      <c r="Q77" s="59">
        <v>45136</v>
      </c>
      <c r="R77" s="59"/>
      <c r="S77" s="59">
        <v>45137</v>
      </c>
      <c r="T77" s="59"/>
      <c r="U77" s="59">
        <v>45138</v>
      </c>
      <c r="V77" s="59"/>
      <c r="W77" s="59">
        <v>45139</v>
      </c>
      <c r="X77" s="59"/>
      <c r="Y77" s="13"/>
    </row>
    <row r="78" spans="1:25" ht="15" thickBot="1" x14ac:dyDescent="0.35">
      <c r="A78" s="21">
        <v>930</v>
      </c>
      <c r="B78" s="22">
        <v>865</v>
      </c>
      <c r="C78" s="22">
        <v>865</v>
      </c>
      <c r="D78" s="98">
        <v>695</v>
      </c>
      <c r="E78" s="22">
        <v>85</v>
      </c>
      <c r="F78" s="22">
        <v>910</v>
      </c>
      <c r="G78" s="22">
        <v>870</v>
      </c>
      <c r="H78" s="37"/>
      <c r="I78" s="15">
        <v>5922.75</v>
      </c>
      <c r="K78" s="66" t="s">
        <v>10</v>
      </c>
      <c r="L78" s="66" t="s">
        <v>11</v>
      </c>
      <c r="M78" s="67" t="s">
        <v>10</v>
      </c>
      <c r="N78" s="67" t="s">
        <v>11</v>
      </c>
      <c r="O78" s="67" t="s">
        <v>10</v>
      </c>
      <c r="P78" s="67" t="s">
        <v>11</v>
      </c>
      <c r="Q78" s="67" t="s">
        <v>10</v>
      </c>
      <c r="R78" s="67" t="s">
        <v>11</v>
      </c>
      <c r="S78" s="67" t="s">
        <v>10</v>
      </c>
      <c r="T78" s="67" t="s">
        <v>11</v>
      </c>
      <c r="U78" s="67" t="s">
        <v>10</v>
      </c>
      <c r="V78" s="67" t="s">
        <v>11</v>
      </c>
      <c r="W78" s="67" t="s">
        <v>10</v>
      </c>
      <c r="X78" s="67" t="s">
        <v>11</v>
      </c>
      <c r="Y78" s="14"/>
    </row>
    <row r="79" spans="1:25" x14ac:dyDescent="0.3">
      <c r="A79" s="24">
        <v>2347.4899999999998</v>
      </c>
      <c r="B79" s="22">
        <v>2187.7600000000002</v>
      </c>
      <c r="C79" s="22">
        <v>2655.56</v>
      </c>
      <c r="D79" s="98">
        <v>545</v>
      </c>
      <c r="E79" s="25">
        <v>120</v>
      </c>
      <c r="F79" s="22">
        <v>2619.9899999999998</v>
      </c>
      <c r="G79" s="22">
        <v>2129.39</v>
      </c>
      <c r="H79" s="37"/>
      <c r="I79" s="15">
        <v>3122.5</v>
      </c>
      <c r="K79" s="75">
        <v>1925</v>
      </c>
      <c r="L79" s="76">
        <v>2160</v>
      </c>
      <c r="M79" s="77">
        <v>1940</v>
      </c>
      <c r="N79" s="77">
        <v>102.5</v>
      </c>
      <c r="O79" s="77">
        <v>1980</v>
      </c>
      <c r="P79" s="77">
        <v>70</v>
      </c>
      <c r="Q79" s="77">
        <v>590</v>
      </c>
      <c r="R79" s="77">
        <v>60</v>
      </c>
      <c r="S79" s="78">
        <v>480</v>
      </c>
      <c r="T79" s="69"/>
      <c r="U79" s="63">
        <v>2000</v>
      </c>
      <c r="V79" s="63">
        <v>36</v>
      </c>
      <c r="W79" s="63">
        <v>1390</v>
      </c>
      <c r="X79" s="65">
        <v>50</v>
      </c>
      <c r="Y79" s="14"/>
    </row>
    <row r="80" spans="1:25" x14ac:dyDescent="0.3">
      <c r="A80" s="24">
        <v>1050</v>
      </c>
      <c r="B80" s="22">
        <v>185</v>
      </c>
      <c r="C80" s="22">
        <v>605</v>
      </c>
      <c r="D80" s="99">
        <v>515</v>
      </c>
      <c r="E80" s="22"/>
      <c r="F80" s="22">
        <v>1240</v>
      </c>
      <c r="G80" s="22">
        <v>605</v>
      </c>
      <c r="H80" s="37" t="s">
        <v>9</v>
      </c>
      <c r="I80" s="15">
        <v>5289.97</v>
      </c>
      <c r="K80" s="21">
        <v>1715</v>
      </c>
      <c r="L80" s="79">
        <v>50</v>
      </c>
      <c r="M80" s="43">
        <v>2190</v>
      </c>
      <c r="N80" s="43">
        <v>120</v>
      </c>
      <c r="O80" s="43">
        <v>2115</v>
      </c>
      <c r="P80" s="43"/>
      <c r="Q80" s="80">
        <v>840</v>
      </c>
      <c r="R80" s="80">
        <v>95</v>
      </c>
      <c r="S80" s="43">
        <v>170</v>
      </c>
      <c r="T80" s="22"/>
      <c r="U80" s="22">
        <v>2465</v>
      </c>
      <c r="V80" s="22">
        <v>60</v>
      </c>
      <c r="W80" s="22">
        <v>1885</v>
      </c>
      <c r="X80" s="37">
        <v>139.9</v>
      </c>
      <c r="Y80" s="15"/>
    </row>
    <row r="81" spans="1:25" x14ac:dyDescent="0.3">
      <c r="A81" s="24"/>
      <c r="B81" s="22">
        <v>1170</v>
      </c>
      <c r="C81" s="22"/>
      <c r="D81" s="113"/>
      <c r="E81" s="22"/>
      <c r="F81" s="22"/>
      <c r="G81" s="22"/>
      <c r="H81" s="37"/>
      <c r="I81" s="15">
        <v>4005.15</v>
      </c>
      <c r="K81" s="21">
        <v>720</v>
      </c>
      <c r="L81" s="79"/>
      <c r="M81" s="43">
        <v>990</v>
      </c>
      <c r="N81" s="43"/>
      <c r="O81" s="43">
        <v>795</v>
      </c>
      <c r="P81" s="43"/>
      <c r="Q81" s="80">
        <v>228</v>
      </c>
      <c r="R81" s="81"/>
      <c r="S81" s="43">
        <v>140</v>
      </c>
      <c r="T81" s="22"/>
      <c r="U81" s="22">
        <v>505</v>
      </c>
      <c r="V81" s="22">
        <v>125</v>
      </c>
      <c r="W81" s="22">
        <v>845</v>
      </c>
      <c r="X81" s="37">
        <v>1980</v>
      </c>
      <c r="Y81" s="15"/>
    </row>
    <row r="82" spans="1:25" x14ac:dyDescent="0.3">
      <c r="A82" s="24"/>
      <c r="B82" s="22"/>
      <c r="C82" s="22"/>
      <c r="D82" s="114"/>
      <c r="E82" s="22"/>
      <c r="F82" s="22"/>
      <c r="G82" s="22"/>
      <c r="H82" s="37"/>
      <c r="I82" s="15">
        <v>4010</v>
      </c>
      <c r="K82" s="21">
        <v>222</v>
      </c>
      <c r="L82" s="79"/>
      <c r="M82" s="43">
        <v>310</v>
      </c>
      <c r="N82" s="43"/>
      <c r="O82" s="43">
        <v>144</v>
      </c>
      <c r="P82" s="43"/>
      <c r="Q82" s="43">
        <v>24</v>
      </c>
      <c r="R82" s="43"/>
      <c r="S82" s="43">
        <v>72</v>
      </c>
      <c r="T82" s="22"/>
      <c r="U82" s="22">
        <v>300</v>
      </c>
      <c r="V82" s="22"/>
      <c r="W82" s="22">
        <v>300</v>
      </c>
      <c r="X82" s="37"/>
      <c r="Y82" s="15"/>
    </row>
    <row r="83" spans="1:25" x14ac:dyDescent="0.3">
      <c r="A83" s="24"/>
      <c r="B83" s="22"/>
      <c r="C83" s="22"/>
      <c r="D83" s="114"/>
      <c r="E83" s="22"/>
      <c r="F83" s="22"/>
      <c r="G83" s="22"/>
      <c r="H83" s="37"/>
      <c r="I83" s="15">
        <v>1468.54</v>
      </c>
      <c r="K83" s="21">
        <v>24</v>
      </c>
      <c r="L83" s="79"/>
      <c r="M83" s="43">
        <v>300</v>
      </c>
      <c r="N83" s="43"/>
      <c r="O83" s="43">
        <v>24</v>
      </c>
      <c r="P83" s="43"/>
      <c r="Q83" s="43"/>
      <c r="R83" s="43"/>
      <c r="S83" s="43"/>
      <c r="T83" s="22"/>
      <c r="U83" s="22">
        <v>96</v>
      </c>
      <c r="V83" s="22"/>
      <c r="W83" s="22">
        <v>128</v>
      </c>
      <c r="X83" s="37"/>
      <c r="Y83" s="15"/>
    </row>
    <row r="84" spans="1:25" ht="15" thickBot="1" x14ac:dyDescent="0.35">
      <c r="A84" s="24"/>
      <c r="B84" s="22"/>
      <c r="C84" s="22"/>
      <c r="D84" s="114"/>
      <c r="E84" s="22"/>
      <c r="F84" s="22"/>
      <c r="G84" s="22"/>
      <c r="H84" s="37"/>
      <c r="I84" s="16">
        <f>SUM(I78:I83)</f>
        <v>23818.910000000003</v>
      </c>
      <c r="K84" s="21"/>
      <c r="L84" s="79"/>
      <c r="M84" s="43">
        <v>96</v>
      </c>
      <c r="N84" s="43"/>
      <c r="O84" s="43"/>
      <c r="P84" s="43"/>
      <c r="Q84" s="43"/>
      <c r="R84" s="43"/>
      <c r="S84" s="43"/>
      <c r="T84" s="22"/>
      <c r="U84" s="22"/>
      <c r="V84" s="22"/>
      <c r="W84" s="22"/>
      <c r="X84" s="37"/>
      <c r="Y84" s="83"/>
    </row>
    <row r="85" spans="1:25" ht="15.6" thickTop="1" thickBot="1" x14ac:dyDescent="0.35">
      <c r="A85" s="24"/>
      <c r="B85" s="22"/>
      <c r="C85" s="22"/>
      <c r="D85" s="114"/>
      <c r="E85" s="22"/>
      <c r="F85" s="22"/>
      <c r="G85" s="22"/>
      <c r="H85" s="22"/>
      <c r="I85" s="40"/>
      <c r="K85" s="24"/>
      <c r="L85" s="56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7"/>
      <c r="Y85" s="16">
        <f>SUM(Y78:Y83)</f>
        <v>0</v>
      </c>
    </row>
    <row r="86" spans="1:25" ht="15" thickTop="1" x14ac:dyDescent="0.3">
      <c r="A86" s="24"/>
      <c r="B86" s="22"/>
      <c r="C86" s="22"/>
      <c r="D86" s="114"/>
      <c r="E86" s="22"/>
      <c r="F86" s="22"/>
      <c r="G86" s="22"/>
      <c r="H86" s="22"/>
      <c r="I86" s="27"/>
      <c r="K86" s="24"/>
      <c r="L86" s="56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38"/>
    </row>
    <row r="87" spans="1:25" x14ac:dyDescent="0.3">
      <c r="A87" s="24"/>
      <c r="B87" s="22"/>
      <c r="C87" s="22"/>
      <c r="D87" s="114"/>
      <c r="E87" s="22"/>
      <c r="F87" s="22"/>
      <c r="G87" s="22"/>
      <c r="H87" s="22"/>
      <c r="I87" s="27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</row>
    <row r="88" spans="1:25" x14ac:dyDescent="0.3">
      <c r="A88" s="24"/>
      <c r="B88" s="22"/>
      <c r="C88" s="22"/>
      <c r="D88" s="114"/>
      <c r="E88" s="22"/>
      <c r="F88" s="22"/>
      <c r="G88" s="22"/>
      <c r="H88" s="22"/>
      <c r="I88" s="23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3"/>
    </row>
    <row r="89" spans="1:25" x14ac:dyDescent="0.3">
      <c r="A89" s="24"/>
      <c r="B89" s="22"/>
      <c r="C89" s="22"/>
      <c r="D89" s="114"/>
      <c r="E89" s="22"/>
      <c r="F89" s="22"/>
      <c r="G89" s="22"/>
      <c r="H89" s="22"/>
      <c r="I89" s="23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</row>
    <row r="90" spans="1:25" x14ac:dyDescent="0.3">
      <c r="A90" s="24"/>
      <c r="B90" s="22"/>
      <c r="C90" s="22"/>
      <c r="D90" s="114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3"/>
    </row>
    <row r="91" spans="1:25" x14ac:dyDescent="0.3">
      <c r="A91" s="24"/>
      <c r="B91" s="22"/>
      <c r="C91" s="22"/>
      <c r="D91" s="114"/>
      <c r="E91" s="22"/>
      <c r="F91" s="28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8"/>
      <c r="V91" s="28"/>
      <c r="W91" s="22"/>
      <c r="X91" s="22"/>
      <c r="Y91" s="23"/>
    </row>
    <row r="92" spans="1:25" x14ac:dyDescent="0.3">
      <c r="A92" s="24">
        <f t="shared" ref="A92:G92" si="16">SUM(A78:A91)</f>
        <v>4327.49</v>
      </c>
      <c r="B92" s="22">
        <f t="shared" si="16"/>
        <v>4407.76</v>
      </c>
      <c r="C92" s="22">
        <f t="shared" si="16"/>
        <v>4125.5599999999995</v>
      </c>
      <c r="D92" s="98">
        <f t="shared" si="16"/>
        <v>1755</v>
      </c>
      <c r="E92" s="22">
        <f t="shared" si="16"/>
        <v>205</v>
      </c>
      <c r="F92" s="22">
        <f t="shared" si="16"/>
        <v>4769.99</v>
      </c>
      <c r="G92" s="22">
        <f t="shared" si="16"/>
        <v>3604.39</v>
      </c>
      <c r="H92" s="29">
        <f>SUM(A92:G92)+I84</f>
        <v>47014.100000000006</v>
      </c>
      <c r="I92" s="30" t="s">
        <v>7</v>
      </c>
      <c r="K92" s="24">
        <f t="shared" ref="K92:Q92" si="17">SUM(K79:K91)</f>
        <v>4606</v>
      </c>
      <c r="L92" s="22">
        <f t="shared" si="17"/>
        <v>2210</v>
      </c>
      <c r="M92" s="22">
        <f t="shared" si="17"/>
        <v>5826</v>
      </c>
      <c r="N92" s="22">
        <f t="shared" si="17"/>
        <v>222.5</v>
      </c>
      <c r="O92" s="22">
        <f t="shared" si="17"/>
        <v>5058</v>
      </c>
      <c r="P92" s="22">
        <f t="shared" si="17"/>
        <v>70</v>
      </c>
      <c r="Q92" s="22">
        <f t="shared" si="17"/>
        <v>1682</v>
      </c>
      <c r="R92" s="22">
        <f>SUM(R79:R91)</f>
        <v>155</v>
      </c>
      <c r="S92" s="22">
        <f t="shared" ref="S92:X92" si="18">SUM(S79:S91)</f>
        <v>862</v>
      </c>
      <c r="T92" s="22">
        <f t="shared" si="18"/>
        <v>0</v>
      </c>
      <c r="U92" s="22">
        <f t="shared" si="18"/>
        <v>5366</v>
      </c>
      <c r="V92" s="22">
        <f t="shared" si="18"/>
        <v>221</v>
      </c>
      <c r="W92" s="22">
        <f t="shared" si="18"/>
        <v>4548</v>
      </c>
      <c r="X92" s="22">
        <f t="shared" si="18"/>
        <v>2169.9</v>
      </c>
      <c r="Y92" s="33">
        <f>K93+M93+O93+Q93+S93+U93+W93</f>
        <v>27948</v>
      </c>
    </row>
    <row r="93" spans="1:25" x14ac:dyDescent="0.3">
      <c r="A93" s="31">
        <v>4327.49</v>
      </c>
      <c r="B93" s="32">
        <v>4407.76</v>
      </c>
      <c r="C93" s="32">
        <v>4125.5600000000004</v>
      </c>
      <c r="D93" s="107">
        <v>1755</v>
      </c>
      <c r="E93" s="32">
        <v>205</v>
      </c>
      <c r="F93" s="32">
        <v>4769.99</v>
      </c>
      <c r="G93" s="32">
        <v>3604.39</v>
      </c>
      <c r="H93" s="22">
        <f>SUM(A93:G93)+I84</f>
        <v>47014.100000000006</v>
      </c>
      <c r="I93" s="33" t="s">
        <v>1</v>
      </c>
      <c r="K93" s="85">
        <v>4606</v>
      </c>
      <c r="L93" s="32">
        <v>2210</v>
      </c>
      <c r="M93" s="32">
        <v>5826</v>
      </c>
      <c r="N93" s="32">
        <v>222.5</v>
      </c>
      <c r="O93" s="32">
        <v>5058</v>
      </c>
      <c r="P93" s="32">
        <v>70</v>
      </c>
      <c r="Q93" s="32">
        <v>1682</v>
      </c>
      <c r="R93" s="32">
        <v>155</v>
      </c>
      <c r="S93" s="32">
        <v>862</v>
      </c>
      <c r="T93" s="32">
        <v>0</v>
      </c>
      <c r="U93" s="32">
        <v>5366</v>
      </c>
      <c r="V93" s="32">
        <v>221</v>
      </c>
      <c r="W93" s="32">
        <v>4548</v>
      </c>
      <c r="X93" s="22">
        <v>2169.9</v>
      </c>
      <c r="Y93" s="33">
        <f>L93+N93+P93+R93+T93+V93+X93</f>
        <v>5048.3999999999996</v>
      </c>
    </row>
    <row r="94" spans="1:25" ht="15" thickBot="1" x14ac:dyDescent="0.35">
      <c r="A94" s="34">
        <f>A92-A93</f>
        <v>0</v>
      </c>
      <c r="B94" s="35">
        <f>B92-B93</f>
        <v>0</v>
      </c>
      <c r="C94" s="35">
        <f t="shared" ref="C94:F94" si="19">C92-C93</f>
        <v>0</v>
      </c>
      <c r="D94" s="115">
        <f t="shared" si="19"/>
        <v>0</v>
      </c>
      <c r="E94" s="35">
        <f t="shared" si="19"/>
        <v>0</v>
      </c>
      <c r="F94" s="35">
        <f t="shared" si="19"/>
        <v>0</v>
      </c>
      <c r="G94" s="35">
        <f>G92-G93</f>
        <v>0</v>
      </c>
      <c r="H94" s="35"/>
      <c r="I94" s="36"/>
      <c r="K94" s="86">
        <f t="shared" ref="K94:Q94" si="20">K92-K93</f>
        <v>0</v>
      </c>
      <c r="L94" s="86">
        <f t="shared" si="20"/>
        <v>0</v>
      </c>
      <c r="M94" s="86">
        <f t="shared" si="20"/>
        <v>0</v>
      </c>
      <c r="N94" s="86">
        <f t="shared" si="20"/>
        <v>0</v>
      </c>
      <c r="O94" s="86">
        <f t="shared" si="20"/>
        <v>0</v>
      </c>
      <c r="P94" s="86">
        <f t="shared" si="20"/>
        <v>0</v>
      </c>
      <c r="Q94" s="86">
        <f t="shared" si="20"/>
        <v>0</v>
      </c>
      <c r="R94" s="86">
        <f>R92-R93</f>
        <v>0</v>
      </c>
      <c r="S94" s="86">
        <f t="shared" ref="S94:X94" si="21">S92-S93</f>
        <v>0</v>
      </c>
      <c r="T94" s="86">
        <f t="shared" si="21"/>
        <v>0</v>
      </c>
      <c r="U94" s="86">
        <f t="shared" si="21"/>
        <v>0</v>
      </c>
      <c r="V94" s="86">
        <f t="shared" si="21"/>
        <v>0</v>
      </c>
      <c r="W94" s="86">
        <f t="shared" si="21"/>
        <v>0</v>
      </c>
      <c r="X94" s="86">
        <f t="shared" si="21"/>
        <v>0</v>
      </c>
      <c r="Y94" s="87"/>
    </row>
    <row r="95" spans="1:25" ht="15" thickTop="1" x14ac:dyDescent="0.3">
      <c r="D95" s="112"/>
    </row>
    <row r="96" spans="1:25" x14ac:dyDescent="0.3">
      <c r="D96" s="110"/>
    </row>
    <row r="97" spans="4:4" x14ac:dyDescent="0.3">
      <c r="D97" s="110"/>
    </row>
    <row r="98" spans="4:4" x14ac:dyDescent="0.3">
      <c r="D98" s="110"/>
    </row>
    <row r="99" spans="4:4" x14ac:dyDescent="0.3">
      <c r="D99" s="110"/>
    </row>
    <row r="100" spans="4:4" x14ac:dyDescent="0.3">
      <c r="D100" s="110"/>
    </row>
    <row r="101" spans="4:4" x14ac:dyDescent="0.3">
      <c r="D101" s="110"/>
    </row>
    <row r="102" spans="4:4" x14ac:dyDescent="0.3">
      <c r="D102" s="110"/>
    </row>
    <row r="103" spans="4:4" x14ac:dyDescent="0.3">
      <c r="D103" s="110"/>
    </row>
    <row r="104" spans="4:4" x14ac:dyDescent="0.3">
      <c r="D104" s="110"/>
    </row>
    <row r="105" spans="4:4" x14ac:dyDescent="0.3">
      <c r="D105" s="110"/>
    </row>
    <row r="106" spans="4:4" x14ac:dyDescent="0.3">
      <c r="D106" s="110"/>
    </row>
    <row r="107" spans="4:4" x14ac:dyDescent="0.3">
      <c r="D107" s="111"/>
    </row>
    <row r="108" spans="4:4" x14ac:dyDescent="0.3">
      <c r="D108" s="111"/>
    </row>
    <row r="109" spans="4:4" x14ac:dyDescent="0.3">
      <c r="D109" s="111"/>
    </row>
    <row r="110" spans="4:4" x14ac:dyDescent="0.3">
      <c r="D110" s="111"/>
    </row>
    <row r="111" spans="4:4" x14ac:dyDescent="0.3">
      <c r="D111" s="111"/>
    </row>
    <row r="112" spans="4:4" x14ac:dyDescent="0.3">
      <c r="D112" s="11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C11C-185E-4949-9A75-12E4C1456D83}">
  <dimension ref="A1:Y95"/>
  <sheetViews>
    <sheetView topLeftCell="A30" workbookViewId="0">
      <selection activeCell="L68" sqref="L68"/>
    </sheetView>
  </sheetViews>
  <sheetFormatPr defaultRowHeight="14.4" x14ac:dyDescent="0.3"/>
  <cols>
    <col min="1" max="9" width="14.6640625" customWidth="1"/>
    <col min="11" max="11" width="12.33203125" customWidth="1"/>
    <col min="12" max="12" width="11.5546875" customWidth="1"/>
    <col min="13" max="13" width="13.44140625" customWidth="1"/>
    <col min="14" max="14" width="11.33203125" customWidth="1"/>
    <col min="15" max="15" width="11" customWidth="1"/>
    <col min="16" max="16" width="10.88671875" customWidth="1"/>
    <col min="17" max="17" width="11.109375" customWidth="1"/>
    <col min="18" max="18" width="10.33203125" customWidth="1"/>
    <col min="21" max="21" width="11" customWidth="1"/>
    <col min="22" max="22" width="9.88671875" customWidth="1"/>
    <col min="23" max="23" width="12.5546875" customWidth="1"/>
    <col min="24" max="24" width="11.44140625" customWidth="1"/>
    <col min="25" max="25" width="12" customWidth="1"/>
  </cols>
  <sheetData>
    <row r="1" spans="1:25" x14ac:dyDescent="0.3">
      <c r="A1" s="17">
        <v>45140</v>
      </c>
      <c r="B1" s="17">
        <v>45141</v>
      </c>
      <c r="C1" s="17">
        <v>45142</v>
      </c>
      <c r="D1" s="17">
        <v>45143</v>
      </c>
      <c r="E1" s="17">
        <v>45144</v>
      </c>
      <c r="F1" s="17">
        <v>45145</v>
      </c>
      <c r="G1" s="17">
        <v>45146</v>
      </c>
      <c r="H1" s="19"/>
      <c r="I1" s="20" t="s">
        <v>8</v>
      </c>
      <c r="K1" s="59">
        <v>45140</v>
      </c>
      <c r="L1" s="59"/>
      <c r="M1" s="59">
        <v>45141</v>
      </c>
      <c r="N1" s="59"/>
      <c r="O1" s="59">
        <v>45142</v>
      </c>
      <c r="P1" s="59"/>
      <c r="Q1" s="59">
        <v>45143</v>
      </c>
      <c r="R1" s="59"/>
      <c r="S1" s="59">
        <v>45144</v>
      </c>
      <c r="T1" s="59"/>
      <c r="U1" s="59">
        <v>45145</v>
      </c>
      <c r="V1" s="59"/>
      <c r="W1" s="59">
        <v>45146</v>
      </c>
      <c r="X1" s="59"/>
      <c r="Y1" s="13"/>
    </row>
    <row r="2" spans="1:25" ht="15" thickBot="1" x14ac:dyDescent="0.35">
      <c r="A2" s="21">
        <v>890</v>
      </c>
      <c r="B2" s="22">
        <v>860</v>
      </c>
      <c r="C2" s="22">
        <v>995</v>
      </c>
      <c r="D2" s="22">
        <v>710</v>
      </c>
      <c r="E2" s="22">
        <v>120</v>
      </c>
      <c r="F2" s="22">
        <v>855</v>
      </c>
      <c r="G2" s="22">
        <v>950</v>
      </c>
      <c r="H2" s="22"/>
      <c r="I2" s="23">
        <v>5922.75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5" x14ac:dyDescent="0.3">
      <c r="A3" s="24">
        <v>2327.46</v>
      </c>
      <c r="B3" s="22">
        <v>3053.06</v>
      </c>
      <c r="C3" s="22">
        <v>2087.46</v>
      </c>
      <c r="D3" s="22">
        <v>1747.88</v>
      </c>
      <c r="E3" s="25">
        <v>85</v>
      </c>
      <c r="F3" s="22">
        <v>2242.16</v>
      </c>
      <c r="G3" s="22">
        <v>1937.16</v>
      </c>
      <c r="H3" s="22"/>
      <c r="I3" s="23">
        <v>3430</v>
      </c>
      <c r="K3" s="75">
        <v>1370</v>
      </c>
      <c r="L3" s="76">
        <v>60</v>
      </c>
      <c r="M3" s="77">
        <v>1380</v>
      </c>
      <c r="N3" s="77">
        <v>24</v>
      </c>
      <c r="O3" s="77">
        <v>1300</v>
      </c>
      <c r="P3" s="77">
        <v>130</v>
      </c>
      <c r="Q3" s="77">
        <v>780</v>
      </c>
      <c r="R3" s="77">
        <v>42.5</v>
      </c>
      <c r="S3" s="78">
        <v>480</v>
      </c>
      <c r="T3" s="69">
        <v>0</v>
      </c>
      <c r="U3" s="63">
        <v>2220</v>
      </c>
      <c r="V3" s="63">
        <v>372</v>
      </c>
      <c r="W3" s="63">
        <v>2630</v>
      </c>
      <c r="X3" s="65"/>
      <c r="Y3" s="14"/>
    </row>
    <row r="4" spans="1:25" x14ac:dyDescent="0.3">
      <c r="A4" s="24">
        <v>450</v>
      </c>
      <c r="B4" s="22">
        <v>655</v>
      </c>
      <c r="C4" s="22">
        <v>305</v>
      </c>
      <c r="D4" s="26">
        <v>505</v>
      </c>
      <c r="E4" s="22"/>
      <c r="F4" s="22">
        <v>575</v>
      </c>
      <c r="G4" s="22">
        <v>265</v>
      </c>
      <c r="H4" s="22"/>
      <c r="I4" s="27">
        <v>4005</v>
      </c>
      <c r="K4" s="21">
        <v>1870</v>
      </c>
      <c r="L4" s="79">
        <v>237.5</v>
      </c>
      <c r="M4" s="43">
        <v>1480</v>
      </c>
      <c r="N4" s="43">
        <v>110</v>
      </c>
      <c r="O4" s="43">
        <v>2435</v>
      </c>
      <c r="P4" s="43">
        <v>60</v>
      </c>
      <c r="Q4" s="80">
        <v>1330</v>
      </c>
      <c r="R4" s="80"/>
      <c r="S4" s="43">
        <v>140</v>
      </c>
      <c r="T4" s="22"/>
      <c r="U4" s="22">
        <v>2950</v>
      </c>
      <c r="V4" s="22">
        <v>42.5</v>
      </c>
      <c r="W4" s="22">
        <v>1845</v>
      </c>
      <c r="X4" s="37">
        <v>50</v>
      </c>
      <c r="Y4" s="15"/>
    </row>
    <row r="5" spans="1:25" x14ac:dyDescent="0.3">
      <c r="A5" s="24"/>
      <c r="B5" s="22"/>
      <c r="C5" s="22"/>
      <c r="D5" s="25">
        <v>552.24</v>
      </c>
      <c r="E5" s="22"/>
      <c r="F5" s="22"/>
      <c r="G5" s="22"/>
      <c r="H5" s="22"/>
      <c r="I5" s="27">
        <v>4005.15</v>
      </c>
      <c r="K5" s="21">
        <v>630</v>
      </c>
      <c r="L5" s="79"/>
      <c r="M5" s="43">
        <v>1300</v>
      </c>
      <c r="N5" s="43">
        <v>41</v>
      </c>
      <c r="O5" s="43">
        <v>785</v>
      </c>
      <c r="P5" s="43">
        <v>19.2</v>
      </c>
      <c r="Q5" s="80">
        <v>580</v>
      </c>
      <c r="R5" s="81"/>
      <c r="S5" s="43">
        <v>170</v>
      </c>
      <c r="T5" s="22"/>
      <c r="U5" s="22">
        <v>900</v>
      </c>
      <c r="V5" s="22"/>
      <c r="W5" s="22">
        <v>1645</v>
      </c>
      <c r="X5" s="37">
        <v>640</v>
      </c>
      <c r="Y5" s="15"/>
    </row>
    <row r="6" spans="1:25" x14ac:dyDescent="0.3">
      <c r="A6" s="24"/>
      <c r="B6" s="22"/>
      <c r="C6" s="22"/>
      <c r="D6" s="22"/>
      <c r="E6" s="22"/>
      <c r="F6" s="22"/>
      <c r="G6" s="22"/>
      <c r="H6" s="22"/>
      <c r="I6" s="27">
        <v>5921.05</v>
      </c>
      <c r="K6" s="21">
        <v>222</v>
      </c>
      <c r="L6" s="79"/>
      <c r="M6" s="43">
        <v>300</v>
      </c>
      <c r="N6" s="43"/>
      <c r="O6" s="43">
        <v>72</v>
      </c>
      <c r="P6" s="43"/>
      <c r="Q6" s="43">
        <v>156</v>
      </c>
      <c r="R6" s="43"/>
      <c r="S6" s="43">
        <v>72</v>
      </c>
      <c r="T6" s="22"/>
      <c r="U6" s="22">
        <v>216</v>
      </c>
      <c r="V6" s="22"/>
      <c r="W6" s="22">
        <v>258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22"/>
      <c r="I7" s="27">
        <v>1784.08</v>
      </c>
      <c r="K7" s="21">
        <v>24</v>
      </c>
      <c r="L7" s="79"/>
      <c r="M7" s="43">
        <v>102</v>
      </c>
      <c r="N7" s="43"/>
      <c r="O7" s="43"/>
      <c r="P7" s="43"/>
      <c r="Q7" s="43">
        <v>78</v>
      </c>
      <c r="R7" s="43"/>
      <c r="S7" s="43"/>
      <c r="T7" s="22"/>
      <c r="U7" s="22"/>
      <c r="V7" s="22"/>
      <c r="W7" s="22">
        <v>88</v>
      </c>
      <c r="X7" s="37"/>
      <c r="Y7" s="15"/>
    </row>
    <row r="8" spans="1:25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25068.03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37"/>
      <c r="Y8" s="83"/>
    </row>
    <row r="9" spans="1:25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7"/>
      <c r="Y9" s="16">
        <f>SUM(Y2:Y7)</f>
        <v>0</v>
      </c>
    </row>
    <row r="10" spans="1:25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5" x14ac:dyDescent="0.3">
      <c r="A11" s="24"/>
      <c r="B11" s="22"/>
      <c r="C11" s="22"/>
      <c r="D11" s="22"/>
      <c r="E11" s="22"/>
      <c r="F11" s="22"/>
      <c r="G11" s="22"/>
      <c r="H11" s="22"/>
      <c r="I11" s="23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>SUM(A2:A15)</f>
        <v>3667.46</v>
      </c>
      <c r="B16" s="22">
        <f t="shared" ref="B16:G16" si="0">SUM(B2:B15)</f>
        <v>4568.0599999999995</v>
      </c>
      <c r="C16" s="22">
        <f t="shared" si="0"/>
        <v>3387.46</v>
      </c>
      <c r="D16" s="22">
        <f t="shared" si="0"/>
        <v>3515.12</v>
      </c>
      <c r="E16" s="22">
        <f t="shared" si="0"/>
        <v>205</v>
      </c>
      <c r="F16" s="22">
        <f t="shared" si="0"/>
        <v>3672.16</v>
      </c>
      <c r="G16" s="22">
        <f t="shared" si="0"/>
        <v>3152.16</v>
      </c>
      <c r="H16" s="29">
        <f>SUM(A16:G16)+I8</f>
        <v>47235.45</v>
      </c>
      <c r="I16" s="30" t="s">
        <v>7</v>
      </c>
      <c r="K16" s="24">
        <f t="shared" ref="K16:X16" si="1">SUM(K3:K15)</f>
        <v>4116</v>
      </c>
      <c r="L16" s="22">
        <f t="shared" si="1"/>
        <v>297.5</v>
      </c>
      <c r="M16" s="22">
        <f t="shared" si="1"/>
        <v>4562</v>
      </c>
      <c r="N16" s="22">
        <f t="shared" si="1"/>
        <v>175</v>
      </c>
      <c r="O16" s="22">
        <f t="shared" si="1"/>
        <v>4592</v>
      </c>
      <c r="P16" s="22">
        <f t="shared" si="1"/>
        <v>209.2</v>
      </c>
      <c r="Q16" s="22">
        <f t="shared" si="1"/>
        <v>2924</v>
      </c>
      <c r="R16" s="22">
        <f t="shared" si="1"/>
        <v>42.5</v>
      </c>
      <c r="S16" s="22">
        <f t="shared" si="1"/>
        <v>862</v>
      </c>
      <c r="T16" s="22">
        <f t="shared" si="1"/>
        <v>0</v>
      </c>
      <c r="U16" s="22">
        <f>SUM(U3:U15)</f>
        <v>6286</v>
      </c>
      <c r="V16" s="22">
        <f t="shared" si="1"/>
        <v>414.5</v>
      </c>
      <c r="W16" s="22">
        <f t="shared" si="1"/>
        <v>6466</v>
      </c>
      <c r="X16" s="22">
        <f t="shared" si="1"/>
        <v>690</v>
      </c>
      <c r="Y16" s="33">
        <f>K17+M17+O17+Q17+S17+U17+W17</f>
        <v>29808</v>
      </c>
    </row>
    <row r="17" spans="1:25" x14ac:dyDescent="0.3">
      <c r="A17" s="31">
        <v>3667.46</v>
      </c>
      <c r="B17" s="32">
        <v>4568.0600000000004</v>
      </c>
      <c r="C17" s="32">
        <v>3387.46</v>
      </c>
      <c r="D17" s="32">
        <v>2962.88</v>
      </c>
      <c r="E17" s="32">
        <v>205</v>
      </c>
      <c r="F17" s="32">
        <v>3672.16</v>
      </c>
      <c r="G17" s="32">
        <v>3152.16</v>
      </c>
      <c r="H17" s="22">
        <f>SUM(A17:G17)+I8</f>
        <v>46683.21</v>
      </c>
      <c r="I17" s="33" t="s">
        <v>1</v>
      </c>
      <c r="K17" s="85">
        <v>4116</v>
      </c>
      <c r="L17" s="32">
        <v>297.5</v>
      </c>
      <c r="M17" s="32">
        <v>4562</v>
      </c>
      <c r="N17" s="32">
        <v>175</v>
      </c>
      <c r="O17" s="32">
        <v>4592</v>
      </c>
      <c r="P17" s="32">
        <v>209.2</v>
      </c>
      <c r="Q17" s="32">
        <v>2924</v>
      </c>
      <c r="R17" s="32">
        <v>42.5</v>
      </c>
      <c r="S17" s="32">
        <v>862</v>
      </c>
      <c r="T17" s="32">
        <v>0</v>
      </c>
      <c r="U17" s="32">
        <v>6286</v>
      </c>
      <c r="V17" s="32">
        <v>414.5</v>
      </c>
      <c r="W17" s="32">
        <v>6466</v>
      </c>
      <c r="X17" s="22">
        <v>690</v>
      </c>
      <c r="Y17" s="33">
        <f>L17+N17+P17+R17+T17+V17+X17</f>
        <v>1828.7</v>
      </c>
    </row>
    <row r="18" spans="1:25" ht="15" thickBot="1" x14ac:dyDescent="0.35">
      <c r="A18" s="34">
        <f>A16-A17</f>
        <v>0</v>
      </c>
      <c r="B18" s="35">
        <f>B16-B17</f>
        <v>0</v>
      </c>
      <c r="C18" s="35">
        <f t="shared" ref="C18:F18" si="2">C16-C17</f>
        <v>0</v>
      </c>
      <c r="D18" s="35">
        <f t="shared" si="2"/>
        <v>552.23999999999978</v>
      </c>
      <c r="E18" s="35">
        <f t="shared" si="2"/>
        <v>0</v>
      </c>
      <c r="F18" s="35">
        <f t="shared" si="2"/>
        <v>0</v>
      </c>
      <c r="G18" s="35">
        <f>G16-G17</f>
        <v>0</v>
      </c>
      <c r="H18" s="35">
        <f>H16-H17</f>
        <v>552.23999999999796</v>
      </c>
      <c r="I18" s="36"/>
      <c r="K18" s="86">
        <f t="shared" ref="K18:X18" si="3">K16-K17</f>
        <v>0</v>
      </c>
      <c r="L18" s="86">
        <f t="shared" si="3"/>
        <v>0</v>
      </c>
      <c r="M18" s="86">
        <f t="shared" si="3"/>
        <v>0</v>
      </c>
      <c r="N18" s="86">
        <f t="shared" si="3"/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7"/>
    </row>
    <row r="19" spans="1:25" ht="15.6" thickTop="1" thickBot="1" x14ac:dyDescent="0.35"/>
    <row r="20" spans="1:25" x14ac:dyDescent="0.3">
      <c r="A20" s="17">
        <v>45147</v>
      </c>
      <c r="B20" s="17">
        <v>45148</v>
      </c>
      <c r="C20" s="17">
        <v>45149</v>
      </c>
      <c r="D20" s="17">
        <v>45150</v>
      </c>
      <c r="E20" s="17">
        <v>45151</v>
      </c>
      <c r="F20" s="17">
        <v>45152</v>
      </c>
      <c r="G20" s="17">
        <v>45153</v>
      </c>
      <c r="H20" s="39"/>
      <c r="I20" s="13" t="s">
        <v>8</v>
      </c>
      <c r="K20" s="59">
        <v>45147</v>
      </c>
      <c r="L20" s="59"/>
      <c r="M20" s="59">
        <v>45148</v>
      </c>
      <c r="N20" s="59"/>
      <c r="O20" s="59">
        <v>45149</v>
      </c>
      <c r="P20" s="59"/>
      <c r="Q20" s="59">
        <v>45150</v>
      </c>
      <c r="R20" s="59"/>
      <c r="S20" s="59">
        <v>45151</v>
      </c>
      <c r="T20" s="59"/>
      <c r="U20" s="59">
        <v>45152</v>
      </c>
      <c r="V20" s="59"/>
      <c r="W20" s="59">
        <v>45153</v>
      </c>
      <c r="X20" s="59"/>
      <c r="Y20" s="13"/>
    </row>
    <row r="21" spans="1:25" ht="15" thickBot="1" x14ac:dyDescent="0.35">
      <c r="A21" s="21">
        <v>830</v>
      </c>
      <c r="B21" s="22">
        <v>825</v>
      </c>
      <c r="C21" s="22">
        <v>1265</v>
      </c>
      <c r="D21" s="22">
        <v>620</v>
      </c>
      <c r="E21" s="22">
        <v>205</v>
      </c>
      <c r="F21" s="22">
        <v>845</v>
      </c>
      <c r="G21" s="22">
        <v>1015</v>
      </c>
      <c r="H21" s="37">
        <v>222555555</v>
      </c>
      <c r="I21" s="14">
        <v>2014.68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5" x14ac:dyDescent="0.3">
      <c r="A22" s="24">
        <v>620</v>
      </c>
      <c r="B22" s="22">
        <v>1914.39</v>
      </c>
      <c r="C22" s="22">
        <v>1854.99</v>
      </c>
      <c r="D22" s="22">
        <v>2363.6999999999998</v>
      </c>
      <c r="E22" s="25"/>
      <c r="F22" s="22">
        <v>2203</v>
      </c>
      <c r="G22" s="22">
        <v>2389.9899999999998</v>
      </c>
      <c r="H22" s="37"/>
      <c r="I22" s="14">
        <v>2710</v>
      </c>
      <c r="K22" s="75">
        <v>2300</v>
      </c>
      <c r="L22" s="76">
        <v>102.5</v>
      </c>
      <c r="M22" s="77">
        <v>2640</v>
      </c>
      <c r="N22" s="77">
        <v>60</v>
      </c>
      <c r="O22" s="77">
        <v>2230</v>
      </c>
      <c r="P22" s="77">
        <v>57.5</v>
      </c>
      <c r="Q22" s="77">
        <v>850</v>
      </c>
      <c r="R22" s="77">
        <v>52.5</v>
      </c>
      <c r="S22" s="78">
        <v>480</v>
      </c>
      <c r="T22" s="69"/>
      <c r="U22" s="63">
        <v>1380</v>
      </c>
      <c r="V22" s="63">
        <v>57.5</v>
      </c>
      <c r="W22" s="63">
        <v>1240</v>
      </c>
      <c r="X22" s="65">
        <v>60</v>
      </c>
      <c r="Y22" s="14"/>
    </row>
    <row r="23" spans="1:25" x14ac:dyDescent="0.3">
      <c r="A23" s="24">
        <v>425</v>
      </c>
      <c r="B23" s="22">
        <v>650</v>
      </c>
      <c r="C23" s="22">
        <v>475</v>
      </c>
      <c r="D23" s="26">
        <v>505</v>
      </c>
      <c r="E23" s="22"/>
      <c r="F23" s="22">
        <v>655</v>
      </c>
      <c r="G23" s="22">
        <v>500</v>
      </c>
      <c r="H23" s="37"/>
      <c r="I23" s="15">
        <v>4745</v>
      </c>
      <c r="K23" s="21">
        <v>1340</v>
      </c>
      <c r="L23" s="79"/>
      <c r="M23" s="43">
        <v>1845</v>
      </c>
      <c r="N23" s="43">
        <v>156</v>
      </c>
      <c r="O23" s="43">
        <v>190</v>
      </c>
      <c r="P23" s="43">
        <v>576</v>
      </c>
      <c r="Q23" s="80">
        <v>1260</v>
      </c>
      <c r="R23" s="80">
        <v>2280</v>
      </c>
      <c r="S23" s="43">
        <v>170</v>
      </c>
      <c r="T23" s="22"/>
      <c r="U23" s="22">
        <v>2260</v>
      </c>
      <c r="V23" s="22">
        <v>2220</v>
      </c>
      <c r="W23" s="22">
        <v>1720</v>
      </c>
      <c r="X23" s="37">
        <v>24</v>
      </c>
      <c r="Y23" s="15"/>
    </row>
    <row r="24" spans="1:25" x14ac:dyDescent="0.3">
      <c r="A24" s="24"/>
      <c r="B24" s="22"/>
      <c r="C24" s="22"/>
      <c r="D24" s="25"/>
      <c r="E24" s="22"/>
      <c r="F24" s="22"/>
      <c r="G24" s="22"/>
      <c r="H24" s="37"/>
      <c r="I24" s="15">
        <v>5527.9</v>
      </c>
      <c r="K24" s="21">
        <v>700</v>
      </c>
      <c r="L24" s="79"/>
      <c r="M24" s="43">
        <v>945</v>
      </c>
      <c r="N24" s="43">
        <v>35</v>
      </c>
      <c r="O24" s="43">
        <v>2685</v>
      </c>
      <c r="P24" s="43"/>
      <c r="Q24" s="80">
        <v>650</v>
      </c>
      <c r="R24" s="81"/>
      <c r="S24" s="43">
        <v>140</v>
      </c>
      <c r="T24" s="22"/>
      <c r="U24" s="22">
        <v>495</v>
      </c>
      <c r="V24" s="22"/>
      <c r="W24" s="22">
        <v>930</v>
      </c>
      <c r="X24" s="37">
        <v>50</v>
      </c>
      <c r="Y24" s="15"/>
    </row>
    <row r="25" spans="1:25" x14ac:dyDescent="0.3">
      <c r="A25" s="24"/>
      <c r="B25" s="22"/>
      <c r="C25" s="22"/>
      <c r="D25" s="22"/>
      <c r="E25" s="22"/>
      <c r="F25" s="22"/>
      <c r="G25" s="22"/>
      <c r="H25" s="37"/>
      <c r="I25" s="15">
        <v>5605.51</v>
      </c>
      <c r="K25" s="21">
        <v>156</v>
      </c>
      <c r="L25" s="79"/>
      <c r="M25" s="43">
        <v>258</v>
      </c>
      <c r="N25" s="43">
        <v>566</v>
      </c>
      <c r="O25" s="43">
        <v>665</v>
      </c>
      <c r="P25" s="43"/>
      <c r="Q25" s="43">
        <v>228</v>
      </c>
      <c r="R25" s="43"/>
      <c r="S25" s="43">
        <v>72</v>
      </c>
      <c r="T25" s="22"/>
      <c r="U25" s="22">
        <v>985</v>
      </c>
      <c r="V25" s="22"/>
      <c r="W25" s="22">
        <v>300</v>
      </c>
      <c r="X25" s="37">
        <v>200</v>
      </c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4005.15</v>
      </c>
      <c r="K26" s="21"/>
      <c r="L26" s="79"/>
      <c r="M26" s="43">
        <v>52</v>
      </c>
      <c r="N26" s="43"/>
      <c r="O26" s="43">
        <v>144</v>
      </c>
      <c r="P26" s="43"/>
      <c r="Q26" s="43">
        <v>78</v>
      </c>
      <c r="R26" s="43"/>
      <c r="S26" s="43"/>
      <c r="T26" s="22"/>
      <c r="U26" s="22">
        <v>324</v>
      </c>
      <c r="V26" s="22"/>
      <c r="W26" s="22">
        <v>52</v>
      </c>
      <c r="X26" s="37"/>
      <c r="Y26" s="15"/>
    </row>
    <row r="27" spans="1:25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24608.240000000002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23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</row>
    <row r="35" spans="1:25" x14ac:dyDescent="0.3">
      <c r="A35" s="24">
        <f t="shared" ref="A35:G35" si="4">SUM(A21:A34)</f>
        <v>1875</v>
      </c>
      <c r="B35" s="22">
        <f t="shared" si="4"/>
        <v>3389.3900000000003</v>
      </c>
      <c r="C35" s="22">
        <f t="shared" si="4"/>
        <v>3594.99</v>
      </c>
      <c r="D35" s="22">
        <f t="shared" si="4"/>
        <v>3488.7</v>
      </c>
      <c r="E35" s="22">
        <f t="shared" si="4"/>
        <v>205</v>
      </c>
      <c r="F35" s="22">
        <f t="shared" si="4"/>
        <v>3703</v>
      </c>
      <c r="G35" s="22">
        <f t="shared" si="4"/>
        <v>3904.99</v>
      </c>
      <c r="H35" s="29">
        <f>SUM(A35:G35)+I27</f>
        <v>44769.31</v>
      </c>
      <c r="I35" s="30" t="s">
        <v>7</v>
      </c>
      <c r="K35" s="24">
        <f t="shared" ref="K35:T35" si="5">SUM(K22:K34)</f>
        <v>4496</v>
      </c>
      <c r="L35" s="22">
        <f t="shared" si="5"/>
        <v>102.5</v>
      </c>
      <c r="M35" s="22">
        <f t="shared" si="5"/>
        <v>5740</v>
      </c>
      <c r="N35" s="22">
        <f t="shared" si="5"/>
        <v>817</v>
      </c>
      <c r="O35" s="22">
        <f t="shared" si="5"/>
        <v>5914</v>
      </c>
      <c r="P35" s="22">
        <f t="shared" si="5"/>
        <v>633.5</v>
      </c>
      <c r="Q35" s="22">
        <f t="shared" si="5"/>
        <v>3066</v>
      </c>
      <c r="R35" s="22">
        <f t="shared" si="5"/>
        <v>2332.5</v>
      </c>
      <c r="S35" s="22">
        <f t="shared" si="5"/>
        <v>862</v>
      </c>
      <c r="T35" s="22">
        <f t="shared" si="5"/>
        <v>0</v>
      </c>
      <c r="U35" s="22">
        <f>SUM(U22:U34)</f>
        <v>5444</v>
      </c>
      <c r="V35" s="22">
        <f t="shared" ref="V35:X35" si="6">SUM(V22:V34)</f>
        <v>2277.5</v>
      </c>
      <c r="W35" s="22">
        <f t="shared" si="6"/>
        <v>4242</v>
      </c>
      <c r="X35" s="22">
        <f t="shared" si="6"/>
        <v>334</v>
      </c>
      <c r="Y35" s="33">
        <f>K36+M36+O36+Q36+S36+U36+W36</f>
        <v>29764</v>
      </c>
    </row>
    <row r="36" spans="1:25" x14ac:dyDescent="0.3">
      <c r="A36" s="31">
        <f>1875</f>
        <v>1875</v>
      </c>
      <c r="B36" s="32">
        <v>3389.39</v>
      </c>
      <c r="C36" s="32">
        <v>3594.99</v>
      </c>
      <c r="D36" s="32">
        <v>3488.7</v>
      </c>
      <c r="E36" s="32">
        <v>205</v>
      </c>
      <c r="F36" s="32">
        <v>3703</v>
      </c>
      <c r="G36" s="32">
        <f>3904.99+552.24</f>
        <v>4457.2299999999996</v>
      </c>
      <c r="H36" s="22">
        <f>SUM(A36:G36)+I27</f>
        <v>45321.55</v>
      </c>
      <c r="I36" s="33" t="s">
        <v>1</v>
      </c>
      <c r="K36" s="85">
        <v>4496</v>
      </c>
      <c r="L36" s="32">
        <v>102.5</v>
      </c>
      <c r="M36" s="32">
        <v>5740</v>
      </c>
      <c r="N36" s="32">
        <v>817</v>
      </c>
      <c r="O36" s="32">
        <v>5914</v>
      </c>
      <c r="P36" s="32">
        <v>633.5</v>
      </c>
      <c r="Q36" s="32">
        <v>3066</v>
      </c>
      <c r="R36" s="32">
        <v>2332.5</v>
      </c>
      <c r="S36" s="32">
        <v>862</v>
      </c>
      <c r="T36" s="32">
        <v>0</v>
      </c>
      <c r="U36" s="32">
        <v>5444</v>
      </c>
      <c r="V36" s="32">
        <v>2277.5</v>
      </c>
      <c r="W36" s="32">
        <v>4242</v>
      </c>
      <c r="X36" s="22">
        <v>334</v>
      </c>
      <c r="Y36" s="33">
        <f>L36+N36+P36+R36+T36+V36+X36</f>
        <v>6497</v>
      </c>
    </row>
    <row r="37" spans="1:25" ht="15" thickBot="1" x14ac:dyDescent="0.35">
      <c r="A37" s="34">
        <f>A35-A36</f>
        <v>0</v>
      </c>
      <c r="B37" s="35">
        <f>B35-B36</f>
        <v>0</v>
      </c>
      <c r="C37" s="35">
        <f t="shared" ref="C37:F37" si="7">C35-C36</f>
        <v>0</v>
      </c>
      <c r="D37" s="35">
        <f t="shared" si="7"/>
        <v>0</v>
      </c>
      <c r="E37" s="35">
        <f t="shared" si="7"/>
        <v>0</v>
      </c>
      <c r="F37" s="35">
        <f t="shared" si="7"/>
        <v>0</v>
      </c>
      <c r="G37" s="35">
        <f>G35-G36</f>
        <v>-552.23999999999978</v>
      </c>
      <c r="H37" s="35">
        <f>H35-H36</f>
        <v>-552.24000000000524</v>
      </c>
      <c r="I37" s="36"/>
      <c r="K37" s="86">
        <f t="shared" ref="K37:X37" si="8">K35-K36</f>
        <v>0</v>
      </c>
      <c r="L37" s="86">
        <f t="shared" si="8"/>
        <v>0</v>
      </c>
      <c r="M37" s="86">
        <f t="shared" si="8"/>
        <v>0</v>
      </c>
      <c r="N37" s="86">
        <f t="shared" si="8"/>
        <v>0</v>
      </c>
      <c r="O37" s="86">
        <f t="shared" si="8"/>
        <v>0</v>
      </c>
      <c r="P37" s="86">
        <f t="shared" si="8"/>
        <v>0</v>
      </c>
      <c r="Q37" s="86">
        <f t="shared" si="8"/>
        <v>0</v>
      </c>
      <c r="R37" s="86">
        <f t="shared" si="8"/>
        <v>0</v>
      </c>
      <c r="S37" s="86">
        <f t="shared" si="8"/>
        <v>0</v>
      </c>
      <c r="T37" s="86">
        <f t="shared" si="8"/>
        <v>0</v>
      </c>
      <c r="U37" s="86">
        <f t="shared" si="8"/>
        <v>0</v>
      </c>
      <c r="V37" s="86">
        <f t="shared" si="8"/>
        <v>0</v>
      </c>
      <c r="W37" s="86">
        <f t="shared" si="8"/>
        <v>0</v>
      </c>
      <c r="X37" s="86">
        <f t="shared" si="8"/>
        <v>0</v>
      </c>
      <c r="Y37" s="87"/>
    </row>
    <row r="38" spans="1:25" ht="15.6" thickTop="1" thickBot="1" x14ac:dyDescent="0.35"/>
    <row r="39" spans="1:25" x14ac:dyDescent="0.3">
      <c r="A39" s="17">
        <v>45154</v>
      </c>
      <c r="B39" s="17">
        <v>45155</v>
      </c>
      <c r="C39" s="17">
        <v>45156</v>
      </c>
      <c r="D39" s="17">
        <v>45157</v>
      </c>
      <c r="E39" s="17">
        <v>45158</v>
      </c>
      <c r="F39" s="17">
        <v>45159</v>
      </c>
      <c r="G39" s="17">
        <v>45160</v>
      </c>
      <c r="H39" s="39"/>
      <c r="I39" s="13" t="s">
        <v>8</v>
      </c>
      <c r="K39" s="59">
        <v>45154</v>
      </c>
      <c r="L39" s="59"/>
      <c r="M39" s="59">
        <v>45155</v>
      </c>
      <c r="N39" s="59"/>
      <c r="O39" s="59">
        <v>45156</v>
      </c>
      <c r="P39" s="59"/>
      <c r="Q39" s="59">
        <v>45157</v>
      </c>
      <c r="R39" s="59"/>
      <c r="S39" s="59">
        <v>45158</v>
      </c>
      <c r="T39" s="59"/>
      <c r="U39" s="59">
        <v>45159</v>
      </c>
      <c r="V39" s="59"/>
      <c r="W39" s="59">
        <v>45160</v>
      </c>
      <c r="X39" s="59"/>
      <c r="Y39" s="13"/>
    </row>
    <row r="40" spans="1:25" ht="15" thickBot="1" x14ac:dyDescent="0.35">
      <c r="A40" s="21">
        <v>650</v>
      </c>
      <c r="B40" s="22">
        <v>790</v>
      </c>
      <c r="C40" s="22">
        <v>1115</v>
      </c>
      <c r="D40" s="22">
        <v>740</v>
      </c>
      <c r="E40" s="22">
        <v>205</v>
      </c>
      <c r="F40" s="22">
        <v>920</v>
      </c>
      <c r="G40" s="22">
        <v>1055</v>
      </c>
      <c r="H40" s="37"/>
      <c r="I40" s="14">
        <v>5922.75</v>
      </c>
      <c r="K40" s="66" t="s">
        <v>10</v>
      </c>
      <c r="L40" s="66" t="s">
        <v>11</v>
      </c>
      <c r="M40" s="67" t="s">
        <v>10</v>
      </c>
      <c r="N40" s="67" t="s">
        <v>11</v>
      </c>
      <c r="O40" s="67" t="s">
        <v>10</v>
      </c>
      <c r="P40" s="67" t="s">
        <v>11</v>
      </c>
      <c r="Q40" s="67" t="s">
        <v>10</v>
      </c>
      <c r="R40" s="67" t="s">
        <v>11</v>
      </c>
      <c r="S40" s="67" t="s">
        <v>10</v>
      </c>
      <c r="T40" s="67" t="s">
        <v>11</v>
      </c>
      <c r="U40" s="67" t="s">
        <v>10</v>
      </c>
      <c r="V40" s="67" t="s">
        <v>11</v>
      </c>
      <c r="W40" s="67" t="s">
        <v>10</v>
      </c>
      <c r="X40" s="67" t="s">
        <v>11</v>
      </c>
      <c r="Y40" s="14"/>
    </row>
    <row r="41" spans="1:25" x14ac:dyDescent="0.3">
      <c r="A41" s="24">
        <v>2174.39</v>
      </c>
      <c r="B41" s="22">
        <v>2467.46</v>
      </c>
      <c r="C41" s="22">
        <v>2162.46</v>
      </c>
      <c r="D41" s="22">
        <v>1984.99</v>
      </c>
      <c r="E41" s="25"/>
      <c r="F41" s="22">
        <v>2302.46</v>
      </c>
      <c r="G41" s="22">
        <v>2089.39</v>
      </c>
      <c r="H41" s="37"/>
      <c r="I41" s="14">
        <v>4745</v>
      </c>
      <c r="K41" s="75">
        <v>1540</v>
      </c>
      <c r="L41" s="76">
        <v>60</v>
      </c>
      <c r="M41" s="77">
        <v>1460</v>
      </c>
      <c r="N41" s="77">
        <v>170</v>
      </c>
      <c r="O41" s="77">
        <v>1200</v>
      </c>
      <c r="P41" s="77">
        <v>26</v>
      </c>
      <c r="Q41" s="77">
        <v>860</v>
      </c>
      <c r="R41" s="77">
        <v>60</v>
      </c>
      <c r="S41" s="78">
        <v>480</v>
      </c>
      <c r="T41" s="69"/>
      <c r="U41" s="63">
        <v>1130</v>
      </c>
      <c r="V41" s="63">
        <v>50</v>
      </c>
      <c r="W41" s="63">
        <v>1200</v>
      </c>
      <c r="X41" s="65">
        <v>60</v>
      </c>
      <c r="Y41" s="14"/>
    </row>
    <row r="42" spans="1:25" x14ac:dyDescent="0.3">
      <c r="A42" s="24">
        <v>575</v>
      </c>
      <c r="B42" s="22">
        <v>695</v>
      </c>
      <c r="C42" s="22">
        <v>290</v>
      </c>
      <c r="D42" s="26">
        <v>525</v>
      </c>
      <c r="E42" s="22"/>
      <c r="F42" s="22">
        <v>545</v>
      </c>
      <c r="G42" s="22">
        <v>90</v>
      </c>
      <c r="H42" s="37"/>
      <c r="I42" s="15">
        <v>5289.97</v>
      </c>
      <c r="K42" s="21">
        <v>1910</v>
      </c>
      <c r="L42" s="79">
        <v>372</v>
      </c>
      <c r="M42" s="43">
        <v>1670</v>
      </c>
      <c r="N42" s="43"/>
      <c r="O42" s="43">
        <v>2240</v>
      </c>
      <c r="P42" s="43">
        <v>60</v>
      </c>
      <c r="Q42" s="80">
        <v>1070</v>
      </c>
      <c r="R42" s="80">
        <v>62.9</v>
      </c>
      <c r="S42" s="43">
        <v>240</v>
      </c>
      <c r="T42" s="22"/>
      <c r="U42" s="22">
        <v>180</v>
      </c>
      <c r="V42" s="22">
        <v>60</v>
      </c>
      <c r="W42" s="22">
        <v>1840</v>
      </c>
      <c r="X42" s="37">
        <v>100.5</v>
      </c>
      <c r="Y42" s="15"/>
    </row>
    <row r="43" spans="1:25" x14ac:dyDescent="0.3">
      <c r="A43" s="24"/>
      <c r="B43" s="22"/>
      <c r="C43" s="22"/>
      <c r="D43" s="25"/>
      <c r="E43" s="22"/>
      <c r="F43" s="22"/>
      <c r="G43" s="22">
        <v>320</v>
      </c>
      <c r="H43" s="37"/>
      <c r="I43" s="15">
        <v>4005.15</v>
      </c>
      <c r="K43" s="21">
        <v>900</v>
      </c>
      <c r="L43" s="79">
        <v>42.5</v>
      </c>
      <c r="M43" s="43">
        <v>420</v>
      </c>
      <c r="N43" s="43"/>
      <c r="O43" s="43">
        <v>700</v>
      </c>
      <c r="P43" s="43">
        <v>110</v>
      </c>
      <c r="Q43" s="80">
        <v>370</v>
      </c>
      <c r="R43" s="81">
        <v>1800</v>
      </c>
      <c r="S43" s="43">
        <v>48</v>
      </c>
      <c r="T43" s="22"/>
      <c r="U43" s="22">
        <v>2270</v>
      </c>
      <c r="V43" s="22"/>
      <c r="W43" s="22">
        <v>1720</v>
      </c>
      <c r="X43" s="37"/>
      <c r="Y43" s="15"/>
    </row>
    <row r="44" spans="1:25" x14ac:dyDescent="0.3">
      <c r="A44" s="24"/>
      <c r="B44" s="22"/>
      <c r="C44" s="22"/>
      <c r="D44" s="22"/>
      <c r="E44" s="22"/>
      <c r="F44" s="22"/>
      <c r="G44" s="22"/>
      <c r="H44" s="37"/>
      <c r="I44" s="15">
        <v>2340</v>
      </c>
      <c r="K44" s="21">
        <v>234</v>
      </c>
      <c r="L44" s="79">
        <v>40</v>
      </c>
      <c r="M44" s="43">
        <v>730</v>
      </c>
      <c r="N44" s="43"/>
      <c r="O44" s="43">
        <v>144</v>
      </c>
      <c r="P44" s="43">
        <v>179.6</v>
      </c>
      <c r="Q44" s="43">
        <v>228</v>
      </c>
      <c r="R44" s="43"/>
      <c r="S44" s="43"/>
      <c r="T44" s="22"/>
      <c r="U44" s="22">
        <v>290</v>
      </c>
      <c r="V44" s="22"/>
      <c r="W44" s="22">
        <v>320</v>
      </c>
      <c r="X44" s="37"/>
      <c r="Y44" s="15"/>
    </row>
    <row r="45" spans="1:25" x14ac:dyDescent="0.3">
      <c r="A45" s="24"/>
      <c r="B45" s="22"/>
      <c r="C45" s="22"/>
      <c r="D45" s="22"/>
      <c r="E45" s="22"/>
      <c r="F45" s="22"/>
      <c r="G45" s="22"/>
      <c r="H45" s="37"/>
      <c r="I45" s="15">
        <v>2099.62</v>
      </c>
      <c r="K45" s="21"/>
      <c r="L45" s="79"/>
      <c r="M45" s="43">
        <v>324</v>
      </c>
      <c r="N45" s="43"/>
      <c r="O45" s="43"/>
      <c r="P45" s="43"/>
      <c r="Q45" s="43">
        <v>96</v>
      </c>
      <c r="R45" s="43"/>
      <c r="S45" s="43"/>
      <c r="T45" s="22"/>
      <c r="U45" s="22">
        <v>1060</v>
      </c>
      <c r="V45" s="22"/>
      <c r="W45" s="22">
        <v>120</v>
      </c>
      <c r="X45" s="37"/>
      <c r="Y45" s="15"/>
    </row>
    <row r="46" spans="1:25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24402.49</v>
      </c>
      <c r="K46" s="21"/>
      <c r="L46" s="79"/>
      <c r="M46" s="43">
        <v>108</v>
      </c>
      <c r="N46" s="43"/>
      <c r="O46" s="43"/>
      <c r="P46" s="43"/>
      <c r="Q46" s="43"/>
      <c r="R46" s="43"/>
      <c r="S46" s="43"/>
      <c r="T46" s="22"/>
      <c r="U46" s="22">
        <v>324</v>
      </c>
      <c r="V46" s="22"/>
      <c r="W46" s="22"/>
      <c r="X46" s="37"/>
      <c r="Y46" s="83"/>
    </row>
    <row r="47" spans="1:25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K47" s="24"/>
      <c r="L47" s="5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7"/>
      <c r="Y47" s="16">
        <f>SUM(Y40:Y45)</f>
        <v>0</v>
      </c>
    </row>
    <row r="48" spans="1:25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38"/>
    </row>
    <row r="49" spans="1:25" x14ac:dyDescent="0.3">
      <c r="A49" s="24"/>
      <c r="B49" s="22"/>
      <c r="C49" s="22"/>
      <c r="D49" s="22"/>
      <c r="E49" s="22"/>
      <c r="F49" s="22"/>
      <c r="G49" s="22"/>
      <c r="H49" s="22"/>
      <c r="I49" s="23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8"/>
      <c r="V53" s="28"/>
      <c r="W53" s="22"/>
      <c r="X53" s="22"/>
      <c r="Y53" s="23"/>
    </row>
    <row r="54" spans="1:25" x14ac:dyDescent="0.3">
      <c r="A54" s="24">
        <f t="shared" ref="A54:G54" si="9">SUM(A40:A53)</f>
        <v>3399.39</v>
      </c>
      <c r="B54" s="22">
        <f t="shared" si="9"/>
        <v>3952.46</v>
      </c>
      <c r="C54" s="22">
        <f t="shared" si="9"/>
        <v>3567.46</v>
      </c>
      <c r="D54" s="22">
        <f t="shared" si="9"/>
        <v>3249.99</v>
      </c>
      <c r="E54" s="22">
        <f>SUM(E40:E53)</f>
        <v>205</v>
      </c>
      <c r="F54" s="22">
        <f t="shared" si="9"/>
        <v>3767.46</v>
      </c>
      <c r="G54" s="22">
        <f t="shared" si="9"/>
        <v>3554.39</v>
      </c>
      <c r="H54" s="29">
        <f>SUM(A54:G54)+I46</f>
        <v>46098.64</v>
      </c>
      <c r="I54" s="30" t="s">
        <v>7</v>
      </c>
      <c r="K54" s="24">
        <f t="shared" ref="K54:T54" si="10">SUM(K41:K53)</f>
        <v>4584</v>
      </c>
      <c r="L54" s="22">
        <f t="shared" si="10"/>
        <v>514.5</v>
      </c>
      <c r="M54" s="22">
        <f t="shared" si="10"/>
        <v>4712</v>
      </c>
      <c r="N54" s="22">
        <f t="shared" si="10"/>
        <v>170</v>
      </c>
      <c r="O54" s="22">
        <f t="shared" si="10"/>
        <v>4284</v>
      </c>
      <c r="P54" s="22">
        <f t="shared" si="10"/>
        <v>375.6</v>
      </c>
      <c r="Q54" s="22">
        <f t="shared" si="10"/>
        <v>2624</v>
      </c>
      <c r="R54" s="22">
        <f t="shared" si="10"/>
        <v>1922.9</v>
      </c>
      <c r="S54" s="22">
        <f t="shared" si="10"/>
        <v>768</v>
      </c>
      <c r="T54" s="22">
        <f t="shared" si="10"/>
        <v>0</v>
      </c>
      <c r="U54" s="22">
        <f>SUM(U41:U53)</f>
        <v>5254</v>
      </c>
      <c r="V54" s="22">
        <f t="shared" ref="V54:X54" si="11">SUM(V41:V53)</f>
        <v>110</v>
      </c>
      <c r="W54" s="22">
        <f t="shared" si="11"/>
        <v>5200</v>
      </c>
      <c r="X54" s="22">
        <f t="shared" si="11"/>
        <v>160.5</v>
      </c>
      <c r="Y54" s="33">
        <f>K55+M55+O55+Q55+S55+U55+W55</f>
        <v>27426</v>
      </c>
    </row>
    <row r="55" spans="1:25" x14ac:dyDescent="0.3">
      <c r="A55" s="31">
        <v>3399.39</v>
      </c>
      <c r="B55" s="32">
        <v>3952.46</v>
      </c>
      <c r="C55" s="32">
        <v>3567.46</v>
      </c>
      <c r="D55" s="32">
        <v>3249.99</v>
      </c>
      <c r="E55" s="32">
        <v>205</v>
      </c>
      <c r="F55" s="32">
        <v>3767.46</v>
      </c>
      <c r="G55" s="32">
        <v>3554.39</v>
      </c>
      <c r="H55" s="22">
        <f>SUM(A55:G55)+I46</f>
        <v>46098.64</v>
      </c>
      <c r="I55" s="33" t="s">
        <v>1</v>
      </c>
      <c r="K55" s="85">
        <v>4584</v>
      </c>
      <c r="L55" s="32">
        <v>514.5</v>
      </c>
      <c r="M55" s="32">
        <v>4712</v>
      </c>
      <c r="N55" s="32">
        <v>170</v>
      </c>
      <c r="O55" s="32">
        <v>4284</v>
      </c>
      <c r="P55" s="32">
        <v>375.6</v>
      </c>
      <c r="Q55" s="32">
        <v>2624</v>
      </c>
      <c r="R55" s="32">
        <v>1922.9</v>
      </c>
      <c r="S55" s="32">
        <v>768</v>
      </c>
      <c r="T55" s="32">
        <v>0</v>
      </c>
      <c r="U55" s="32">
        <v>5254</v>
      </c>
      <c r="V55" s="32">
        <v>110</v>
      </c>
      <c r="W55" s="32">
        <v>5200</v>
      </c>
      <c r="X55" s="22">
        <v>160.5</v>
      </c>
      <c r="Y55" s="33">
        <f>L55+N55+P55+R55+T55+V55+X55</f>
        <v>3253.5</v>
      </c>
    </row>
    <row r="56" spans="1:25" ht="15" thickBot="1" x14ac:dyDescent="0.35">
      <c r="A56" s="34">
        <f>A54-A55</f>
        <v>0</v>
      </c>
      <c r="B56" s="35">
        <f>B54-B55</f>
        <v>0</v>
      </c>
      <c r="C56" s="35">
        <f t="shared" ref="C56:F56" si="12">C54-C55</f>
        <v>0</v>
      </c>
      <c r="D56" s="35">
        <f t="shared" si="12"/>
        <v>0</v>
      </c>
      <c r="E56" s="35">
        <f t="shared" si="12"/>
        <v>0</v>
      </c>
      <c r="F56" s="35">
        <f t="shared" si="12"/>
        <v>0</v>
      </c>
      <c r="G56" s="35">
        <f>G54-G55</f>
        <v>0</v>
      </c>
      <c r="H56" s="35"/>
      <c r="I56" s="36"/>
      <c r="K56" s="86">
        <f t="shared" ref="K56:X56" si="13">K54-K55</f>
        <v>0</v>
      </c>
      <c r="L56" s="86">
        <f t="shared" si="13"/>
        <v>0</v>
      </c>
      <c r="M56" s="86">
        <f t="shared" si="13"/>
        <v>0</v>
      </c>
      <c r="N56" s="86">
        <f t="shared" si="13"/>
        <v>0</v>
      </c>
      <c r="O56" s="86">
        <f t="shared" si="13"/>
        <v>0</v>
      </c>
      <c r="P56" s="86">
        <f t="shared" si="13"/>
        <v>0</v>
      </c>
      <c r="Q56" s="86">
        <f t="shared" si="13"/>
        <v>0</v>
      </c>
      <c r="R56" s="86">
        <f t="shared" si="13"/>
        <v>0</v>
      </c>
      <c r="S56" s="86">
        <f t="shared" si="13"/>
        <v>0</v>
      </c>
      <c r="T56" s="86">
        <f t="shared" si="13"/>
        <v>0</v>
      </c>
      <c r="U56" s="86">
        <f t="shared" si="13"/>
        <v>0</v>
      </c>
      <c r="V56" s="86">
        <f t="shared" si="13"/>
        <v>0</v>
      </c>
      <c r="W56" s="86">
        <f t="shared" si="13"/>
        <v>0</v>
      </c>
      <c r="X56" s="86">
        <f t="shared" si="13"/>
        <v>0</v>
      </c>
      <c r="Y56" s="87"/>
    </row>
    <row r="57" spans="1:25" ht="15.6" thickTop="1" thickBot="1" x14ac:dyDescent="0.35"/>
    <row r="58" spans="1:25" x14ac:dyDescent="0.3">
      <c r="A58" s="17">
        <v>45161</v>
      </c>
      <c r="B58" s="17">
        <v>45162</v>
      </c>
      <c r="C58" s="17">
        <v>45163</v>
      </c>
      <c r="D58" s="17">
        <v>45164</v>
      </c>
      <c r="E58" s="17">
        <v>45165</v>
      </c>
      <c r="F58" s="17">
        <v>45166</v>
      </c>
      <c r="G58" s="17">
        <v>45167</v>
      </c>
      <c r="H58" s="39"/>
      <c r="I58" s="13" t="s">
        <v>8</v>
      </c>
      <c r="K58" s="59">
        <v>45161</v>
      </c>
      <c r="L58" s="59"/>
      <c r="M58" s="59">
        <v>45162</v>
      </c>
      <c r="N58" s="59"/>
      <c r="O58" s="59">
        <v>45163</v>
      </c>
      <c r="P58" s="59"/>
      <c r="Q58" s="59">
        <v>45164</v>
      </c>
      <c r="R58" s="59"/>
      <c r="S58" s="59">
        <v>45165</v>
      </c>
      <c r="T58" s="59"/>
      <c r="U58" s="59">
        <v>45166</v>
      </c>
      <c r="V58" s="59"/>
      <c r="W58" s="59">
        <v>45167</v>
      </c>
      <c r="X58" s="59"/>
      <c r="Y58" s="13"/>
    </row>
    <row r="59" spans="1:25" ht="15" thickBot="1" x14ac:dyDescent="0.35">
      <c r="A59" s="21">
        <v>725</v>
      </c>
      <c r="B59" s="22">
        <v>1055</v>
      </c>
      <c r="C59" s="22">
        <v>1000</v>
      </c>
      <c r="D59" s="22">
        <v>690</v>
      </c>
      <c r="E59" s="22">
        <v>240</v>
      </c>
      <c r="F59" s="22">
        <v>930</v>
      </c>
      <c r="G59" s="22">
        <v>740</v>
      </c>
      <c r="H59" s="37"/>
      <c r="I59" s="14">
        <v>4005.15</v>
      </c>
      <c r="K59" s="66" t="s">
        <v>10</v>
      </c>
      <c r="L59" s="66" t="s">
        <v>11</v>
      </c>
      <c r="M59" s="67" t="s">
        <v>10</v>
      </c>
      <c r="N59" s="67" t="s">
        <v>11</v>
      </c>
      <c r="O59" s="67" t="s">
        <v>10</v>
      </c>
      <c r="P59" s="67" t="s">
        <v>11</v>
      </c>
      <c r="Q59" s="67" t="s">
        <v>10</v>
      </c>
      <c r="R59" s="67" t="s">
        <v>11</v>
      </c>
      <c r="S59" s="67" t="s">
        <v>10</v>
      </c>
      <c r="T59" s="67" t="s">
        <v>11</v>
      </c>
      <c r="U59" s="67" t="s">
        <v>10</v>
      </c>
      <c r="V59" s="67" t="s">
        <v>11</v>
      </c>
      <c r="W59" s="67" t="s">
        <v>10</v>
      </c>
      <c r="X59" s="67" t="s">
        <v>11</v>
      </c>
      <c r="Y59" s="14"/>
    </row>
    <row r="60" spans="1:25" x14ac:dyDescent="0.3">
      <c r="A60" s="24">
        <v>2336.92</v>
      </c>
      <c r="B60" s="22">
        <v>1919.39</v>
      </c>
      <c r="C60" s="22">
        <v>1651.92</v>
      </c>
      <c r="D60" s="22">
        <v>2394</v>
      </c>
      <c r="E60" s="25"/>
      <c r="F60" s="22">
        <v>1979.39</v>
      </c>
      <c r="G60" s="22">
        <v>2019.39</v>
      </c>
      <c r="H60" s="37"/>
      <c r="I60" s="14">
        <v>5289.97</v>
      </c>
      <c r="K60" s="75">
        <v>1510</v>
      </c>
      <c r="L60" s="76">
        <v>42.5</v>
      </c>
      <c r="M60" s="77">
        <v>1230</v>
      </c>
      <c r="N60" s="77">
        <v>42.5</v>
      </c>
      <c r="O60" s="77">
        <v>1280</v>
      </c>
      <c r="P60" s="77">
        <v>2280</v>
      </c>
      <c r="Q60" s="77">
        <v>730</v>
      </c>
      <c r="R60" s="77">
        <v>45</v>
      </c>
      <c r="S60" s="78">
        <v>480</v>
      </c>
      <c r="T60" s="69"/>
      <c r="U60" s="63">
        <v>1330</v>
      </c>
      <c r="V60" s="63">
        <v>117.5</v>
      </c>
      <c r="W60" s="63">
        <v>1500</v>
      </c>
      <c r="X60" s="65">
        <v>60</v>
      </c>
      <c r="Y60" s="14"/>
    </row>
    <row r="61" spans="1:25" x14ac:dyDescent="0.3">
      <c r="A61" s="24">
        <v>475</v>
      </c>
      <c r="B61" s="22">
        <v>515</v>
      </c>
      <c r="C61" s="22">
        <v>435</v>
      </c>
      <c r="D61" s="26">
        <v>360</v>
      </c>
      <c r="E61" s="22"/>
      <c r="F61" s="22">
        <v>425</v>
      </c>
      <c r="G61" s="22">
        <v>1045</v>
      </c>
      <c r="H61" s="37"/>
      <c r="I61" s="15">
        <v>5300</v>
      </c>
      <c r="K61" s="21">
        <v>1650</v>
      </c>
      <c r="L61" s="79"/>
      <c r="M61" s="43">
        <v>1930</v>
      </c>
      <c r="N61" s="43"/>
      <c r="O61" s="43">
        <v>1930</v>
      </c>
      <c r="P61" s="43">
        <v>37.5</v>
      </c>
      <c r="Q61" s="80">
        <v>1240</v>
      </c>
      <c r="R61" s="80">
        <v>360</v>
      </c>
      <c r="S61" s="43">
        <v>280</v>
      </c>
      <c r="T61" s="22"/>
      <c r="U61" s="22">
        <v>2865</v>
      </c>
      <c r="V61" s="22">
        <v>225</v>
      </c>
      <c r="W61" s="22">
        <v>1870</v>
      </c>
      <c r="X61" s="37">
        <v>372</v>
      </c>
      <c r="Y61" s="15"/>
    </row>
    <row r="62" spans="1:25" x14ac:dyDescent="0.3">
      <c r="A62" s="24"/>
      <c r="B62" s="22"/>
      <c r="C62" s="22"/>
      <c r="D62" s="25"/>
      <c r="E62" s="22"/>
      <c r="F62" s="22"/>
      <c r="G62" s="22"/>
      <c r="H62" s="37"/>
      <c r="I62" s="15">
        <v>5922.75</v>
      </c>
      <c r="K62" s="21">
        <v>910</v>
      </c>
      <c r="L62" s="79"/>
      <c r="M62" s="43">
        <v>1100</v>
      </c>
      <c r="N62" s="43"/>
      <c r="O62" s="43">
        <v>440</v>
      </c>
      <c r="P62" s="43">
        <v>30</v>
      </c>
      <c r="Q62" s="80">
        <v>1100</v>
      </c>
      <c r="R62" s="81"/>
      <c r="S62" s="43">
        <v>72</v>
      </c>
      <c r="T62" s="22"/>
      <c r="U62" s="22">
        <v>1045</v>
      </c>
      <c r="V62" s="22"/>
      <c r="W62" s="22">
        <v>1120</v>
      </c>
      <c r="X62" s="37">
        <v>57.5</v>
      </c>
      <c r="Y62" s="15"/>
    </row>
    <row r="63" spans="1:25" x14ac:dyDescent="0.3">
      <c r="A63" s="24"/>
      <c r="B63" s="22"/>
      <c r="C63" s="22"/>
      <c r="D63" s="22"/>
      <c r="E63" s="22"/>
      <c r="F63" s="22"/>
      <c r="G63" s="22"/>
      <c r="H63" s="37"/>
      <c r="I63" s="15">
        <v>1092.28</v>
      </c>
      <c r="K63" s="21">
        <v>222</v>
      </c>
      <c r="L63" s="79"/>
      <c r="M63" s="43">
        <v>320</v>
      </c>
      <c r="N63" s="43"/>
      <c r="O63" s="43">
        <v>770</v>
      </c>
      <c r="P63" s="43">
        <v>24</v>
      </c>
      <c r="Q63" s="43">
        <v>228</v>
      </c>
      <c r="R63" s="43"/>
      <c r="S63" s="43"/>
      <c r="T63" s="22"/>
      <c r="U63" s="22">
        <v>300</v>
      </c>
      <c r="V63" s="22"/>
      <c r="W63" s="22">
        <v>300</v>
      </c>
      <c r="X63" s="37"/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>
        <v>390</v>
      </c>
      <c r="K64" s="21"/>
      <c r="L64" s="79"/>
      <c r="M64" s="43">
        <v>72</v>
      </c>
      <c r="N64" s="43"/>
      <c r="O64" s="43">
        <v>144</v>
      </c>
      <c r="P64" s="43"/>
      <c r="Q64" s="43">
        <v>78</v>
      </c>
      <c r="R64" s="43"/>
      <c r="S64" s="43"/>
      <c r="T64" s="22"/>
      <c r="U64" s="22">
        <v>24</v>
      </c>
      <c r="V64" s="22"/>
      <c r="W64" s="22">
        <v>120</v>
      </c>
      <c r="X64" s="37"/>
      <c r="Y64" s="15"/>
    </row>
    <row r="65" spans="1:25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22000.15</v>
      </c>
      <c r="K65" s="21"/>
      <c r="L65" s="79"/>
      <c r="M65" s="43"/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37"/>
      <c r="Y65" s="83"/>
    </row>
    <row r="66" spans="1:25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7"/>
      <c r="Y66" s="16">
        <f>SUM(Y59:Y64)</f>
        <v>0</v>
      </c>
    </row>
    <row r="67" spans="1:25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38"/>
    </row>
    <row r="68" spans="1:25" x14ac:dyDescent="0.3">
      <c r="A68" s="24"/>
      <c r="B68" s="22"/>
      <c r="C68" s="22"/>
      <c r="D68" s="22"/>
      <c r="E68" s="22"/>
      <c r="F68" s="22"/>
      <c r="G68" s="22"/>
      <c r="H68" s="22"/>
      <c r="I68" s="23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8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8"/>
      <c r="V72" s="28"/>
      <c r="W72" s="22"/>
      <c r="X72" s="22"/>
      <c r="Y72" s="23"/>
    </row>
    <row r="73" spans="1:25" x14ac:dyDescent="0.3">
      <c r="A73" s="24">
        <f t="shared" ref="A73:F73" si="14">SUM(A59:A72)</f>
        <v>3536.92</v>
      </c>
      <c r="B73" s="22">
        <f t="shared" si="14"/>
        <v>3489.3900000000003</v>
      </c>
      <c r="C73" s="22">
        <f t="shared" si="14"/>
        <v>3086.92</v>
      </c>
      <c r="D73" s="22">
        <f t="shared" si="14"/>
        <v>3444</v>
      </c>
      <c r="E73" s="22">
        <f t="shared" si="14"/>
        <v>240</v>
      </c>
      <c r="F73" s="22">
        <f t="shared" si="14"/>
        <v>3334.3900000000003</v>
      </c>
      <c r="G73" s="22">
        <f>SUM(G59:G72)</f>
        <v>3804.3900000000003</v>
      </c>
      <c r="H73" s="29">
        <f>SUM(A73:G73)+I65</f>
        <v>42936.160000000003</v>
      </c>
      <c r="I73" s="30" t="s">
        <v>7</v>
      </c>
      <c r="K73" s="24">
        <f t="shared" ref="K73:T73" si="15">SUM(K60:K72)</f>
        <v>4292</v>
      </c>
      <c r="L73" s="22">
        <f t="shared" si="15"/>
        <v>42.5</v>
      </c>
      <c r="M73" s="22">
        <f t="shared" si="15"/>
        <v>4652</v>
      </c>
      <c r="N73" s="22">
        <f t="shared" si="15"/>
        <v>42.5</v>
      </c>
      <c r="O73" s="22">
        <f t="shared" si="15"/>
        <v>4564</v>
      </c>
      <c r="P73" s="22">
        <f t="shared" si="15"/>
        <v>2371.5</v>
      </c>
      <c r="Q73" s="22">
        <f t="shared" si="15"/>
        <v>3376</v>
      </c>
      <c r="R73" s="22">
        <f t="shared" si="15"/>
        <v>405</v>
      </c>
      <c r="S73" s="22">
        <f t="shared" si="15"/>
        <v>832</v>
      </c>
      <c r="T73" s="22">
        <f t="shared" si="15"/>
        <v>0</v>
      </c>
      <c r="U73" s="22">
        <f>SUM(U60:U72)</f>
        <v>5564</v>
      </c>
      <c r="V73" s="22">
        <f t="shared" ref="V73:X73" si="16">SUM(V60:V72)</f>
        <v>342.5</v>
      </c>
      <c r="W73" s="22">
        <f t="shared" si="16"/>
        <v>4910</v>
      </c>
      <c r="X73" s="22">
        <f t="shared" si="16"/>
        <v>489.5</v>
      </c>
      <c r="Y73" s="33">
        <f>K74+M74+O74+Q74+S74+U74+W74</f>
        <v>28190</v>
      </c>
    </row>
    <row r="74" spans="1:25" x14ac:dyDescent="0.3">
      <c r="A74" s="31">
        <v>3536.92</v>
      </c>
      <c r="B74" s="32">
        <v>3489.39</v>
      </c>
      <c r="C74" s="32">
        <v>3086.92</v>
      </c>
      <c r="D74" s="32">
        <v>3444</v>
      </c>
      <c r="E74" s="32">
        <v>240</v>
      </c>
      <c r="F74" s="32">
        <v>3334.39</v>
      </c>
      <c r="G74" s="32">
        <v>3804.39</v>
      </c>
      <c r="H74" s="22">
        <f>SUM(A74:G74)+I65</f>
        <v>42936.160000000003</v>
      </c>
      <c r="I74" s="33" t="s">
        <v>1</v>
      </c>
      <c r="K74" s="85">
        <v>4292</v>
      </c>
      <c r="L74" s="32">
        <v>42.5</v>
      </c>
      <c r="M74" s="32">
        <v>4652</v>
      </c>
      <c r="N74" s="32">
        <v>42.5</v>
      </c>
      <c r="O74" s="32">
        <v>4564</v>
      </c>
      <c r="P74" s="32">
        <v>2371.5</v>
      </c>
      <c r="Q74" s="32">
        <v>3376</v>
      </c>
      <c r="R74" s="32">
        <v>405</v>
      </c>
      <c r="S74" s="32">
        <v>832</v>
      </c>
      <c r="T74" s="32">
        <v>0</v>
      </c>
      <c r="U74" s="32">
        <v>5564</v>
      </c>
      <c r="V74" s="32">
        <v>342.5</v>
      </c>
      <c r="W74" s="32">
        <v>4910</v>
      </c>
      <c r="X74" s="22">
        <v>489.5</v>
      </c>
      <c r="Y74" s="33">
        <f>L74+N74+P74+R74+T74+V74+X74</f>
        <v>3693.5</v>
      </c>
    </row>
    <row r="75" spans="1:25" ht="15" thickBot="1" x14ac:dyDescent="0.35">
      <c r="A75" s="34">
        <f>A73-A74</f>
        <v>0</v>
      </c>
      <c r="B75" s="35">
        <f>B73-B74</f>
        <v>0</v>
      </c>
      <c r="C75" s="35">
        <f t="shared" ref="C75:F75" si="17">C73-C74</f>
        <v>0</v>
      </c>
      <c r="D75" s="35">
        <f t="shared" si="17"/>
        <v>0</v>
      </c>
      <c r="E75" s="35">
        <f t="shared" si="17"/>
        <v>0</v>
      </c>
      <c r="F75" s="35">
        <f t="shared" si="17"/>
        <v>0</v>
      </c>
      <c r="G75" s="35">
        <f>G73-G74</f>
        <v>0</v>
      </c>
      <c r="H75" s="35"/>
      <c r="I75" s="36"/>
      <c r="K75" s="86">
        <f t="shared" ref="K75:X75" si="18">K73-K74</f>
        <v>0</v>
      </c>
      <c r="L75" s="86">
        <f t="shared" si="18"/>
        <v>0</v>
      </c>
      <c r="M75" s="86">
        <f t="shared" si="18"/>
        <v>0</v>
      </c>
      <c r="N75" s="86">
        <f t="shared" si="18"/>
        <v>0</v>
      </c>
      <c r="O75" s="86">
        <f t="shared" si="18"/>
        <v>0</v>
      </c>
      <c r="P75" s="86">
        <f t="shared" si="18"/>
        <v>0</v>
      </c>
      <c r="Q75" s="86">
        <f t="shared" si="18"/>
        <v>0</v>
      </c>
      <c r="R75" s="86">
        <f t="shared" si="18"/>
        <v>0</v>
      </c>
      <c r="S75" s="86">
        <f t="shared" si="18"/>
        <v>0</v>
      </c>
      <c r="T75" s="86">
        <f t="shared" si="18"/>
        <v>0</v>
      </c>
      <c r="U75" s="86">
        <f t="shared" si="18"/>
        <v>0</v>
      </c>
      <c r="V75" s="86">
        <f t="shared" si="18"/>
        <v>0</v>
      </c>
      <c r="W75" s="86">
        <f t="shared" si="18"/>
        <v>0</v>
      </c>
      <c r="X75" s="86">
        <f t="shared" si="18"/>
        <v>0</v>
      </c>
      <c r="Y75" s="87"/>
    </row>
    <row r="76" spans="1:25" ht="15.6" thickTop="1" thickBot="1" x14ac:dyDescent="0.35"/>
    <row r="77" spans="1:25" x14ac:dyDescent="0.3">
      <c r="A77" s="17"/>
      <c r="B77" s="18"/>
      <c r="C77" s="18"/>
      <c r="D77" s="18"/>
      <c r="E77" s="18"/>
      <c r="F77" s="18"/>
      <c r="G77" s="18"/>
      <c r="H77" s="39"/>
      <c r="I77" s="13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13"/>
    </row>
    <row r="78" spans="1:25" ht="15" thickBot="1" x14ac:dyDescent="0.35">
      <c r="A78" s="21"/>
      <c r="B78" s="22"/>
      <c r="C78" s="22"/>
      <c r="D78" s="22"/>
      <c r="E78" s="22"/>
      <c r="F78" s="22"/>
      <c r="G78" s="22"/>
      <c r="H78" s="37"/>
      <c r="I78" s="14"/>
      <c r="K78" s="66"/>
      <c r="L78" s="66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14"/>
    </row>
    <row r="79" spans="1:25" x14ac:dyDescent="0.3">
      <c r="A79" s="24"/>
      <c r="B79" s="22"/>
      <c r="C79" s="22"/>
      <c r="D79" s="22"/>
      <c r="E79" s="25"/>
      <c r="F79" s="22"/>
      <c r="G79" s="22"/>
      <c r="H79" s="37"/>
      <c r="I79" s="14"/>
      <c r="K79" s="75"/>
      <c r="L79" s="76"/>
      <c r="M79" s="77"/>
      <c r="N79" s="77"/>
      <c r="O79" s="77"/>
      <c r="P79" s="77"/>
      <c r="Q79" s="77"/>
      <c r="R79" s="77"/>
      <c r="S79" s="78"/>
      <c r="T79" s="69"/>
      <c r="U79" s="63"/>
      <c r="V79" s="63"/>
      <c r="W79" s="63"/>
      <c r="X79" s="65"/>
      <c r="Y79" s="14"/>
    </row>
    <row r="80" spans="1:25" x14ac:dyDescent="0.3">
      <c r="A80" s="24"/>
      <c r="B80" s="22"/>
      <c r="C80" s="22"/>
      <c r="D80" s="26"/>
      <c r="E80" s="22"/>
      <c r="F80" s="22"/>
      <c r="G80" s="22"/>
      <c r="H80" s="37"/>
      <c r="I80" s="15"/>
      <c r="K80" s="21"/>
      <c r="L80" s="79"/>
      <c r="M80" s="43"/>
      <c r="N80" s="43"/>
      <c r="O80" s="43"/>
      <c r="P80" s="43"/>
      <c r="Q80" s="80"/>
      <c r="R80" s="80"/>
      <c r="S80" s="43"/>
      <c r="T80" s="22"/>
      <c r="U80" s="22"/>
      <c r="V80" s="22"/>
      <c r="W80" s="22"/>
      <c r="X80" s="37"/>
      <c r="Y80" s="15"/>
    </row>
    <row r="81" spans="1:25" x14ac:dyDescent="0.3">
      <c r="A81" s="24"/>
      <c r="B81" s="22"/>
      <c r="C81" s="22"/>
      <c r="D81" s="25"/>
      <c r="E81" s="22"/>
      <c r="F81" s="22"/>
      <c r="G81" s="22"/>
      <c r="H81" s="37"/>
      <c r="I81" s="15"/>
      <c r="K81" s="21"/>
      <c r="L81" s="79"/>
      <c r="M81" s="43"/>
      <c r="N81" s="43"/>
      <c r="O81" s="43"/>
      <c r="P81" s="43"/>
      <c r="Q81" s="80"/>
      <c r="R81" s="81"/>
      <c r="S81" s="43"/>
      <c r="T81" s="22"/>
      <c r="U81" s="22"/>
      <c r="V81" s="22"/>
      <c r="W81" s="22"/>
      <c r="X81" s="37"/>
      <c r="Y81" s="15"/>
    </row>
    <row r="82" spans="1:25" x14ac:dyDescent="0.3">
      <c r="A82" s="24"/>
      <c r="B82" s="22"/>
      <c r="C82" s="22"/>
      <c r="D82" s="22"/>
      <c r="E82" s="22"/>
      <c r="F82" s="22"/>
      <c r="G82" s="22"/>
      <c r="H82" s="37"/>
      <c r="I82" s="15"/>
      <c r="K82" s="21"/>
      <c r="L82" s="79"/>
      <c r="M82" s="43"/>
      <c r="N82" s="43"/>
      <c r="O82" s="43"/>
      <c r="P82" s="43"/>
      <c r="Q82" s="43"/>
      <c r="R82" s="43"/>
      <c r="S82" s="43"/>
      <c r="T82" s="22"/>
      <c r="U82" s="22"/>
      <c r="V82" s="22"/>
      <c r="W82" s="22"/>
      <c r="X82" s="37"/>
      <c r="Y82" s="15"/>
    </row>
    <row r="83" spans="1:25" x14ac:dyDescent="0.3">
      <c r="A83" s="24"/>
      <c r="B83" s="22"/>
      <c r="C83" s="22"/>
      <c r="D83" s="22"/>
      <c r="E83" s="22"/>
      <c r="F83" s="22"/>
      <c r="G83" s="22"/>
      <c r="H83" s="37"/>
      <c r="I83" s="15"/>
      <c r="K83" s="21"/>
      <c r="L83" s="79"/>
      <c r="M83" s="43"/>
      <c r="N83" s="43"/>
      <c r="O83" s="43"/>
      <c r="P83" s="43"/>
      <c r="Q83" s="43"/>
      <c r="R83" s="43"/>
      <c r="S83" s="43"/>
      <c r="T83" s="22"/>
      <c r="U83" s="22"/>
      <c r="V83" s="22"/>
      <c r="W83" s="22"/>
      <c r="X83" s="37"/>
      <c r="Y83" s="15"/>
    </row>
    <row r="84" spans="1:25" ht="15" thickBot="1" x14ac:dyDescent="0.35">
      <c r="A84" s="24"/>
      <c r="B84" s="22"/>
      <c r="C84" s="22"/>
      <c r="D84" s="22"/>
      <c r="E84" s="22"/>
      <c r="F84" s="22"/>
      <c r="G84" s="22"/>
      <c r="H84" s="37"/>
      <c r="I84" s="16"/>
      <c r="K84" s="21"/>
      <c r="L84" s="79"/>
      <c r="M84" s="43"/>
      <c r="N84" s="43"/>
      <c r="O84" s="43"/>
      <c r="P84" s="43"/>
      <c r="Q84" s="43"/>
      <c r="R84" s="43"/>
      <c r="S84" s="43"/>
      <c r="T84" s="22"/>
      <c r="U84" s="22"/>
      <c r="V84" s="22"/>
      <c r="W84" s="22"/>
      <c r="X84" s="37"/>
      <c r="Y84" s="83"/>
    </row>
    <row r="85" spans="1:25" ht="15.6" thickTop="1" thickBot="1" x14ac:dyDescent="0.35">
      <c r="A85" s="24"/>
      <c r="B85" s="22"/>
      <c r="C85" s="22"/>
      <c r="D85" s="22"/>
      <c r="E85" s="22"/>
      <c r="F85" s="22"/>
      <c r="G85" s="22"/>
      <c r="H85" s="22"/>
      <c r="I85" s="40"/>
      <c r="K85" s="24"/>
      <c r="L85" s="56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37"/>
      <c r="Y85" s="16"/>
    </row>
    <row r="86" spans="1:25" ht="15" thickTop="1" x14ac:dyDescent="0.3">
      <c r="A86" s="24"/>
      <c r="B86" s="22"/>
      <c r="C86" s="22"/>
      <c r="D86" s="22"/>
      <c r="E86" s="22"/>
      <c r="F86" s="22"/>
      <c r="G86" s="22"/>
      <c r="H86" s="22"/>
      <c r="I86" s="27"/>
      <c r="K86" s="24"/>
      <c r="L86" s="56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38"/>
    </row>
    <row r="87" spans="1:25" x14ac:dyDescent="0.3">
      <c r="A87" s="24"/>
      <c r="B87" s="22"/>
      <c r="C87" s="22"/>
      <c r="D87" s="22"/>
      <c r="E87" s="22"/>
      <c r="F87" s="22"/>
      <c r="G87" s="22"/>
      <c r="H87" s="22"/>
      <c r="I87" s="27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</row>
    <row r="88" spans="1:25" x14ac:dyDescent="0.3">
      <c r="A88" s="24"/>
      <c r="B88" s="22"/>
      <c r="C88" s="22"/>
      <c r="D88" s="22"/>
      <c r="E88" s="22"/>
      <c r="F88" s="22"/>
      <c r="G88" s="22"/>
      <c r="H88" s="22"/>
      <c r="I88" s="23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3"/>
    </row>
    <row r="89" spans="1:25" x14ac:dyDescent="0.3">
      <c r="A89" s="24"/>
      <c r="B89" s="22"/>
      <c r="C89" s="22"/>
      <c r="D89" s="22"/>
      <c r="E89" s="22"/>
      <c r="F89" s="22"/>
      <c r="G89" s="22"/>
      <c r="H89" s="22"/>
      <c r="I89" s="23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</row>
    <row r="90" spans="1:25" x14ac:dyDescent="0.3">
      <c r="A90" s="24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3"/>
    </row>
    <row r="91" spans="1:25" x14ac:dyDescent="0.3">
      <c r="A91" s="24"/>
      <c r="B91" s="22"/>
      <c r="C91" s="22"/>
      <c r="D91" s="22"/>
      <c r="E91" s="22"/>
      <c r="F91" s="28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8"/>
      <c r="V91" s="28"/>
      <c r="W91" s="22"/>
      <c r="X91" s="22"/>
      <c r="Y91" s="23"/>
    </row>
    <row r="92" spans="1:25" x14ac:dyDescent="0.3">
      <c r="A92" s="24"/>
      <c r="B92" s="22"/>
      <c r="C92" s="22"/>
      <c r="D92" s="22"/>
      <c r="E92" s="22"/>
      <c r="F92" s="22"/>
      <c r="G92" s="22"/>
      <c r="H92" s="29"/>
      <c r="I92" s="30"/>
      <c r="K92" s="24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33"/>
    </row>
    <row r="93" spans="1:25" x14ac:dyDescent="0.3">
      <c r="A93" s="31"/>
      <c r="B93" s="32"/>
      <c r="C93" s="32"/>
      <c r="D93" s="32"/>
      <c r="E93" s="32"/>
      <c r="F93" s="32"/>
      <c r="G93" s="32"/>
      <c r="H93" s="22"/>
      <c r="I93" s="33"/>
      <c r="K93" s="85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22"/>
      <c r="Y93" s="33"/>
    </row>
    <row r="94" spans="1:25" ht="15" thickBot="1" x14ac:dyDescent="0.35">
      <c r="A94" s="34"/>
      <c r="B94" s="35"/>
      <c r="C94" s="35"/>
      <c r="D94" s="35"/>
      <c r="E94" s="35"/>
      <c r="F94" s="35"/>
      <c r="G94" s="35"/>
      <c r="H94" s="35"/>
      <c r="I94" s="3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7"/>
    </row>
    <row r="95" spans="1:25" ht="15" thickTop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BB84-6B05-491F-85ED-B3782CF41F9C}">
  <dimension ref="A1:Y114"/>
  <sheetViews>
    <sheetView topLeftCell="E80" workbookViewId="0">
      <selection activeCell="I95" sqref="I95"/>
    </sheetView>
  </sheetViews>
  <sheetFormatPr defaultRowHeight="14.4" x14ac:dyDescent="0.3"/>
  <cols>
    <col min="1" max="9" width="14.6640625" customWidth="1"/>
    <col min="11" max="11" width="13.33203125" customWidth="1"/>
    <col min="12" max="12" width="11.44140625" customWidth="1"/>
    <col min="13" max="13" width="11.88671875" customWidth="1"/>
    <col min="14" max="14" width="10.88671875" customWidth="1"/>
    <col min="15" max="15" width="11.44140625" customWidth="1"/>
    <col min="16" max="17" width="10.6640625" customWidth="1"/>
    <col min="18" max="18" width="10.88671875" customWidth="1"/>
    <col min="19" max="19" width="11.33203125" customWidth="1"/>
    <col min="20" max="20" width="10.5546875" customWidth="1"/>
    <col min="21" max="21" width="13.88671875" customWidth="1"/>
    <col min="22" max="22" width="9.109375" customWidth="1"/>
    <col min="23" max="23" width="14" customWidth="1"/>
    <col min="24" max="24" width="12.5546875" customWidth="1"/>
    <col min="25" max="25" width="10.6640625" bestFit="1" customWidth="1"/>
  </cols>
  <sheetData>
    <row r="1" spans="1:25" x14ac:dyDescent="0.3">
      <c r="A1" s="17">
        <v>45168</v>
      </c>
      <c r="B1" s="17">
        <v>45169</v>
      </c>
      <c r="C1" s="17">
        <v>45170</v>
      </c>
      <c r="D1" s="17">
        <v>45171</v>
      </c>
      <c r="E1" s="17">
        <v>45172</v>
      </c>
      <c r="F1" s="17">
        <v>45173</v>
      </c>
      <c r="G1" s="17">
        <v>45174</v>
      </c>
      <c r="H1" s="39"/>
      <c r="I1" s="13" t="s">
        <v>8</v>
      </c>
      <c r="K1" s="59">
        <v>45168</v>
      </c>
      <c r="L1" s="59"/>
      <c r="M1" s="59">
        <v>45169</v>
      </c>
      <c r="N1" s="59"/>
      <c r="O1" s="59">
        <v>45170</v>
      </c>
      <c r="P1" s="59"/>
      <c r="Q1" s="59">
        <v>45171</v>
      </c>
      <c r="R1" s="59"/>
      <c r="S1" s="59">
        <v>45172</v>
      </c>
      <c r="T1" s="59"/>
      <c r="U1" s="59">
        <v>45173</v>
      </c>
      <c r="V1" s="59"/>
      <c r="W1" s="59">
        <v>45174</v>
      </c>
      <c r="X1" s="59"/>
      <c r="Y1" s="13"/>
    </row>
    <row r="2" spans="1:25" ht="15" thickBot="1" x14ac:dyDescent="0.35">
      <c r="A2" s="21">
        <v>665</v>
      </c>
      <c r="B2" s="22">
        <v>775</v>
      </c>
      <c r="C2" s="22">
        <v>930</v>
      </c>
      <c r="D2" s="22">
        <v>530</v>
      </c>
      <c r="E2" s="22">
        <v>205</v>
      </c>
      <c r="F2" s="22">
        <v>715</v>
      </c>
      <c r="G2" s="22">
        <v>825</v>
      </c>
      <c r="H2" s="37"/>
      <c r="I2" s="14">
        <v>5922.75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5" x14ac:dyDescent="0.3">
      <c r="A3" s="24">
        <v>290</v>
      </c>
      <c r="B3" s="22">
        <v>2229.39</v>
      </c>
      <c r="C3" s="22">
        <v>2006.92</v>
      </c>
      <c r="D3" s="22">
        <v>2123.12</v>
      </c>
      <c r="E3" s="25"/>
      <c r="F3" s="22">
        <v>2302.2199999999998</v>
      </c>
      <c r="G3" s="22">
        <v>2978</v>
      </c>
      <c r="H3" s="37"/>
      <c r="I3" s="14">
        <v>3760</v>
      </c>
      <c r="K3" s="75">
        <v>1370</v>
      </c>
      <c r="L3" s="76">
        <v>52.5</v>
      </c>
      <c r="M3" s="77">
        <v>1510</v>
      </c>
      <c r="N3" s="77">
        <v>42.5</v>
      </c>
      <c r="O3" s="77">
        <v>1380</v>
      </c>
      <c r="P3" s="77">
        <v>66</v>
      </c>
      <c r="Q3" s="77">
        <v>890</v>
      </c>
      <c r="R3" s="77">
        <v>120</v>
      </c>
      <c r="S3" s="78">
        <v>480</v>
      </c>
      <c r="T3" s="69">
        <v>0</v>
      </c>
      <c r="U3" s="63">
        <v>1570</v>
      </c>
      <c r="V3" s="63">
        <v>260</v>
      </c>
      <c r="W3" s="63">
        <v>1470</v>
      </c>
      <c r="X3" s="65">
        <v>50</v>
      </c>
      <c r="Y3" s="14"/>
    </row>
    <row r="4" spans="1:25" x14ac:dyDescent="0.3">
      <c r="A4" s="24">
        <v>2116.92</v>
      </c>
      <c r="B4" s="22">
        <v>800</v>
      </c>
      <c r="C4" s="22">
        <v>610</v>
      </c>
      <c r="D4" s="26">
        <v>720</v>
      </c>
      <c r="E4" s="22"/>
      <c r="F4" s="22">
        <v>775</v>
      </c>
      <c r="G4" s="48">
        <v>830</v>
      </c>
      <c r="H4" s="37"/>
      <c r="I4" s="15">
        <v>5605.51</v>
      </c>
      <c r="K4" s="21">
        <v>1320</v>
      </c>
      <c r="L4" s="79"/>
      <c r="M4" s="43">
        <v>1670</v>
      </c>
      <c r="N4" s="43"/>
      <c r="O4" s="43">
        <v>2170</v>
      </c>
      <c r="P4" s="43">
        <v>57.5</v>
      </c>
      <c r="Q4" s="80">
        <v>1480</v>
      </c>
      <c r="R4" s="80">
        <v>95.5</v>
      </c>
      <c r="S4" s="43">
        <v>170</v>
      </c>
      <c r="T4" s="22"/>
      <c r="U4" s="22">
        <v>2580</v>
      </c>
      <c r="V4" s="22">
        <v>60</v>
      </c>
      <c r="W4" s="22">
        <v>1460</v>
      </c>
      <c r="X4" s="37"/>
      <c r="Y4" s="15"/>
    </row>
    <row r="5" spans="1:25" x14ac:dyDescent="0.3">
      <c r="A5" s="24">
        <v>132.5</v>
      </c>
      <c r="B5" s="22"/>
      <c r="C5" s="22"/>
      <c r="D5" s="25"/>
      <c r="E5" s="22"/>
      <c r="F5" s="22"/>
      <c r="G5" s="22"/>
      <c r="H5" s="37"/>
      <c r="I5" s="15">
        <v>4005.15</v>
      </c>
      <c r="K5" s="21">
        <v>425</v>
      </c>
      <c r="L5" s="79"/>
      <c r="M5" s="43">
        <v>1550</v>
      </c>
      <c r="N5" s="43"/>
      <c r="O5" s="43">
        <v>760</v>
      </c>
      <c r="P5" s="43">
        <v>649.70000000000005</v>
      </c>
      <c r="Q5" s="80">
        <v>370</v>
      </c>
      <c r="R5" s="81">
        <v>30</v>
      </c>
      <c r="S5" s="43">
        <v>140</v>
      </c>
      <c r="T5" s="22"/>
      <c r="U5" s="22">
        <v>760</v>
      </c>
      <c r="V5" s="22"/>
      <c r="W5" s="22">
        <v>60</v>
      </c>
      <c r="X5" s="37"/>
      <c r="Y5" s="15"/>
    </row>
    <row r="6" spans="1:25" x14ac:dyDescent="0.3">
      <c r="A6" s="24">
        <v>900</v>
      </c>
      <c r="B6" s="22"/>
      <c r="C6" s="22"/>
      <c r="D6" s="22"/>
      <c r="E6" s="22"/>
      <c r="F6" s="22"/>
      <c r="G6" s="22"/>
      <c r="H6" s="37"/>
      <c r="I6" s="15">
        <v>1560</v>
      </c>
      <c r="K6" s="21">
        <v>70</v>
      </c>
      <c r="L6" s="79"/>
      <c r="M6" s="43">
        <v>320</v>
      </c>
      <c r="N6" s="43"/>
      <c r="O6" s="43">
        <v>144</v>
      </c>
      <c r="P6" s="43"/>
      <c r="Q6" s="43">
        <v>348</v>
      </c>
      <c r="R6" s="43"/>
      <c r="S6" s="43">
        <v>72</v>
      </c>
      <c r="T6" s="22"/>
      <c r="U6" s="22">
        <v>372</v>
      </c>
      <c r="V6" s="22"/>
      <c r="W6" s="22">
        <v>1360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37"/>
      <c r="I7" s="15">
        <v>230.6</v>
      </c>
      <c r="K7" s="21">
        <v>745</v>
      </c>
      <c r="L7" s="79"/>
      <c r="M7" s="43">
        <v>120</v>
      </c>
      <c r="N7" s="43"/>
      <c r="O7" s="43"/>
      <c r="P7" s="43"/>
      <c r="Q7" s="43">
        <v>120</v>
      </c>
      <c r="R7" s="43"/>
      <c r="S7" s="43"/>
      <c r="T7" s="22"/>
      <c r="U7" s="22"/>
      <c r="V7" s="22"/>
      <c r="W7" s="22">
        <v>300</v>
      </c>
      <c r="X7" s="37"/>
      <c r="Y7" s="15"/>
    </row>
    <row r="8" spans="1:25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21084.01</v>
      </c>
      <c r="K8" s="21">
        <v>222</v>
      </c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>
        <v>144</v>
      </c>
      <c r="X8" s="37"/>
      <c r="Y8" s="83"/>
    </row>
    <row r="9" spans="1:25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K9" s="24">
        <v>26</v>
      </c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7"/>
      <c r="Y9" s="16">
        <f>SUM(Y2:Y7)</f>
        <v>0</v>
      </c>
    </row>
    <row r="10" spans="1:25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5" x14ac:dyDescent="0.3">
      <c r="A11" s="24"/>
      <c r="B11" s="22"/>
      <c r="C11" s="22"/>
      <c r="D11" s="22"/>
      <c r="E11" s="22"/>
      <c r="F11" s="22"/>
      <c r="G11" s="22"/>
      <c r="H11" s="22"/>
      <c r="I11" s="23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>SUM(A2:A15)</f>
        <v>4104.42</v>
      </c>
      <c r="B16" s="22">
        <f t="shared" ref="B16:G16" si="0">SUM(B2:B15)</f>
        <v>3804.39</v>
      </c>
      <c r="C16" s="22">
        <f t="shared" si="0"/>
        <v>3546.92</v>
      </c>
      <c r="D16" s="22">
        <f t="shared" si="0"/>
        <v>3373.12</v>
      </c>
      <c r="E16" s="22">
        <f t="shared" si="0"/>
        <v>205</v>
      </c>
      <c r="F16" s="22">
        <f t="shared" si="0"/>
        <v>3792.22</v>
      </c>
      <c r="G16" s="22">
        <f t="shared" si="0"/>
        <v>4633</v>
      </c>
      <c r="H16" s="29">
        <f>SUM(A16:G16)+I8</f>
        <v>44543.08</v>
      </c>
      <c r="I16" s="30" t="s">
        <v>7</v>
      </c>
      <c r="K16" s="24">
        <f t="shared" ref="K16:T16" si="1">SUM(K3:K15)</f>
        <v>4178</v>
      </c>
      <c r="L16" s="22">
        <f t="shared" si="1"/>
        <v>52.5</v>
      </c>
      <c r="M16" s="22">
        <f t="shared" si="1"/>
        <v>5170</v>
      </c>
      <c r="N16" s="22">
        <f t="shared" si="1"/>
        <v>42.5</v>
      </c>
      <c r="O16" s="22">
        <f t="shared" si="1"/>
        <v>4454</v>
      </c>
      <c r="P16" s="22">
        <f t="shared" si="1"/>
        <v>773.2</v>
      </c>
      <c r="Q16" s="22">
        <f t="shared" si="1"/>
        <v>3208</v>
      </c>
      <c r="R16" s="22">
        <f t="shared" si="1"/>
        <v>245.5</v>
      </c>
      <c r="S16" s="22">
        <f t="shared" si="1"/>
        <v>862</v>
      </c>
      <c r="T16" s="22">
        <f t="shared" si="1"/>
        <v>0</v>
      </c>
      <c r="U16" s="22">
        <f>SUM(U3:U15)</f>
        <v>5282</v>
      </c>
      <c r="V16" s="22">
        <f t="shared" ref="V16:X16" si="2">SUM(V3:V15)</f>
        <v>320</v>
      </c>
      <c r="W16" s="22">
        <f t="shared" si="2"/>
        <v>4794</v>
      </c>
      <c r="X16" s="22">
        <f t="shared" si="2"/>
        <v>50</v>
      </c>
      <c r="Y16" s="33">
        <f>K17+M17+O17+Q17+S17+U17+W17</f>
        <v>27948</v>
      </c>
    </row>
    <row r="17" spans="1:25" x14ac:dyDescent="0.3">
      <c r="A17" s="31">
        <v>4104.42</v>
      </c>
      <c r="B17" s="32">
        <v>3804.39</v>
      </c>
      <c r="C17" s="32">
        <v>3546.92</v>
      </c>
      <c r="D17" s="32">
        <v>3373.12</v>
      </c>
      <c r="E17" s="32">
        <v>205</v>
      </c>
      <c r="F17" s="32">
        <v>3792.22</v>
      </c>
      <c r="G17" s="32">
        <v>4633</v>
      </c>
      <c r="H17" s="22">
        <f>SUM(A17:G17)+I8</f>
        <v>44543.08</v>
      </c>
      <c r="I17" s="33" t="s">
        <v>1</v>
      </c>
      <c r="K17" s="85">
        <v>4178</v>
      </c>
      <c r="L17" s="32">
        <v>52</v>
      </c>
      <c r="M17" s="32">
        <v>5170</v>
      </c>
      <c r="N17" s="32">
        <v>42.5</v>
      </c>
      <c r="O17" s="32">
        <v>4454</v>
      </c>
      <c r="P17" s="32">
        <v>773.2</v>
      </c>
      <c r="Q17" s="32">
        <v>3208</v>
      </c>
      <c r="R17" s="32">
        <v>245.5</v>
      </c>
      <c r="S17" s="32">
        <v>862</v>
      </c>
      <c r="T17" s="32">
        <v>0</v>
      </c>
      <c r="U17" s="32">
        <v>5282</v>
      </c>
      <c r="V17" s="32">
        <v>320</v>
      </c>
      <c r="W17" s="32">
        <v>4794</v>
      </c>
      <c r="X17" s="22">
        <v>50</v>
      </c>
      <c r="Y17" s="33">
        <f>L17+N17+P17+R17+T17+V17+X17</f>
        <v>1483.2</v>
      </c>
    </row>
    <row r="18" spans="1:25" ht="15" thickBot="1" x14ac:dyDescent="0.35">
      <c r="A18" s="34">
        <f>A16-A17</f>
        <v>0</v>
      </c>
      <c r="B18" s="35">
        <f>B16-B17</f>
        <v>0</v>
      </c>
      <c r="C18" s="35">
        <f t="shared" ref="C18:F18" si="3">C16-C17</f>
        <v>0</v>
      </c>
      <c r="D18" s="35">
        <f t="shared" si="3"/>
        <v>0</v>
      </c>
      <c r="E18" s="35">
        <f t="shared" si="3"/>
        <v>0</v>
      </c>
      <c r="F18" s="35">
        <f t="shared" si="3"/>
        <v>0</v>
      </c>
      <c r="G18" s="35">
        <f>G16-G17</f>
        <v>0</v>
      </c>
      <c r="H18" s="35"/>
      <c r="I18" s="36"/>
      <c r="K18" s="86">
        <f t="shared" ref="K18:X18" si="4">K16-K17</f>
        <v>0</v>
      </c>
      <c r="L18" s="86">
        <f t="shared" si="4"/>
        <v>0.5</v>
      </c>
      <c r="M18" s="86">
        <f t="shared" si="4"/>
        <v>0</v>
      </c>
      <c r="N18" s="86">
        <f t="shared" si="4"/>
        <v>0</v>
      </c>
      <c r="O18" s="86">
        <f t="shared" si="4"/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7"/>
    </row>
    <row r="19" spans="1:25" ht="15.6" thickTop="1" thickBot="1" x14ac:dyDescent="0.35"/>
    <row r="20" spans="1:25" x14ac:dyDescent="0.3">
      <c r="A20" s="17">
        <v>45175</v>
      </c>
      <c r="B20" s="17">
        <v>45176</v>
      </c>
      <c r="C20" s="17">
        <v>45177</v>
      </c>
      <c r="D20" s="17">
        <v>45178</v>
      </c>
      <c r="E20" s="17">
        <v>45179</v>
      </c>
      <c r="F20" s="17">
        <v>45180</v>
      </c>
      <c r="G20" s="17">
        <v>45181</v>
      </c>
      <c r="H20" s="39"/>
      <c r="I20" s="13" t="s">
        <v>8</v>
      </c>
      <c r="K20" s="59">
        <v>45175</v>
      </c>
      <c r="L20" s="59"/>
      <c r="M20" s="59">
        <v>45176</v>
      </c>
      <c r="N20" s="59"/>
      <c r="O20" s="59">
        <v>45177</v>
      </c>
      <c r="P20" s="59"/>
      <c r="Q20" s="59">
        <v>45178</v>
      </c>
      <c r="R20" s="59"/>
      <c r="S20" s="59">
        <v>45179</v>
      </c>
      <c r="T20" s="59"/>
      <c r="U20" s="59">
        <v>45180</v>
      </c>
      <c r="V20" s="59"/>
      <c r="W20" s="59">
        <v>45181</v>
      </c>
      <c r="X20" s="59"/>
      <c r="Y20" s="13"/>
    </row>
    <row r="21" spans="1:25" ht="15" thickBot="1" x14ac:dyDescent="0.35">
      <c r="A21" s="21">
        <v>905</v>
      </c>
      <c r="B21" s="22">
        <v>985</v>
      </c>
      <c r="C21" s="22">
        <v>1265</v>
      </c>
      <c r="D21" s="22">
        <v>645</v>
      </c>
      <c r="E21" s="22">
        <v>85</v>
      </c>
      <c r="F21" s="22">
        <v>995</v>
      </c>
      <c r="G21" s="22">
        <v>715</v>
      </c>
      <c r="H21" s="37"/>
      <c r="I21" s="14">
        <v>4005.15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5" x14ac:dyDescent="0.3">
      <c r="A22" s="24">
        <v>2868</v>
      </c>
      <c r="B22" s="22">
        <v>2723</v>
      </c>
      <c r="C22" s="22">
        <v>2453</v>
      </c>
      <c r="D22" s="22">
        <v>3129.24</v>
      </c>
      <c r="E22" s="25">
        <v>120</v>
      </c>
      <c r="F22" s="22">
        <v>3098.06</v>
      </c>
      <c r="G22" s="22">
        <v>2774.93</v>
      </c>
      <c r="H22" s="37"/>
      <c r="I22" s="14">
        <v>3948.5</v>
      </c>
      <c r="K22" s="75">
        <v>1410</v>
      </c>
      <c r="L22" s="76">
        <v>120</v>
      </c>
      <c r="M22" s="77">
        <v>1370</v>
      </c>
      <c r="N22" s="77">
        <v>52.5</v>
      </c>
      <c r="O22" s="77">
        <v>1060</v>
      </c>
      <c r="P22" s="77">
        <v>180</v>
      </c>
      <c r="Q22" s="77">
        <v>940</v>
      </c>
      <c r="R22" s="77">
        <v>10</v>
      </c>
      <c r="S22" s="78">
        <v>480</v>
      </c>
      <c r="T22" s="69">
        <v>1340</v>
      </c>
      <c r="U22" s="63">
        <v>42.5</v>
      </c>
      <c r="V22" s="63"/>
      <c r="W22" s="63">
        <v>1540</v>
      </c>
      <c r="X22" s="65">
        <v>120</v>
      </c>
      <c r="Y22" s="14"/>
    </row>
    <row r="23" spans="1:25" x14ac:dyDescent="0.3">
      <c r="A23" s="24">
        <v>565</v>
      </c>
      <c r="B23" s="22">
        <v>1075</v>
      </c>
      <c r="C23" s="22">
        <v>610</v>
      </c>
      <c r="D23" s="26">
        <v>735</v>
      </c>
      <c r="E23" s="22"/>
      <c r="F23" s="22">
        <v>820</v>
      </c>
      <c r="G23" s="22">
        <v>805</v>
      </c>
      <c r="H23" s="37"/>
      <c r="I23" s="15">
        <v>1341.47</v>
      </c>
      <c r="K23" s="21">
        <v>1600</v>
      </c>
      <c r="L23" s="79">
        <v>26</v>
      </c>
      <c r="M23" s="43">
        <v>1550</v>
      </c>
      <c r="N23" s="43">
        <v>60</v>
      </c>
      <c r="O23" s="43">
        <v>2640</v>
      </c>
      <c r="P23" s="43">
        <v>980</v>
      </c>
      <c r="Q23" s="80">
        <v>1270</v>
      </c>
      <c r="R23" s="80">
        <v>35</v>
      </c>
      <c r="S23" s="43">
        <v>170</v>
      </c>
      <c r="T23" s="22">
        <v>2050</v>
      </c>
      <c r="U23" s="116">
        <v>372</v>
      </c>
      <c r="V23" s="22"/>
      <c r="W23" s="22">
        <v>1680</v>
      </c>
      <c r="X23" s="37">
        <v>24</v>
      </c>
      <c r="Y23" s="15"/>
    </row>
    <row r="24" spans="1:25" x14ac:dyDescent="0.3">
      <c r="A24" s="24"/>
      <c r="B24" s="22"/>
      <c r="C24" s="22"/>
      <c r="D24" s="25"/>
      <c r="E24" s="22"/>
      <c r="F24" s="22"/>
      <c r="G24" s="22"/>
      <c r="H24" s="37"/>
      <c r="I24" s="15">
        <v>5922.75</v>
      </c>
      <c r="K24" s="21">
        <v>1070</v>
      </c>
      <c r="L24" s="79">
        <v>42.5</v>
      </c>
      <c r="M24" s="43">
        <v>1320</v>
      </c>
      <c r="N24" s="43">
        <v>24</v>
      </c>
      <c r="O24" s="43">
        <v>700</v>
      </c>
      <c r="P24" s="43"/>
      <c r="Q24" s="80">
        <v>300</v>
      </c>
      <c r="R24" s="81">
        <v>200</v>
      </c>
      <c r="S24" s="43">
        <v>140</v>
      </c>
      <c r="T24" s="22">
        <v>910</v>
      </c>
      <c r="U24" s="22"/>
      <c r="V24" s="22"/>
      <c r="W24" s="22">
        <v>1320</v>
      </c>
      <c r="X24" s="37">
        <v>116</v>
      </c>
      <c r="Y24" s="15"/>
    </row>
    <row r="25" spans="1:25" x14ac:dyDescent="0.3">
      <c r="A25" s="24"/>
      <c r="B25" s="22"/>
      <c r="C25" s="22"/>
      <c r="D25" s="22"/>
      <c r="E25" s="22"/>
      <c r="F25" s="22"/>
      <c r="G25" s="22"/>
      <c r="H25" s="37"/>
      <c r="I25" s="15">
        <v>4745</v>
      </c>
      <c r="K25" s="21">
        <v>222</v>
      </c>
      <c r="L25" s="79"/>
      <c r="M25" s="43">
        <v>300</v>
      </c>
      <c r="N25" s="43"/>
      <c r="O25" s="43">
        <v>144</v>
      </c>
      <c r="P25" s="43"/>
      <c r="Q25" s="43">
        <v>228</v>
      </c>
      <c r="R25" s="43"/>
      <c r="S25" s="43">
        <v>72</v>
      </c>
      <c r="T25" s="22">
        <v>300</v>
      </c>
      <c r="U25" s="22"/>
      <c r="V25" s="22"/>
      <c r="W25" s="22">
        <v>300</v>
      </c>
      <c r="X25" s="37"/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/>
      <c r="K26" s="21">
        <v>48</v>
      </c>
      <c r="L26" s="79"/>
      <c r="M26" s="43">
        <v>72</v>
      </c>
      <c r="N26" s="43"/>
      <c r="O26" s="43"/>
      <c r="P26" s="43"/>
      <c r="Q26" s="43">
        <v>96</v>
      </c>
      <c r="R26" s="43"/>
      <c r="S26" s="43"/>
      <c r="T26" s="22"/>
      <c r="U26" s="22"/>
      <c r="V26" s="22"/>
      <c r="W26" s="22">
        <v>96</v>
      </c>
      <c r="X26" s="37"/>
      <c r="Y26" s="15"/>
    </row>
    <row r="27" spans="1:25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19962.87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23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</row>
    <row r="35" spans="1:25" x14ac:dyDescent="0.3">
      <c r="A35" s="24">
        <f t="shared" ref="A35:G35" si="5">SUM(A21:A34)</f>
        <v>4338</v>
      </c>
      <c r="B35" s="22">
        <f t="shared" si="5"/>
        <v>4783</v>
      </c>
      <c r="C35" s="22">
        <f t="shared" si="5"/>
        <v>4328</v>
      </c>
      <c r="D35" s="22">
        <f t="shared" si="5"/>
        <v>4509.24</v>
      </c>
      <c r="E35" s="22">
        <f t="shared" si="5"/>
        <v>205</v>
      </c>
      <c r="F35" s="22">
        <f t="shared" si="5"/>
        <v>4913.0599999999995</v>
      </c>
      <c r="G35" s="22">
        <f t="shared" si="5"/>
        <v>4294.93</v>
      </c>
      <c r="H35" s="29">
        <f>SUM(A35:G35)+I27</f>
        <v>47334.099999999991</v>
      </c>
      <c r="I35" s="30" t="s">
        <v>7</v>
      </c>
      <c r="K35" s="24">
        <f t="shared" ref="K35:T35" si="6">SUM(K22:K34)</f>
        <v>4350</v>
      </c>
      <c r="L35" s="22">
        <f t="shared" si="6"/>
        <v>188.5</v>
      </c>
      <c r="M35" s="22">
        <f t="shared" si="6"/>
        <v>4612</v>
      </c>
      <c r="N35" s="22">
        <f t="shared" si="6"/>
        <v>136.5</v>
      </c>
      <c r="O35" s="22">
        <f t="shared" si="6"/>
        <v>4544</v>
      </c>
      <c r="P35" s="22">
        <f t="shared" si="6"/>
        <v>1160</v>
      </c>
      <c r="Q35" s="22">
        <f t="shared" si="6"/>
        <v>2834</v>
      </c>
      <c r="R35" s="22">
        <f t="shared" si="6"/>
        <v>245</v>
      </c>
      <c r="S35" s="22">
        <f t="shared" si="6"/>
        <v>862</v>
      </c>
      <c r="T35" s="22">
        <f t="shared" si="6"/>
        <v>4600</v>
      </c>
      <c r="U35" s="22">
        <f>SUM(U22:U34)</f>
        <v>414.5</v>
      </c>
      <c r="V35" s="22">
        <f t="shared" ref="V35:X35" si="7">SUM(V22:V34)</f>
        <v>0</v>
      </c>
      <c r="W35" s="22">
        <f t="shared" si="7"/>
        <v>4936</v>
      </c>
      <c r="X35" s="22">
        <f t="shared" si="7"/>
        <v>260</v>
      </c>
      <c r="Y35" s="33">
        <f>K36+M36+O36+Q36+S36+U36+W36</f>
        <v>22552.5</v>
      </c>
    </row>
    <row r="36" spans="1:25" x14ac:dyDescent="0.3">
      <c r="A36" s="31">
        <v>4338</v>
      </c>
      <c r="B36" s="32">
        <v>4783</v>
      </c>
      <c r="C36" s="32">
        <v>4328</v>
      </c>
      <c r="D36" s="32">
        <v>4509.24</v>
      </c>
      <c r="E36" s="32">
        <v>205</v>
      </c>
      <c r="F36" s="32">
        <v>4913.0600000000004</v>
      </c>
      <c r="G36" s="32">
        <v>4294.93</v>
      </c>
      <c r="H36" s="22">
        <f>SUM(A36:G36)+I27</f>
        <v>47334.1</v>
      </c>
      <c r="I36" s="33" t="s">
        <v>1</v>
      </c>
      <c r="K36" s="85">
        <v>4350</v>
      </c>
      <c r="L36" s="32">
        <v>188.5</v>
      </c>
      <c r="M36" s="32">
        <v>4612</v>
      </c>
      <c r="N36" s="32">
        <v>136.5</v>
      </c>
      <c r="O36" s="32">
        <v>4544</v>
      </c>
      <c r="P36" s="32">
        <v>1160</v>
      </c>
      <c r="Q36" s="32">
        <v>2834</v>
      </c>
      <c r="R36" s="32">
        <v>245</v>
      </c>
      <c r="S36" s="32">
        <v>862</v>
      </c>
      <c r="T36" s="32">
        <v>4600</v>
      </c>
      <c r="U36" s="32">
        <v>414.5</v>
      </c>
      <c r="V36" s="32"/>
      <c r="W36" s="32">
        <v>4936</v>
      </c>
      <c r="X36" s="22">
        <v>260</v>
      </c>
      <c r="Y36" s="33">
        <f>L36+N36+P36+R36+T36+V36+X36</f>
        <v>6590</v>
      </c>
    </row>
    <row r="37" spans="1:25" ht="15" thickBot="1" x14ac:dyDescent="0.35">
      <c r="A37" s="34">
        <f>A35-A36</f>
        <v>0</v>
      </c>
      <c r="B37" s="35">
        <f>B35-B36</f>
        <v>0</v>
      </c>
      <c r="C37" s="35">
        <f t="shared" ref="C37:F37" si="8">C35-C36</f>
        <v>0</v>
      </c>
      <c r="D37" s="35">
        <f t="shared" si="8"/>
        <v>0</v>
      </c>
      <c r="E37" s="35">
        <f t="shared" si="8"/>
        <v>0</v>
      </c>
      <c r="F37" s="35">
        <f t="shared" si="8"/>
        <v>0</v>
      </c>
      <c r="G37" s="35">
        <f>G35-G36</f>
        <v>0</v>
      </c>
      <c r="H37" s="35"/>
      <c r="I37" s="36"/>
      <c r="K37" s="86">
        <f t="shared" ref="K37:X37" si="9">K35-K36</f>
        <v>0</v>
      </c>
      <c r="L37" s="86">
        <f t="shared" si="9"/>
        <v>0</v>
      </c>
      <c r="M37" s="86">
        <f t="shared" si="9"/>
        <v>0</v>
      </c>
      <c r="N37" s="86">
        <f t="shared" si="9"/>
        <v>0</v>
      </c>
      <c r="O37" s="86">
        <f t="shared" si="9"/>
        <v>0</v>
      </c>
      <c r="P37" s="86">
        <f t="shared" si="9"/>
        <v>0</v>
      </c>
      <c r="Q37" s="86">
        <f t="shared" si="9"/>
        <v>0</v>
      </c>
      <c r="R37" s="86">
        <f t="shared" si="9"/>
        <v>0</v>
      </c>
      <c r="S37" s="86">
        <v>0</v>
      </c>
      <c r="T37" s="86">
        <f t="shared" si="9"/>
        <v>0</v>
      </c>
      <c r="U37" s="86">
        <f t="shared" si="9"/>
        <v>0</v>
      </c>
      <c r="V37" s="86">
        <f t="shared" si="9"/>
        <v>0</v>
      </c>
      <c r="W37" s="86">
        <f t="shared" si="9"/>
        <v>0</v>
      </c>
      <c r="X37" s="86">
        <f t="shared" si="9"/>
        <v>0</v>
      </c>
      <c r="Y37" s="87"/>
    </row>
    <row r="38" spans="1:25" ht="15.6" thickTop="1" thickBot="1" x14ac:dyDescent="0.35"/>
    <row r="39" spans="1:25" x14ac:dyDescent="0.3">
      <c r="A39" s="17">
        <v>45182</v>
      </c>
      <c r="B39" s="17">
        <v>45183</v>
      </c>
      <c r="C39" s="17">
        <v>45184</v>
      </c>
      <c r="D39" s="17">
        <v>45185</v>
      </c>
      <c r="E39" s="17">
        <v>45186</v>
      </c>
      <c r="F39" s="17">
        <v>45187</v>
      </c>
      <c r="G39" s="17">
        <v>45188</v>
      </c>
      <c r="H39" s="39"/>
      <c r="I39" s="13" t="s">
        <v>8</v>
      </c>
      <c r="K39" s="59">
        <v>45182</v>
      </c>
      <c r="L39" s="59"/>
      <c r="M39" s="59">
        <v>45183</v>
      </c>
      <c r="N39" s="59"/>
      <c r="O39" s="59">
        <v>45184</v>
      </c>
      <c r="P39" s="59"/>
      <c r="Q39" s="59">
        <v>45185</v>
      </c>
      <c r="R39" s="59"/>
      <c r="S39" s="59">
        <v>45186</v>
      </c>
      <c r="T39" s="59"/>
      <c r="U39" s="59">
        <v>45187</v>
      </c>
      <c r="V39" s="59"/>
      <c r="W39" s="59">
        <v>45188</v>
      </c>
      <c r="X39" s="59"/>
      <c r="Y39" s="13"/>
    </row>
    <row r="40" spans="1:25" ht="15" thickBot="1" x14ac:dyDescent="0.35">
      <c r="A40" s="21">
        <v>820</v>
      </c>
      <c r="B40" s="22">
        <v>705</v>
      </c>
      <c r="C40" s="22">
        <v>645</v>
      </c>
      <c r="D40" s="22">
        <v>475</v>
      </c>
      <c r="E40" s="22">
        <v>85</v>
      </c>
      <c r="F40" s="22">
        <v>655</v>
      </c>
      <c r="G40" s="22">
        <v>580</v>
      </c>
      <c r="H40" s="37"/>
      <c r="I40" s="14">
        <v>5922.75</v>
      </c>
      <c r="K40" s="66" t="s">
        <v>10</v>
      </c>
      <c r="L40" s="66" t="s">
        <v>11</v>
      </c>
      <c r="M40" s="67" t="s">
        <v>10</v>
      </c>
      <c r="N40" s="67" t="s">
        <v>11</v>
      </c>
      <c r="O40" s="67" t="s">
        <v>10</v>
      </c>
      <c r="P40" s="67" t="s">
        <v>11</v>
      </c>
      <c r="Q40" s="67" t="s">
        <v>10</v>
      </c>
      <c r="R40" s="67" t="s">
        <v>11</v>
      </c>
      <c r="S40" s="67" t="s">
        <v>10</v>
      </c>
      <c r="T40" s="67" t="s">
        <v>11</v>
      </c>
      <c r="U40" s="67" t="s">
        <v>10</v>
      </c>
      <c r="V40" s="67" t="s">
        <v>11</v>
      </c>
      <c r="W40" s="67" t="s">
        <v>10</v>
      </c>
      <c r="X40" s="67" t="s">
        <v>11</v>
      </c>
      <c r="Y40" s="14"/>
    </row>
    <row r="41" spans="1:25" x14ac:dyDescent="0.3">
      <c r="A41" s="24">
        <v>2729.96</v>
      </c>
      <c r="B41" s="22">
        <v>2889.96</v>
      </c>
      <c r="C41" s="22">
        <v>2307.46</v>
      </c>
      <c r="D41" s="22">
        <v>2177.7600000000002</v>
      </c>
      <c r="E41" s="25">
        <v>85</v>
      </c>
      <c r="F41" s="22">
        <v>2797.49</v>
      </c>
      <c r="G41" s="22">
        <v>2948</v>
      </c>
      <c r="H41" s="37"/>
      <c r="I41" s="14">
        <v>5710</v>
      </c>
      <c r="K41" s="75">
        <v>1460</v>
      </c>
      <c r="L41" s="76">
        <v>1960</v>
      </c>
      <c r="M41" s="77">
        <v>1560</v>
      </c>
      <c r="N41" s="77">
        <v>232.5</v>
      </c>
      <c r="O41" s="77">
        <v>1590</v>
      </c>
      <c r="P41" s="77">
        <v>15</v>
      </c>
      <c r="Q41" s="77">
        <v>1080</v>
      </c>
      <c r="R41" s="77">
        <v>2580</v>
      </c>
      <c r="S41" s="78">
        <v>480</v>
      </c>
      <c r="T41" s="69"/>
      <c r="U41" s="63">
        <v>1620</v>
      </c>
      <c r="V41" s="63">
        <v>60</v>
      </c>
      <c r="W41" s="63">
        <v>1670</v>
      </c>
      <c r="X41" s="65">
        <v>118</v>
      </c>
      <c r="Y41" s="14"/>
    </row>
    <row r="42" spans="1:25" x14ac:dyDescent="0.3">
      <c r="A42" s="24">
        <v>900</v>
      </c>
      <c r="B42" s="22">
        <v>1045</v>
      </c>
      <c r="C42" s="22">
        <v>765</v>
      </c>
      <c r="D42" s="26">
        <v>825</v>
      </c>
      <c r="E42" s="22"/>
      <c r="F42" s="22">
        <v>1080</v>
      </c>
      <c r="G42" s="22">
        <v>1185</v>
      </c>
      <c r="H42" s="37"/>
      <c r="I42" s="15">
        <v>5289.97</v>
      </c>
      <c r="K42" s="21">
        <v>1270</v>
      </c>
      <c r="L42" s="79">
        <v>37.5</v>
      </c>
      <c r="M42" s="43">
        <v>1465</v>
      </c>
      <c r="N42" s="43">
        <v>60</v>
      </c>
      <c r="O42" s="43">
        <v>2275</v>
      </c>
      <c r="P42" s="43">
        <v>20</v>
      </c>
      <c r="Q42" s="80">
        <v>1020</v>
      </c>
      <c r="R42" s="80">
        <v>76</v>
      </c>
      <c r="S42" s="43">
        <v>170</v>
      </c>
      <c r="T42" s="22"/>
      <c r="U42" s="116">
        <v>2190</v>
      </c>
      <c r="V42" s="22"/>
      <c r="W42" s="22">
        <v>1605</v>
      </c>
      <c r="X42" s="37"/>
      <c r="Y42" s="15"/>
    </row>
    <row r="43" spans="1:25" x14ac:dyDescent="0.3">
      <c r="A43" s="24"/>
      <c r="B43" s="22"/>
      <c r="C43" s="22"/>
      <c r="D43" s="25"/>
      <c r="E43" s="22"/>
      <c r="F43" s="22"/>
      <c r="G43" s="22"/>
      <c r="H43" s="37"/>
      <c r="I43" s="15">
        <v>4005.15</v>
      </c>
      <c r="K43" s="21">
        <v>800</v>
      </c>
      <c r="L43" s="79">
        <v>349</v>
      </c>
      <c r="M43" s="43">
        <v>795</v>
      </c>
      <c r="N43" s="43"/>
      <c r="O43" s="43">
        <v>935</v>
      </c>
      <c r="P43" s="43">
        <v>15</v>
      </c>
      <c r="Q43" s="80">
        <v>170</v>
      </c>
      <c r="R43" s="81"/>
      <c r="S43" s="43">
        <v>170</v>
      </c>
      <c r="T43" s="22"/>
      <c r="U43" s="22">
        <v>760</v>
      </c>
      <c r="V43" s="22"/>
      <c r="W43" s="22">
        <v>170</v>
      </c>
      <c r="X43" s="37"/>
      <c r="Y43" s="15"/>
    </row>
    <row r="44" spans="1:25" x14ac:dyDescent="0.3">
      <c r="A44" s="24"/>
      <c r="B44" s="22"/>
      <c r="C44" s="22"/>
      <c r="D44" s="22"/>
      <c r="E44" s="22"/>
      <c r="F44" s="22"/>
      <c r="G44" s="22"/>
      <c r="H44" s="37"/>
      <c r="I44" s="15">
        <v>1262.1600000000001</v>
      </c>
      <c r="K44" s="21">
        <v>246</v>
      </c>
      <c r="L44" s="79"/>
      <c r="M44" s="43">
        <v>300</v>
      </c>
      <c r="N44" s="43"/>
      <c r="O44" s="43">
        <v>144</v>
      </c>
      <c r="P44" s="43"/>
      <c r="Q44" s="43">
        <v>228</v>
      </c>
      <c r="R44" s="43"/>
      <c r="S44" s="43">
        <v>72</v>
      </c>
      <c r="T44" s="22"/>
      <c r="U44" s="22">
        <v>300</v>
      </c>
      <c r="V44" s="22"/>
      <c r="W44" s="22">
        <v>855</v>
      </c>
      <c r="X44" s="37"/>
      <c r="Y44" s="15"/>
    </row>
    <row r="45" spans="1:25" x14ac:dyDescent="0.3">
      <c r="A45" s="24"/>
      <c r="B45" s="22"/>
      <c r="C45" s="22"/>
      <c r="D45" s="22"/>
      <c r="E45" s="22"/>
      <c r="F45" s="22"/>
      <c r="G45" s="22"/>
      <c r="H45" s="37"/>
      <c r="I45" s="15"/>
      <c r="K45" s="21"/>
      <c r="L45" s="79"/>
      <c r="M45" s="43">
        <v>72</v>
      </c>
      <c r="N45" s="43"/>
      <c r="O45" s="43">
        <v>24</v>
      </c>
      <c r="P45" s="43"/>
      <c r="Q45" s="43">
        <v>72</v>
      </c>
      <c r="R45" s="43"/>
      <c r="S45" s="43"/>
      <c r="T45" s="22"/>
      <c r="U45" s="22"/>
      <c r="V45" s="22"/>
      <c r="W45" s="22">
        <v>396</v>
      </c>
      <c r="X45" s="37"/>
      <c r="Y45" s="15"/>
    </row>
    <row r="46" spans="1:25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22190.030000000002</v>
      </c>
      <c r="K46" s="21"/>
      <c r="L46" s="79"/>
      <c r="M46" s="43"/>
      <c r="N46" s="43"/>
      <c r="O46" s="43"/>
      <c r="P46" s="43"/>
      <c r="Q46" s="43"/>
      <c r="R46" s="43"/>
      <c r="S46" s="43"/>
      <c r="T46" s="22"/>
      <c r="U46" s="22"/>
      <c r="V46" s="22"/>
      <c r="W46" s="22"/>
      <c r="X46" s="37"/>
      <c r="Y46" s="83"/>
    </row>
    <row r="47" spans="1:25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K47" s="24"/>
      <c r="L47" s="5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37"/>
      <c r="Y47" s="16">
        <f>SUM(Y40:Y45)</f>
        <v>0</v>
      </c>
    </row>
    <row r="48" spans="1:25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38"/>
    </row>
    <row r="49" spans="1:25" x14ac:dyDescent="0.3">
      <c r="A49" s="24"/>
      <c r="B49" s="22"/>
      <c r="C49" s="22"/>
      <c r="D49" s="22"/>
      <c r="E49" s="22"/>
      <c r="F49" s="22"/>
      <c r="G49" s="22"/>
      <c r="H49" s="22"/>
      <c r="I49" s="23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8"/>
      <c r="V53" s="28"/>
      <c r="W53" s="22"/>
      <c r="X53" s="22"/>
      <c r="Y53" s="23"/>
    </row>
    <row r="54" spans="1:25" x14ac:dyDescent="0.3">
      <c r="A54" s="24">
        <f t="shared" ref="A54:F54" si="10">SUM(A40:A53)</f>
        <v>4449.96</v>
      </c>
      <c r="B54" s="22">
        <f t="shared" si="10"/>
        <v>4639.96</v>
      </c>
      <c r="C54" s="22">
        <f t="shared" si="10"/>
        <v>3717.46</v>
      </c>
      <c r="D54" s="22">
        <f t="shared" si="10"/>
        <v>3477.76</v>
      </c>
      <c r="E54" s="22">
        <f>SUM(E40:E53)</f>
        <v>170</v>
      </c>
      <c r="F54" s="22">
        <f t="shared" si="10"/>
        <v>4532.49</v>
      </c>
      <c r="G54" s="22">
        <f>SUM(G40:G53)</f>
        <v>4713</v>
      </c>
      <c r="H54" s="29">
        <f>SUM(A54:G54)+I46</f>
        <v>47890.66</v>
      </c>
      <c r="I54" s="30" t="s">
        <v>7</v>
      </c>
      <c r="K54" s="22">
        <f>SUM(K41:K53)</f>
        <v>3776</v>
      </c>
      <c r="L54" s="22">
        <f>SUM(L41:L53)</f>
        <v>2346.5</v>
      </c>
      <c r="M54" s="22">
        <f t="shared" ref="M54:T54" si="11">SUM(M41:M53)</f>
        <v>4192</v>
      </c>
      <c r="N54" s="22">
        <f t="shared" si="11"/>
        <v>292.5</v>
      </c>
      <c r="O54" s="22">
        <f t="shared" si="11"/>
        <v>4968</v>
      </c>
      <c r="P54" s="22">
        <f t="shared" si="11"/>
        <v>50</v>
      </c>
      <c r="Q54" s="22">
        <f t="shared" si="11"/>
        <v>2570</v>
      </c>
      <c r="R54" s="22">
        <f t="shared" si="11"/>
        <v>2656</v>
      </c>
      <c r="S54" s="22">
        <f t="shared" si="11"/>
        <v>892</v>
      </c>
      <c r="T54" s="22">
        <f t="shared" si="11"/>
        <v>0</v>
      </c>
      <c r="U54" s="22">
        <f>SUM(U41:U53)</f>
        <v>4870</v>
      </c>
      <c r="V54" s="22">
        <f t="shared" ref="V54:X54" si="12">SUM(V41:V53)</f>
        <v>60</v>
      </c>
      <c r="W54" s="22">
        <f t="shared" si="12"/>
        <v>4696</v>
      </c>
      <c r="X54" s="22">
        <f t="shared" si="12"/>
        <v>118</v>
      </c>
      <c r="Y54" s="33">
        <f>K55+M55+O55+Q55+S55+U55+W55</f>
        <v>25964</v>
      </c>
    </row>
    <row r="55" spans="1:25" x14ac:dyDescent="0.3">
      <c r="A55" s="31">
        <v>4449.96</v>
      </c>
      <c r="B55" s="32">
        <v>4639.96</v>
      </c>
      <c r="C55" s="32">
        <v>3717.46</v>
      </c>
      <c r="D55" s="32">
        <v>3477.76</v>
      </c>
      <c r="E55" s="32">
        <v>170</v>
      </c>
      <c r="F55" s="32">
        <v>4532.49</v>
      </c>
      <c r="G55" s="32">
        <v>4713</v>
      </c>
      <c r="H55" s="22">
        <f>SUM(A55:G55)+I46</f>
        <v>47890.66</v>
      </c>
      <c r="I55" s="33" t="s">
        <v>1</v>
      </c>
      <c r="K55" s="32">
        <v>3776</v>
      </c>
      <c r="L55" s="32">
        <v>2346.5</v>
      </c>
      <c r="M55" s="32">
        <v>4192</v>
      </c>
      <c r="N55" s="32">
        <v>292.5</v>
      </c>
      <c r="O55" s="32">
        <v>4968</v>
      </c>
      <c r="P55" s="32">
        <v>50</v>
      </c>
      <c r="Q55" s="32">
        <v>2570</v>
      </c>
      <c r="R55" s="32">
        <v>2656</v>
      </c>
      <c r="S55" s="32">
        <v>892</v>
      </c>
      <c r="T55" s="32">
        <v>0</v>
      </c>
      <c r="U55" s="32">
        <v>4870</v>
      </c>
      <c r="V55" s="32">
        <v>60</v>
      </c>
      <c r="W55" s="32">
        <v>4696</v>
      </c>
      <c r="X55" s="22">
        <v>118</v>
      </c>
      <c r="Y55" s="33">
        <f>L55+N55+P55+R55+T55+V55+X55</f>
        <v>5523</v>
      </c>
    </row>
    <row r="56" spans="1:25" ht="15" thickBot="1" x14ac:dyDescent="0.35">
      <c r="A56" s="34">
        <f>A54-A55</f>
        <v>0</v>
      </c>
      <c r="B56" s="35">
        <f>B54-B55</f>
        <v>0</v>
      </c>
      <c r="C56" s="35">
        <f t="shared" ref="C56:F56" si="13">C54-C55</f>
        <v>0</v>
      </c>
      <c r="D56" s="35">
        <f t="shared" si="13"/>
        <v>0</v>
      </c>
      <c r="E56" s="35">
        <f t="shared" si="13"/>
        <v>0</v>
      </c>
      <c r="F56" s="35">
        <f t="shared" si="13"/>
        <v>0</v>
      </c>
      <c r="G56" s="35">
        <f>G54-G55</f>
        <v>0</v>
      </c>
      <c r="H56" s="35" t="s">
        <v>9</v>
      </c>
      <c r="I56" s="36"/>
      <c r="K56" s="86">
        <f>K54-K55</f>
        <v>0</v>
      </c>
      <c r="L56" s="86">
        <f>L54-L55</f>
        <v>0</v>
      </c>
      <c r="M56" s="86">
        <f t="shared" ref="M56:X56" si="14">M54-M55</f>
        <v>0</v>
      </c>
      <c r="N56" s="86">
        <f t="shared" si="14"/>
        <v>0</v>
      </c>
      <c r="O56" s="86">
        <f t="shared" si="14"/>
        <v>0</v>
      </c>
      <c r="P56" s="86">
        <f t="shared" si="14"/>
        <v>0</v>
      </c>
      <c r="Q56" s="86">
        <f t="shared" si="14"/>
        <v>0</v>
      </c>
      <c r="R56" s="86">
        <f t="shared" si="14"/>
        <v>0</v>
      </c>
      <c r="S56" s="86">
        <f t="shared" si="14"/>
        <v>0</v>
      </c>
      <c r="T56" s="86">
        <f t="shared" si="14"/>
        <v>0</v>
      </c>
      <c r="U56" s="86">
        <f t="shared" si="14"/>
        <v>0</v>
      </c>
      <c r="V56" s="86">
        <f t="shared" si="14"/>
        <v>0</v>
      </c>
      <c r="W56" s="86">
        <f t="shared" si="14"/>
        <v>0</v>
      </c>
      <c r="X56" s="86">
        <f t="shared" si="14"/>
        <v>0</v>
      </c>
      <c r="Y56" s="87"/>
    </row>
    <row r="57" spans="1:25" ht="15.6" thickTop="1" thickBot="1" x14ac:dyDescent="0.35"/>
    <row r="58" spans="1:25" x14ac:dyDescent="0.3">
      <c r="A58" s="17">
        <v>45189</v>
      </c>
      <c r="B58" s="17">
        <v>45190</v>
      </c>
      <c r="C58" s="17">
        <v>45191</v>
      </c>
      <c r="D58" s="17">
        <v>45192</v>
      </c>
      <c r="E58" s="17">
        <v>45193</v>
      </c>
      <c r="F58" s="17">
        <v>45194</v>
      </c>
      <c r="G58" s="17">
        <v>45195</v>
      </c>
      <c r="H58" s="39"/>
      <c r="I58" s="13" t="s">
        <v>8</v>
      </c>
      <c r="K58" s="59">
        <v>45189</v>
      </c>
      <c r="L58" s="59"/>
      <c r="M58" s="59">
        <v>45190</v>
      </c>
      <c r="N58" s="59"/>
      <c r="O58" s="59">
        <v>45191</v>
      </c>
      <c r="P58" s="59"/>
      <c r="Q58" s="59">
        <v>45192</v>
      </c>
      <c r="R58" s="59"/>
      <c r="S58" s="59">
        <v>45193</v>
      </c>
      <c r="T58" s="59"/>
      <c r="U58" s="59">
        <v>45194</v>
      </c>
      <c r="V58" s="59"/>
      <c r="W58" s="59">
        <v>45195</v>
      </c>
      <c r="X58" s="59"/>
      <c r="Y58" s="13"/>
    </row>
    <row r="59" spans="1:25" ht="15" thickBot="1" x14ac:dyDescent="0.35">
      <c r="A59" s="21">
        <v>770</v>
      </c>
      <c r="B59" s="22">
        <v>735</v>
      </c>
      <c r="C59" s="22">
        <v>785</v>
      </c>
      <c r="D59" s="22">
        <v>85</v>
      </c>
      <c r="E59" s="22">
        <v>620</v>
      </c>
      <c r="F59" s="22">
        <v>435</v>
      </c>
      <c r="G59" s="22">
        <v>790</v>
      </c>
      <c r="H59" s="37"/>
      <c r="I59" s="14">
        <v>5527.9</v>
      </c>
      <c r="K59" s="66" t="s">
        <v>10</v>
      </c>
      <c r="L59" s="66" t="s">
        <v>11</v>
      </c>
      <c r="M59" s="67" t="s">
        <v>10</v>
      </c>
      <c r="N59" s="67" t="s">
        <v>11</v>
      </c>
      <c r="O59" s="67" t="s">
        <v>10</v>
      </c>
      <c r="P59" s="67" t="s">
        <v>11</v>
      </c>
      <c r="Q59" s="67" t="s">
        <v>10</v>
      </c>
      <c r="R59" s="67" t="s">
        <v>11</v>
      </c>
      <c r="S59" s="67" t="s">
        <v>10</v>
      </c>
      <c r="T59" s="67" t="s">
        <v>11</v>
      </c>
      <c r="U59" s="67" t="s">
        <v>10</v>
      </c>
      <c r="V59" s="67" t="s">
        <v>11</v>
      </c>
      <c r="W59" s="67" t="s">
        <v>10</v>
      </c>
      <c r="X59" s="67" t="s">
        <v>11</v>
      </c>
      <c r="Y59" s="14"/>
    </row>
    <row r="60" spans="1:25" x14ac:dyDescent="0.3">
      <c r="A60" s="24">
        <v>1977.49</v>
      </c>
      <c r="B60" s="22">
        <v>2405.62</v>
      </c>
      <c r="C60" s="22">
        <v>2813.09</v>
      </c>
      <c r="D60" s="22">
        <v>265</v>
      </c>
      <c r="E60" s="25">
        <v>240</v>
      </c>
      <c r="F60" s="22">
        <v>565</v>
      </c>
      <c r="G60" s="22">
        <v>2543.12</v>
      </c>
      <c r="H60" s="37"/>
      <c r="I60" s="14">
        <v>5042.5</v>
      </c>
      <c r="K60" s="75">
        <v>1530</v>
      </c>
      <c r="L60" s="76">
        <v>1680</v>
      </c>
      <c r="M60" s="77">
        <v>1580</v>
      </c>
      <c r="N60" s="77">
        <v>382.5</v>
      </c>
      <c r="O60" s="77">
        <v>1610</v>
      </c>
      <c r="P60" s="77">
        <v>50</v>
      </c>
      <c r="Q60" s="77">
        <v>1110</v>
      </c>
      <c r="R60" s="77">
        <v>50</v>
      </c>
      <c r="S60" s="78">
        <v>480</v>
      </c>
      <c r="T60" s="69">
        <v>500</v>
      </c>
      <c r="U60" s="63">
        <v>1020</v>
      </c>
      <c r="V60" s="63">
        <v>35</v>
      </c>
      <c r="W60" s="63">
        <v>2120</v>
      </c>
      <c r="X60" s="65">
        <v>60</v>
      </c>
      <c r="Y60" s="14"/>
    </row>
    <row r="61" spans="1:25" x14ac:dyDescent="0.3">
      <c r="A61" s="24">
        <v>730</v>
      </c>
      <c r="B61" s="22">
        <v>1525</v>
      </c>
      <c r="C61" s="22">
        <v>630</v>
      </c>
      <c r="D61" s="26">
        <v>2829.84</v>
      </c>
      <c r="E61" s="22"/>
      <c r="F61" s="22">
        <v>655</v>
      </c>
      <c r="G61" s="22">
        <v>1255</v>
      </c>
      <c r="H61" s="37"/>
      <c r="I61" s="15">
        <v>4005.15</v>
      </c>
      <c r="K61" s="21">
        <v>2060</v>
      </c>
      <c r="L61" s="79">
        <v>27.5</v>
      </c>
      <c r="M61" s="43">
        <v>1785</v>
      </c>
      <c r="N61" s="43">
        <v>166.5</v>
      </c>
      <c r="O61" s="43">
        <v>2000</v>
      </c>
      <c r="P61" s="43"/>
      <c r="Q61" s="80">
        <v>1470</v>
      </c>
      <c r="R61" s="80">
        <v>60</v>
      </c>
      <c r="S61" s="43">
        <v>1020</v>
      </c>
      <c r="T61" s="22">
        <v>20</v>
      </c>
      <c r="U61" s="116">
        <v>1270</v>
      </c>
      <c r="V61" s="22">
        <v>60</v>
      </c>
      <c r="W61" s="22">
        <v>2425</v>
      </c>
      <c r="X61" s="37">
        <v>110</v>
      </c>
      <c r="Y61" s="15"/>
    </row>
    <row r="62" spans="1:25" x14ac:dyDescent="0.3">
      <c r="A62" s="24"/>
      <c r="B62" s="22"/>
      <c r="C62" s="22"/>
      <c r="D62" s="25">
        <v>705</v>
      </c>
      <c r="E62" s="22"/>
      <c r="F62" s="22"/>
      <c r="G62" s="22"/>
      <c r="H62" s="37"/>
      <c r="I62" s="15">
        <v>3948.5</v>
      </c>
      <c r="K62" s="21">
        <v>700</v>
      </c>
      <c r="L62" s="79"/>
      <c r="M62" s="43">
        <v>1245</v>
      </c>
      <c r="N62" s="43">
        <v>200</v>
      </c>
      <c r="O62" s="43">
        <v>530</v>
      </c>
      <c r="P62" s="43"/>
      <c r="Q62" s="80">
        <v>240</v>
      </c>
      <c r="R62" s="81">
        <v>480</v>
      </c>
      <c r="S62" s="43">
        <v>140</v>
      </c>
      <c r="T62" s="22"/>
      <c r="U62" s="22">
        <v>120</v>
      </c>
      <c r="V62" s="22"/>
      <c r="W62" s="22">
        <v>1195</v>
      </c>
      <c r="X62" s="37">
        <v>100</v>
      </c>
      <c r="Y62" s="15"/>
    </row>
    <row r="63" spans="1:25" x14ac:dyDescent="0.3">
      <c r="A63" s="24"/>
      <c r="B63" s="22"/>
      <c r="C63" s="22"/>
      <c r="D63" s="22"/>
      <c r="E63" s="22"/>
      <c r="F63" s="22"/>
      <c r="G63" s="22"/>
      <c r="H63" s="37"/>
      <c r="I63" s="15">
        <v>1657.01</v>
      </c>
      <c r="K63" s="21">
        <v>222</v>
      </c>
      <c r="L63" s="79"/>
      <c r="M63" s="43">
        <v>300</v>
      </c>
      <c r="N63" s="43"/>
      <c r="O63" s="43">
        <v>144</v>
      </c>
      <c r="P63" s="43"/>
      <c r="Q63" s="43">
        <v>228</v>
      </c>
      <c r="R63" s="43"/>
      <c r="S63" s="43">
        <v>72</v>
      </c>
      <c r="T63" s="22"/>
      <c r="U63" s="22">
        <v>228</v>
      </c>
      <c r="V63" s="22"/>
      <c r="W63" s="22">
        <v>396</v>
      </c>
      <c r="X63" s="37"/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>
        <v>1092.28</v>
      </c>
      <c r="K64" s="21"/>
      <c r="L64" s="79"/>
      <c r="M64" s="43">
        <v>122</v>
      </c>
      <c r="N64" s="43"/>
      <c r="O64" s="43">
        <v>24</v>
      </c>
      <c r="P64" s="43"/>
      <c r="Q64" s="43">
        <v>96</v>
      </c>
      <c r="R64" s="43"/>
      <c r="S64" s="43"/>
      <c r="T64" s="22"/>
      <c r="U64" s="22">
        <v>26</v>
      </c>
      <c r="V64" s="22"/>
      <c r="W64" s="22">
        <v>72</v>
      </c>
      <c r="X64" s="37"/>
      <c r="Y64" s="15"/>
    </row>
    <row r="65" spans="1:25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21273.339999999997</v>
      </c>
      <c r="K65" s="21"/>
      <c r="L65" s="79"/>
      <c r="M65" s="43"/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37"/>
      <c r="Y65" s="83"/>
    </row>
    <row r="66" spans="1:25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37"/>
      <c r="Y66" s="16">
        <f>SUM(Y59:Y64)</f>
        <v>0</v>
      </c>
    </row>
    <row r="67" spans="1:25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38"/>
    </row>
    <row r="68" spans="1:25" x14ac:dyDescent="0.3">
      <c r="A68" s="24"/>
      <c r="B68" s="22"/>
      <c r="C68" s="22"/>
      <c r="D68" s="22"/>
      <c r="E68" s="22"/>
      <c r="F68" s="22"/>
      <c r="G68" s="22"/>
      <c r="H68" s="22"/>
      <c r="I68" s="23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8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8"/>
      <c r="V72" s="28"/>
      <c r="W72" s="22"/>
      <c r="X72" s="22"/>
      <c r="Y72" s="23"/>
    </row>
    <row r="73" spans="1:25" x14ac:dyDescent="0.3">
      <c r="A73" s="24">
        <f t="shared" ref="A73:G73" si="15">SUM(A59:A72)</f>
        <v>3477.49</v>
      </c>
      <c r="B73" s="22">
        <f t="shared" si="15"/>
        <v>4665.62</v>
      </c>
      <c r="C73" s="22">
        <f t="shared" si="15"/>
        <v>4228.09</v>
      </c>
      <c r="D73" s="22">
        <f t="shared" si="15"/>
        <v>3884.84</v>
      </c>
      <c r="E73" s="22">
        <f t="shared" si="15"/>
        <v>860</v>
      </c>
      <c r="F73" s="22">
        <f t="shared" si="15"/>
        <v>1655</v>
      </c>
      <c r="G73" s="22">
        <f t="shared" si="15"/>
        <v>4588.12</v>
      </c>
      <c r="H73" s="29">
        <f>SUM(A73:G73)+I65</f>
        <v>44632.5</v>
      </c>
      <c r="I73" s="30" t="s">
        <v>7</v>
      </c>
      <c r="K73" s="22">
        <f>SUM(K60:K72)</f>
        <v>4512</v>
      </c>
      <c r="L73" s="22">
        <f>SUM(L60:L72)</f>
        <v>1707.5</v>
      </c>
      <c r="M73" s="22">
        <f t="shared" ref="M73:T73" si="16">SUM(M60:M72)</f>
        <v>5032</v>
      </c>
      <c r="N73" s="22">
        <f t="shared" si="16"/>
        <v>749</v>
      </c>
      <c r="O73" s="22">
        <f t="shared" si="16"/>
        <v>4308</v>
      </c>
      <c r="P73" s="22">
        <f t="shared" si="16"/>
        <v>50</v>
      </c>
      <c r="Q73" s="22">
        <f t="shared" si="16"/>
        <v>3144</v>
      </c>
      <c r="R73" s="22">
        <f t="shared" si="16"/>
        <v>590</v>
      </c>
      <c r="S73" s="22">
        <f t="shared" si="16"/>
        <v>1712</v>
      </c>
      <c r="T73" s="22">
        <f t="shared" si="16"/>
        <v>520</v>
      </c>
      <c r="U73" s="22">
        <f>SUM(U60:U72)</f>
        <v>2664</v>
      </c>
      <c r="V73" s="22">
        <f t="shared" ref="V73:X73" si="17">SUM(V60:V72)</f>
        <v>95</v>
      </c>
      <c r="W73" s="22">
        <f t="shared" si="17"/>
        <v>6208</v>
      </c>
      <c r="X73" s="22">
        <f t="shared" si="17"/>
        <v>270</v>
      </c>
      <c r="Y73" s="33">
        <f>K74+M74+O74+Q74+S74+U74+W74</f>
        <v>27580</v>
      </c>
    </row>
    <row r="74" spans="1:25" x14ac:dyDescent="0.3">
      <c r="A74" s="31">
        <v>3477.49</v>
      </c>
      <c r="B74" s="32">
        <v>4665.62</v>
      </c>
      <c r="C74" s="32">
        <v>4228.09</v>
      </c>
      <c r="D74" s="32">
        <v>3884.84</v>
      </c>
      <c r="E74" s="32">
        <v>860</v>
      </c>
      <c r="F74" s="32">
        <v>1655</v>
      </c>
      <c r="G74" s="32">
        <v>4588.12</v>
      </c>
      <c r="H74" s="117">
        <f>SUM(A74:G74)+I65</f>
        <v>44632.5</v>
      </c>
      <c r="I74" s="33" t="s">
        <v>1</v>
      </c>
      <c r="K74" s="32">
        <v>4512</v>
      </c>
      <c r="L74" s="32">
        <v>1707.5</v>
      </c>
      <c r="M74" s="32">
        <v>5032</v>
      </c>
      <c r="N74" s="32">
        <v>749</v>
      </c>
      <c r="O74" s="32">
        <v>4308</v>
      </c>
      <c r="P74" s="32">
        <v>50</v>
      </c>
      <c r="Q74" s="32">
        <v>3144</v>
      </c>
      <c r="R74" s="32">
        <v>590</v>
      </c>
      <c r="S74" s="32">
        <v>1712</v>
      </c>
      <c r="T74" s="32">
        <v>520</v>
      </c>
      <c r="U74" s="32">
        <v>2664</v>
      </c>
      <c r="V74" s="32">
        <v>95</v>
      </c>
      <c r="W74" s="32">
        <v>6208</v>
      </c>
      <c r="X74" s="22">
        <v>270</v>
      </c>
      <c r="Y74" s="33">
        <f>L74+N74+P74+R74+T74+V74+X74</f>
        <v>3981.5</v>
      </c>
    </row>
    <row r="75" spans="1:25" ht="15" thickBot="1" x14ac:dyDescent="0.35">
      <c r="A75" s="34">
        <f>A73-A74</f>
        <v>0</v>
      </c>
      <c r="B75" s="35">
        <f>B73-B74</f>
        <v>0</v>
      </c>
      <c r="C75" s="35">
        <f t="shared" ref="C75:F75" si="18">C73-C74</f>
        <v>0</v>
      </c>
      <c r="D75" s="35">
        <f t="shared" si="18"/>
        <v>0</v>
      </c>
      <c r="E75" s="35">
        <f t="shared" si="18"/>
        <v>0</v>
      </c>
      <c r="F75" s="35">
        <f t="shared" si="18"/>
        <v>0</v>
      </c>
      <c r="G75" s="35">
        <f>G73-G74</f>
        <v>0</v>
      </c>
      <c r="H75" s="35"/>
      <c r="I75" s="36"/>
      <c r="K75" s="86">
        <f>K73-K74</f>
        <v>0</v>
      </c>
      <c r="L75" s="86">
        <f>L73-L74</f>
        <v>0</v>
      </c>
      <c r="M75" s="86">
        <f t="shared" ref="M75:X75" si="19">M73-M74</f>
        <v>0</v>
      </c>
      <c r="N75" s="86">
        <f t="shared" si="19"/>
        <v>0</v>
      </c>
      <c r="O75" s="86">
        <f t="shared" si="19"/>
        <v>0</v>
      </c>
      <c r="P75" s="86">
        <f t="shared" si="19"/>
        <v>0</v>
      </c>
      <c r="Q75" s="86">
        <f t="shared" si="19"/>
        <v>0</v>
      </c>
      <c r="R75" s="86">
        <f t="shared" si="19"/>
        <v>0</v>
      </c>
      <c r="S75" s="86">
        <f t="shared" si="19"/>
        <v>0</v>
      </c>
      <c r="T75" s="86">
        <f t="shared" si="19"/>
        <v>0</v>
      </c>
      <c r="U75" s="86">
        <f t="shared" si="19"/>
        <v>0</v>
      </c>
      <c r="V75" s="86">
        <f t="shared" si="19"/>
        <v>0</v>
      </c>
      <c r="W75" s="86">
        <f t="shared" si="19"/>
        <v>0</v>
      </c>
      <c r="X75" s="86">
        <f t="shared" si="19"/>
        <v>0</v>
      </c>
      <c r="Y75" s="87"/>
    </row>
    <row r="76" spans="1:25" ht="15.6" thickTop="1" thickBot="1" x14ac:dyDescent="0.35"/>
    <row r="77" spans="1:25" x14ac:dyDescent="0.3">
      <c r="A77" s="17">
        <v>45196</v>
      </c>
      <c r="B77" s="18">
        <v>45197</v>
      </c>
      <c r="C77" s="18">
        <v>45198</v>
      </c>
      <c r="D77" s="18">
        <v>45199</v>
      </c>
      <c r="E77" s="18">
        <v>45200</v>
      </c>
      <c r="F77" s="18">
        <v>45201</v>
      </c>
      <c r="G77" s="18">
        <v>45202</v>
      </c>
      <c r="H77" s="39"/>
      <c r="I77" s="13" t="s">
        <v>8</v>
      </c>
      <c r="K77" s="59">
        <v>45196</v>
      </c>
      <c r="L77" s="59"/>
      <c r="M77" s="59">
        <v>45197</v>
      </c>
      <c r="N77" s="59"/>
      <c r="O77" s="59">
        <v>45198</v>
      </c>
      <c r="P77" s="59"/>
      <c r="Q77" s="59">
        <v>45199</v>
      </c>
      <c r="R77" s="59"/>
      <c r="S77" s="59">
        <v>45200</v>
      </c>
      <c r="T77" s="59"/>
      <c r="U77" s="59">
        <v>45201</v>
      </c>
      <c r="V77" s="59"/>
      <c r="W77" s="59">
        <v>45202</v>
      </c>
      <c r="X77" s="59"/>
      <c r="Y77" s="13"/>
    </row>
    <row r="78" spans="1:25" ht="15" thickBot="1" x14ac:dyDescent="0.35">
      <c r="A78" s="21">
        <v>935</v>
      </c>
      <c r="B78" s="22">
        <v>1150</v>
      </c>
      <c r="C78" s="22">
        <v>1150</v>
      </c>
      <c r="D78" s="22">
        <v>385</v>
      </c>
      <c r="E78" s="22">
        <v>240</v>
      </c>
      <c r="F78" s="22">
        <v>55</v>
      </c>
      <c r="G78" s="22">
        <v>1424.39</v>
      </c>
      <c r="H78" s="37"/>
      <c r="I78" s="14">
        <v>5135</v>
      </c>
      <c r="K78" s="66" t="s">
        <v>10</v>
      </c>
      <c r="L78" s="66" t="s">
        <v>11</v>
      </c>
      <c r="M78" s="67" t="s">
        <v>10</v>
      </c>
      <c r="N78" s="67" t="s">
        <v>11</v>
      </c>
      <c r="O78" s="67" t="s">
        <v>10</v>
      </c>
      <c r="P78" s="67" t="s">
        <v>11</v>
      </c>
      <c r="Q78" s="67" t="s">
        <v>10</v>
      </c>
      <c r="R78" s="67" t="s">
        <v>11</v>
      </c>
      <c r="S78" s="67" t="s">
        <v>10</v>
      </c>
      <c r="T78" s="67" t="s">
        <v>11</v>
      </c>
      <c r="U78" s="67" t="s">
        <v>10</v>
      </c>
      <c r="V78" s="67" t="s">
        <v>11</v>
      </c>
      <c r="W78" s="67" t="s">
        <v>10</v>
      </c>
      <c r="X78" s="67" t="s">
        <v>11</v>
      </c>
      <c r="Y78" s="14"/>
    </row>
    <row r="79" spans="1:25" x14ac:dyDescent="0.3">
      <c r="A79" s="24">
        <v>2379.9899999999998</v>
      </c>
      <c r="B79" s="22">
        <v>2608.12</v>
      </c>
      <c r="C79" s="22">
        <v>2488.06</v>
      </c>
      <c r="D79" s="22">
        <v>1965.65</v>
      </c>
      <c r="E79" s="25"/>
      <c r="F79" s="22">
        <v>365</v>
      </c>
      <c r="G79" s="22">
        <v>1675</v>
      </c>
      <c r="H79" s="37"/>
      <c r="I79" s="14">
        <v>5922.75</v>
      </c>
      <c r="K79" s="75">
        <v>1450</v>
      </c>
      <c r="L79" s="76">
        <v>60</v>
      </c>
      <c r="M79" s="77">
        <v>1330</v>
      </c>
      <c r="N79" s="77">
        <v>594</v>
      </c>
      <c r="O79" s="77">
        <v>1380</v>
      </c>
      <c r="P79" s="77">
        <v>60</v>
      </c>
      <c r="Q79" s="77">
        <v>1080</v>
      </c>
      <c r="R79" s="77">
        <v>50</v>
      </c>
      <c r="S79" s="78">
        <v>480</v>
      </c>
      <c r="T79" s="69"/>
      <c r="U79" s="63">
        <v>675</v>
      </c>
      <c r="V79" s="63">
        <v>167.5</v>
      </c>
      <c r="W79" s="63">
        <v>480</v>
      </c>
      <c r="X79" s="65">
        <v>35</v>
      </c>
      <c r="Y79" s="14"/>
    </row>
    <row r="80" spans="1:25" x14ac:dyDescent="0.3">
      <c r="A80" s="24">
        <v>1060</v>
      </c>
      <c r="B80" s="22">
        <v>925</v>
      </c>
      <c r="C80" s="22">
        <v>945</v>
      </c>
      <c r="D80" s="26">
        <v>825</v>
      </c>
      <c r="E80" s="22"/>
      <c r="F80" s="22">
        <v>940</v>
      </c>
      <c r="G80" s="22">
        <v>872.5</v>
      </c>
      <c r="H80" s="37"/>
      <c r="I80" s="15">
        <v>3948.5</v>
      </c>
      <c r="K80" s="21">
        <v>1420</v>
      </c>
      <c r="L80" s="79">
        <v>42.5</v>
      </c>
      <c r="M80" s="43">
        <v>1660</v>
      </c>
      <c r="N80" s="43">
        <v>335</v>
      </c>
      <c r="O80" s="43">
        <v>2305</v>
      </c>
      <c r="P80" s="43">
        <v>35</v>
      </c>
      <c r="Q80" s="80">
        <v>880</v>
      </c>
      <c r="R80" s="80"/>
      <c r="S80" s="43">
        <v>210</v>
      </c>
      <c r="T80" s="22"/>
      <c r="U80" s="116">
        <v>3795</v>
      </c>
      <c r="V80" s="22"/>
      <c r="W80" s="22">
        <v>2835</v>
      </c>
      <c r="X80" s="37">
        <v>102.9</v>
      </c>
      <c r="Y80" s="15"/>
    </row>
    <row r="81" spans="1:25" x14ac:dyDescent="0.3">
      <c r="A81" s="24"/>
      <c r="B81" s="22"/>
      <c r="C81" s="22"/>
      <c r="D81" s="25"/>
      <c r="E81" s="22"/>
      <c r="F81" s="22">
        <v>615</v>
      </c>
      <c r="G81" s="22"/>
      <c r="H81" s="37"/>
      <c r="I81" s="15">
        <v>1341.47</v>
      </c>
      <c r="K81" s="21">
        <v>510</v>
      </c>
      <c r="L81" s="79"/>
      <c r="M81" s="43">
        <v>1120</v>
      </c>
      <c r="N81" s="43"/>
      <c r="O81" s="43">
        <v>255</v>
      </c>
      <c r="P81" s="43"/>
      <c r="Q81" s="80">
        <v>130</v>
      </c>
      <c r="R81" s="81"/>
      <c r="S81" s="43">
        <v>48</v>
      </c>
      <c r="T81" s="22"/>
      <c r="U81" s="22">
        <v>300</v>
      </c>
      <c r="V81" s="22"/>
      <c r="W81" s="22">
        <v>835</v>
      </c>
      <c r="X81" s="37">
        <v>24</v>
      </c>
      <c r="Y81" s="15"/>
    </row>
    <row r="82" spans="1:25" x14ac:dyDescent="0.3">
      <c r="A82" s="24"/>
      <c r="B82" s="22"/>
      <c r="C82" s="22"/>
      <c r="D82" s="22"/>
      <c r="E82" s="22"/>
      <c r="F82" s="22">
        <v>1462.52</v>
      </c>
      <c r="G82" s="22"/>
      <c r="H82" s="37"/>
      <c r="I82" s="15">
        <v>4005.15</v>
      </c>
      <c r="K82" s="21">
        <v>280</v>
      </c>
      <c r="L82" s="79"/>
      <c r="M82" s="43">
        <v>300</v>
      </c>
      <c r="N82" s="43"/>
      <c r="O82" s="43">
        <v>156</v>
      </c>
      <c r="P82" s="43"/>
      <c r="Q82" s="43">
        <v>350</v>
      </c>
      <c r="R82" s="43"/>
      <c r="S82" s="43"/>
      <c r="T82" s="22"/>
      <c r="U82" s="22">
        <v>540</v>
      </c>
      <c r="V82" s="22"/>
      <c r="W82" s="22">
        <v>372</v>
      </c>
      <c r="X82" s="37">
        <v>382.5</v>
      </c>
      <c r="Y82" s="15"/>
    </row>
    <row r="83" spans="1:25" x14ac:dyDescent="0.3">
      <c r="A83" s="24"/>
      <c r="B83" s="22"/>
      <c r="C83" s="22"/>
      <c r="D83" s="22"/>
      <c r="E83" s="22"/>
      <c r="F83" s="22"/>
      <c r="G83" s="22"/>
      <c r="H83" s="37"/>
      <c r="I83" s="15">
        <v>461.2</v>
      </c>
      <c r="K83" s="21">
        <v>222</v>
      </c>
      <c r="L83" s="79"/>
      <c r="M83" s="43">
        <v>120</v>
      </c>
      <c r="N83" s="43"/>
      <c r="O83" s="43"/>
      <c r="P83" s="43"/>
      <c r="Q83" s="43"/>
      <c r="R83" s="43"/>
      <c r="S83" s="43"/>
      <c r="T83" s="22"/>
      <c r="U83" s="22">
        <v>26</v>
      </c>
      <c r="V83" s="22"/>
      <c r="W83" s="22">
        <v>26</v>
      </c>
      <c r="X83" s="37"/>
      <c r="Y83" s="15"/>
    </row>
    <row r="84" spans="1:25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20814.07</v>
      </c>
      <c r="K84" s="21">
        <v>24</v>
      </c>
      <c r="L84" s="79"/>
      <c r="M84" s="43"/>
      <c r="N84" s="43"/>
      <c r="O84" s="43"/>
      <c r="P84" s="43"/>
      <c r="Q84" s="43"/>
      <c r="R84" s="43"/>
      <c r="S84" s="43"/>
      <c r="T84" s="22"/>
      <c r="U84" s="22"/>
      <c r="V84" s="22"/>
      <c r="W84" s="22"/>
      <c r="X84" s="37"/>
      <c r="Y84" s="83"/>
    </row>
    <row r="85" spans="1:25" ht="15.6" thickTop="1" thickBot="1" x14ac:dyDescent="0.35">
      <c r="A85" s="24"/>
      <c r="B85" s="22"/>
      <c r="C85" s="22"/>
      <c r="D85" s="22"/>
      <c r="E85" s="22"/>
      <c r="F85" s="22"/>
      <c r="G85" s="22"/>
      <c r="H85" s="22"/>
      <c r="I85" s="40"/>
      <c r="K85" s="24"/>
      <c r="L85" s="56"/>
      <c r="M85" s="22"/>
      <c r="N85" s="22"/>
      <c r="O85" s="22"/>
      <c r="P85" s="22"/>
      <c r="Q85" s="22"/>
      <c r="R85" s="22"/>
      <c r="S85" s="22"/>
      <c r="T85" s="22"/>
      <c r="V85" s="22"/>
      <c r="W85" s="37"/>
      <c r="Y85" s="16"/>
    </row>
    <row r="86" spans="1:25" ht="15" thickTop="1" x14ac:dyDescent="0.3">
      <c r="A86" s="24"/>
      <c r="B86" s="22"/>
      <c r="C86" s="22"/>
      <c r="D86" s="22"/>
      <c r="E86" s="22"/>
      <c r="F86" s="22"/>
      <c r="G86" s="22"/>
      <c r="H86" s="22"/>
      <c r="I86" s="27"/>
      <c r="K86" s="24"/>
      <c r="L86" s="56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38"/>
    </row>
    <row r="87" spans="1:25" x14ac:dyDescent="0.3">
      <c r="A87" s="24"/>
      <c r="B87" s="22"/>
      <c r="C87" s="22"/>
      <c r="D87" s="22"/>
      <c r="E87" s="22"/>
      <c r="F87" s="22"/>
      <c r="G87" s="22"/>
      <c r="H87" s="22"/>
      <c r="I87" s="27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</row>
    <row r="88" spans="1:25" x14ac:dyDescent="0.3">
      <c r="A88" s="24"/>
      <c r="B88" s="22"/>
      <c r="C88" s="22"/>
      <c r="D88" s="22"/>
      <c r="E88" s="22"/>
      <c r="F88" s="22"/>
      <c r="G88" s="22"/>
      <c r="H88" s="22"/>
      <c r="I88" s="23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3"/>
    </row>
    <row r="89" spans="1:25" x14ac:dyDescent="0.3">
      <c r="A89" s="24"/>
      <c r="B89" s="22"/>
      <c r="C89" s="22"/>
      <c r="D89" s="22"/>
      <c r="E89" s="22"/>
      <c r="F89" s="22"/>
      <c r="G89" s="22"/>
      <c r="H89" s="22"/>
      <c r="I89" s="23"/>
      <c r="K89" s="24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</row>
    <row r="90" spans="1:25" x14ac:dyDescent="0.3">
      <c r="A90" s="24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 t="s">
        <v>9</v>
      </c>
      <c r="X90" s="22"/>
      <c r="Y90" s="23"/>
    </row>
    <row r="91" spans="1:25" x14ac:dyDescent="0.3">
      <c r="A91" s="24"/>
      <c r="B91" s="22"/>
      <c r="C91" s="22"/>
      <c r="D91" s="22"/>
      <c r="E91" s="22"/>
      <c r="F91" s="28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8"/>
      <c r="V91" s="28"/>
      <c r="W91" s="22"/>
      <c r="X91" s="22"/>
      <c r="Y91" s="23"/>
    </row>
    <row r="92" spans="1:25" x14ac:dyDescent="0.3">
      <c r="A92" s="24">
        <f t="shared" ref="A92:G92" si="20">SUM(A78:A91)</f>
        <v>4374.99</v>
      </c>
      <c r="B92" s="22">
        <f t="shared" si="20"/>
        <v>4683.12</v>
      </c>
      <c r="C92" s="22">
        <f t="shared" si="20"/>
        <v>4583.0599999999995</v>
      </c>
      <c r="D92" s="22">
        <f t="shared" si="20"/>
        <v>3175.65</v>
      </c>
      <c r="E92" s="22">
        <f t="shared" si="20"/>
        <v>240</v>
      </c>
      <c r="F92" s="22">
        <f t="shared" si="20"/>
        <v>3437.52</v>
      </c>
      <c r="G92" s="22">
        <f t="shared" si="20"/>
        <v>3971.8900000000003</v>
      </c>
      <c r="H92" s="29">
        <f>SUM(A92:G92)+I84</f>
        <v>45280.3</v>
      </c>
      <c r="I92" s="30" t="s">
        <v>7</v>
      </c>
      <c r="K92" s="22">
        <f>SUM(K79:K91)</f>
        <v>3906</v>
      </c>
      <c r="L92" s="22">
        <f>SUM(L79:L91)</f>
        <v>102.5</v>
      </c>
      <c r="M92" s="22">
        <f t="shared" ref="M92:T92" si="21">SUM(M79:M91)</f>
        <v>4530</v>
      </c>
      <c r="N92" s="22">
        <f t="shared" si="21"/>
        <v>929</v>
      </c>
      <c r="O92" s="22">
        <f t="shared" si="21"/>
        <v>4096</v>
      </c>
      <c r="P92" s="22">
        <f t="shared" si="21"/>
        <v>95</v>
      </c>
      <c r="Q92" s="22">
        <f t="shared" si="21"/>
        <v>2440</v>
      </c>
      <c r="R92" s="22">
        <f t="shared" si="21"/>
        <v>50</v>
      </c>
      <c r="S92" s="22">
        <f t="shared" si="21"/>
        <v>738</v>
      </c>
      <c r="T92" s="22">
        <f t="shared" si="21"/>
        <v>0</v>
      </c>
      <c r="U92" s="22">
        <f>SUM(U79:U91)</f>
        <v>5336</v>
      </c>
      <c r="V92" s="22">
        <f t="shared" ref="V92:X92" si="22">SUM(V79:V91)</f>
        <v>167.5</v>
      </c>
      <c r="W92" s="22">
        <f t="shared" si="22"/>
        <v>4548</v>
      </c>
      <c r="X92" s="22">
        <f t="shared" si="22"/>
        <v>544.4</v>
      </c>
      <c r="Y92" s="33"/>
    </row>
    <row r="93" spans="1:25" x14ac:dyDescent="0.3">
      <c r="A93" s="31">
        <v>4374.99</v>
      </c>
      <c r="B93" s="32">
        <v>4683.12</v>
      </c>
      <c r="C93" s="32">
        <v>4583.0600000000004</v>
      </c>
      <c r="D93" s="32">
        <v>3175.65</v>
      </c>
      <c r="E93" s="32">
        <v>240</v>
      </c>
      <c r="F93" s="32">
        <v>3437.52</v>
      </c>
      <c r="G93" s="32">
        <v>3971.89</v>
      </c>
      <c r="H93" s="22">
        <f>SUM(A93:G93)+I84</f>
        <v>45280.3</v>
      </c>
      <c r="I93" s="33" t="s">
        <v>1</v>
      </c>
      <c r="K93" s="32">
        <v>3906</v>
      </c>
      <c r="L93" s="32">
        <v>102.5</v>
      </c>
      <c r="M93" s="32">
        <v>4530</v>
      </c>
      <c r="N93" s="32">
        <v>929</v>
      </c>
      <c r="O93" s="32">
        <v>4096</v>
      </c>
      <c r="P93" s="32">
        <v>95</v>
      </c>
      <c r="Q93" s="32">
        <v>2440</v>
      </c>
      <c r="R93" s="32">
        <v>50</v>
      </c>
      <c r="S93" s="32">
        <v>738</v>
      </c>
      <c r="T93" s="32">
        <v>0</v>
      </c>
      <c r="U93" s="32">
        <v>5336</v>
      </c>
      <c r="V93" s="32">
        <v>167.5</v>
      </c>
      <c r="W93" s="32">
        <v>4548</v>
      </c>
      <c r="X93" s="22">
        <v>544.4</v>
      </c>
      <c r="Y93" s="33"/>
    </row>
    <row r="94" spans="1:25" ht="15" thickBot="1" x14ac:dyDescent="0.35">
      <c r="A94" s="34">
        <f>A92-A93</f>
        <v>0</v>
      </c>
      <c r="B94" s="35">
        <f>B92-B93</f>
        <v>0</v>
      </c>
      <c r="C94" s="35">
        <f t="shared" ref="C94:F94" si="23">C92-C93</f>
        <v>0</v>
      </c>
      <c r="D94" s="35">
        <f t="shared" si="23"/>
        <v>0</v>
      </c>
      <c r="E94" s="35">
        <f t="shared" si="23"/>
        <v>0</v>
      </c>
      <c r="F94" s="35">
        <f t="shared" si="23"/>
        <v>0</v>
      </c>
      <c r="G94" s="35">
        <f>G92-G93</f>
        <v>0</v>
      </c>
      <c r="H94" s="35"/>
      <c r="I94" s="36"/>
      <c r="K94" s="86">
        <f>K92-K93</f>
        <v>0</v>
      </c>
      <c r="L94" s="86">
        <f>L92-L93</f>
        <v>0</v>
      </c>
      <c r="M94" s="86">
        <f t="shared" ref="M94:X94" si="24">M92-M93</f>
        <v>0</v>
      </c>
      <c r="N94" s="86">
        <f t="shared" si="24"/>
        <v>0</v>
      </c>
      <c r="O94" s="86">
        <f t="shared" si="24"/>
        <v>0</v>
      </c>
      <c r="P94" s="86">
        <f t="shared" si="24"/>
        <v>0</v>
      </c>
      <c r="Q94" s="86">
        <f t="shared" si="24"/>
        <v>0</v>
      </c>
      <c r="R94" s="86">
        <f t="shared" si="24"/>
        <v>0</v>
      </c>
      <c r="S94" s="86">
        <f t="shared" si="24"/>
        <v>0</v>
      </c>
      <c r="T94" s="86">
        <f t="shared" si="24"/>
        <v>0</v>
      </c>
      <c r="U94" s="86">
        <f t="shared" si="24"/>
        <v>0</v>
      </c>
      <c r="V94" s="86">
        <f t="shared" si="24"/>
        <v>0</v>
      </c>
      <c r="W94" s="86">
        <f t="shared" si="24"/>
        <v>0</v>
      </c>
      <c r="X94" s="86">
        <f t="shared" si="24"/>
        <v>0</v>
      </c>
      <c r="Y94" s="87"/>
    </row>
    <row r="95" spans="1:25" ht="15.6" thickTop="1" thickBot="1" x14ac:dyDescent="0.35"/>
    <row r="96" spans="1:25" x14ac:dyDescent="0.3">
      <c r="A96" s="17"/>
      <c r="B96" s="17"/>
      <c r="C96" s="17"/>
      <c r="D96" s="17"/>
      <c r="E96" s="17"/>
      <c r="F96" s="17"/>
      <c r="G96" s="17"/>
      <c r="H96" s="19"/>
      <c r="I96" s="20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13"/>
    </row>
    <row r="97" spans="1:25" ht="15" thickBot="1" x14ac:dyDescent="0.35">
      <c r="A97" s="21"/>
      <c r="B97" s="22"/>
      <c r="C97" s="22"/>
      <c r="D97" s="22"/>
      <c r="E97" s="22"/>
      <c r="F97" s="22"/>
      <c r="G97" s="22"/>
      <c r="H97" s="22"/>
      <c r="I97" s="23"/>
      <c r="K97" s="66"/>
      <c r="L97" s="66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14"/>
    </row>
    <row r="98" spans="1:25" x14ac:dyDescent="0.3">
      <c r="A98" s="24"/>
      <c r="B98" s="22"/>
      <c r="C98" s="22"/>
      <c r="D98" s="22"/>
      <c r="E98" s="25"/>
      <c r="F98" s="22"/>
      <c r="G98" s="22"/>
      <c r="H98" s="22"/>
      <c r="I98" s="23"/>
      <c r="K98" s="75"/>
      <c r="L98" s="76"/>
      <c r="M98" s="77"/>
      <c r="N98" s="77"/>
      <c r="O98" s="77"/>
      <c r="P98" s="77"/>
      <c r="Q98" s="77"/>
      <c r="R98" s="77"/>
      <c r="S98" s="78"/>
      <c r="T98" s="69"/>
      <c r="U98" s="63"/>
      <c r="V98" s="63"/>
      <c r="W98" s="63"/>
      <c r="X98" s="65"/>
      <c r="Y98" s="14"/>
    </row>
    <row r="99" spans="1:25" x14ac:dyDescent="0.3">
      <c r="A99" s="24"/>
      <c r="B99" s="22"/>
      <c r="C99" s="22"/>
      <c r="D99" s="26"/>
      <c r="E99" s="22"/>
      <c r="F99" s="22"/>
      <c r="G99" s="22"/>
      <c r="H99" s="22"/>
      <c r="I99" s="27"/>
      <c r="K99" s="21"/>
      <c r="L99" s="79"/>
      <c r="M99" s="43"/>
      <c r="N99" s="43"/>
      <c r="O99" s="43"/>
      <c r="P99" s="43"/>
      <c r="Q99" s="80"/>
      <c r="R99" s="80"/>
      <c r="S99" s="43"/>
      <c r="T99" s="22"/>
      <c r="U99" s="116"/>
      <c r="V99" s="22"/>
      <c r="W99" s="22"/>
      <c r="X99" s="37"/>
      <c r="Y99" s="15"/>
    </row>
    <row r="100" spans="1:25" x14ac:dyDescent="0.3">
      <c r="A100" s="24"/>
      <c r="B100" s="22"/>
      <c r="C100" s="22"/>
      <c r="D100" s="25"/>
      <c r="E100" s="22"/>
      <c r="F100" s="22"/>
      <c r="G100" s="22"/>
      <c r="H100" s="22"/>
      <c r="I100" s="27"/>
      <c r="K100" s="21"/>
      <c r="L100" s="79"/>
      <c r="M100" s="43"/>
      <c r="N100" s="43"/>
      <c r="O100" s="43"/>
      <c r="P100" s="43"/>
      <c r="Q100" s="80"/>
      <c r="R100" s="81"/>
      <c r="S100" s="43"/>
      <c r="T100" s="22"/>
      <c r="U100" s="22"/>
      <c r="V100" s="22"/>
      <c r="W100" s="22"/>
      <c r="X100" s="37"/>
      <c r="Y100" s="15"/>
    </row>
    <row r="101" spans="1:25" x14ac:dyDescent="0.3">
      <c r="A101" s="24"/>
      <c r="B101" s="22"/>
      <c r="C101" s="22"/>
      <c r="D101" s="22"/>
      <c r="E101" s="22"/>
      <c r="F101" s="22"/>
      <c r="G101" s="22"/>
      <c r="H101" s="22"/>
      <c r="I101" s="27"/>
      <c r="K101" s="21"/>
      <c r="L101" s="79"/>
      <c r="M101" s="43"/>
      <c r="N101" s="43"/>
      <c r="O101" s="43"/>
      <c r="P101" s="43"/>
      <c r="Q101" s="43"/>
      <c r="R101" s="43"/>
      <c r="S101" s="43"/>
      <c r="T101" s="22"/>
      <c r="U101" s="22"/>
      <c r="V101" s="22"/>
      <c r="W101" s="22"/>
      <c r="X101" s="37"/>
      <c r="Y101" s="15"/>
    </row>
    <row r="102" spans="1:25" x14ac:dyDescent="0.3">
      <c r="A102" s="24"/>
      <c r="B102" s="22"/>
      <c r="C102" s="22"/>
      <c r="D102" s="22"/>
      <c r="E102" s="22"/>
      <c r="F102" s="22"/>
      <c r="G102" s="22"/>
      <c r="H102" s="22"/>
      <c r="I102" s="27"/>
      <c r="K102" s="21"/>
      <c r="L102" s="79"/>
      <c r="M102" s="43"/>
      <c r="N102" s="43"/>
      <c r="O102" s="43"/>
      <c r="P102" s="43"/>
      <c r="Q102" s="43"/>
      <c r="R102" s="43"/>
      <c r="S102" s="43"/>
      <c r="T102" s="22"/>
      <c r="U102" s="22"/>
      <c r="V102" s="22"/>
      <c r="W102" s="22"/>
      <c r="X102" s="37"/>
      <c r="Y102" s="15"/>
    </row>
    <row r="103" spans="1:25" ht="15" thickBot="1" x14ac:dyDescent="0.35">
      <c r="A103" s="24"/>
      <c r="B103" s="22"/>
      <c r="C103" s="22"/>
      <c r="D103" s="22"/>
      <c r="E103" s="22"/>
      <c r="F103" s="22"/>
      <c r="G103" s="22"/>
      <c r="H103" s="37"/>
      <c r="I103" s="16"/>
      <c r="K103" s="21"/>
      <c r="L103" s="79"/>
      <c r="M103" s="43"/>
      <c r="N103" s="43"/>
      <c r="O103" s="43"/>
      <c r="P103" s="43"/>
      <c r="Q103" s="43"/>
      <c r="R103" s="43"/>
      <c r="S103" s="43"/>
      <c r="T103" s="22"/>
      <c r="U103" s="22"/>
      <c r="V103" s="22"/>
      <c r="W103" s="22"/>
      <c r="X103" s="37"/>
      <c r="Y103" s="83"/>
    </row>
    <row r="104" spans="1:25" ht="15.6" thickTop="1" thickBot="1" x14ac:dyDescent="0.35">
      <c r="A104" s="24"/>
      <c r="B104" s="22"/>
      <c r="C104" s="22"/>
      <c r="D104" s="22"/>
      <c r="E104" s="22"/>
      <c r="F104" s="22"/>
      <c r="G104" s="22"/>
      <c r="H104" s="22"/>
      <c r="I104" s="38"/>
      <c r="K104" s="24"/>
      <c r="L104" s="56"/>
      <c r="M104" s="22"/>
      <c r="N104" s="22"/>
      <c r="O104" s="22"/>
      <c r="P104" s="22"/>
      <c r="Q104" s="22"/>
      <c r="R104" s="22"/>
      <c r="S104" s="22"/>
      <c r="T104" s="22"/>
      <c r="V104" s="22"/>
      <c r="W104" s="37"/>
      <c r="Y104" s="16"/>
    </row>
    <row r="105" spans="1:25" ht="15" thickTop="1" x14ac:dyDescent="0.3">
      <c r="A105" s="24"/>
      <c r="B105" s="22"/>
      <c r="C105" s="22"/>
      <c r="D105" s="22"/>
      <c r="E105" s="22"/>
      <c r="F105" s="22"/>
      <c r="G105" s="22"/>
      <c r="H105" s="22"/>
      <c r="I105" s="23"/>
      <c r="K105" s="24"/>
      <c r="L105" s="56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38"/>
    </row>
    <row r="106" spans="1:25" x14ac:dyDescent="0.3">
      <c r="A106" s="24"/>
      <c r="B106" s="22"/>
      <c r="C106" s="22"/>
      <c r="D106" s="22"/>
      <c r="E106" s="22"/>
      <c r="F106" s="22"/>
      <c r="G106" s="22"/>
      <c r="H106" s="22"/>
      <c r="I106" s="23"/>
      <c r="K106" s="24"/>
      <c r="L106" s="56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3"/>
    </row>
    <row r="107" spans="1:25" x14ac:dyDescent="0.3">
      <c r="A107" s="24"/>
      <c r="B107" s="22"/>
      <c r="C107" s="22"/>
      <c r="D107" s="22"/>
      <c r="E107" s="22"/>
      <c r="F107" s="22"/>
      <c r="G107" s="22"/>
      <c r="H107" s="22"/>
      <c r="I107" s="23"/>
      <c r="K107" s="24"/>
      <c r="L107" s="5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3"/>
    </row>
    <row r="108" spans="1:25" x14ac:dyDescent="0.3">
      <c r="A108" s="24"/>
      <c r="B108" s="22"/>
      <c r="C108" s="22"/>
      <c r="D108" s="22"/>
      <c r="E108" s="22"/>
      <c r="F108" s="22"/>
      <c r="G108" s="22"/>
      <c r="H108" s="22"/>
      <c r="I108" s="23"/>
      <c r="K108" s="24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3"/>
    </row>
    <row r="109" spans="1:25" x14ac:dyDescent="0.3">
      <c r="A109" s="24"/>
      <c r="B109" s="22"/>
      <c r="C109" s="22"/>
      <c r="D109" s="22"/>
      <c r="E109" s="22"/>
      <c r="F109" s="22"/>
      <c r="G109" s="22"/>
      <c r="H109" s="22"/>
      <c r="I109" s="23"/>
      <c r="K109" s="24"/>
      <c r="L109" s="56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3"/>
    </row>
    <row r="110" spans="1:25" x14ac:dyDescent="0.3">
      <c r="A110" s="24"/>
      <c r="B110" s="22"/>
      <c r="C110" s="22"/>
      <c r="D110" s="22"/>
      <c r="E110" s="22"/>
      <c r="F110" s="28"/>
      <c r="G110" s="22"/>
      <c r="H110" s="22"/>
      <c r="I110" s="23"/>
      <c r="K110" s="24"/>
      <c r="L110" s="56"/>
      <c r="M110" s="22"/>
      <c r="N110" s="22"/>
      <c r="O110" s="22"/>
      <c r="P110" s="22"/>
      <c r="Q110" s="22"/>
      <c r="R110" s="22"/>
      <c r="S110" s="22"/>
      <c r="T110" s="22"/>
      <c r="U110" s="28"/>
      <c r="V110" s="28"/>
      <c r="W110" s="22"/>
      <c r="X110" s="22"/>
      <c r="Y110" s="23"/>
    </row>
    <row r="111" spans="1:25" x14ac:dyDescent="0.3">
      <c r="A111" s="24"/>
      <c r="B111" s="22"/>
      <c r="C111" s="22"/>
      <c r="D111" s="22"/>
      <c r="E111" s="22"/>
      <c r="F111" s="22"/>
      <c r="G111" s="22"/>
      <c r="H111" s="29"/>
      <c r="I111" s="30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33"/>
    </row>
    <row r="112" spans="1:25" x14ac:dyDescent="0.3">
      <c r="A112" s="31"/>
      <c r="B112" s="32"/>
      <c r="C112" s="32"/>
      <c r="D112" s="32"/>
      <c r="E112" s="32"/>
      <c r="F112" s="32"/>
      <c r="G112" s="32"/>
      <c r="H112" s="22"/>
      <c r="I112" s="33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22"/>
      <c r="Y112" s="33"/>
    </row>
    <row r="113" spans="1:25" ht="15" thickBot="1" x14ac:dyDescent="0.35">
      <c r="A113" s="34"/>
      <c r="B113" s="35"/>
      <c r="C113" s="35"/>
      <c r="D113" s="35"/>
      <c r="E113" s="35"/>
      <c r="F113" s="35"/>
      <c r="G113" s="35"/>
      <c r="H113" s="35"/>
      <c r="I113" s="3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7"/>
    </row>
    <row r="114" spans="1:25" ht="15" thickTop="1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79A9-5923-4F67-AAE6-1DF7B99BD4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1491-880F-44EB-8F20-F50E4F4917CB}">
  <dimension ref="A1:Y95"/>
  <sheetViews>
    <sheetView topLeftCell="F46" workbookViewId="0">
      <selection activeCell="K58" sqref="K58:Y75"/>
    </sheetView>
  </sheetViews>
  <sheetFormatPr defaultRowHeight="14.4" x14ac:dyDescent="0.3"/>
  <cols>
    <col min="1" max="9" width="14.6640625" customWidth="1"/>
    <col min="11" max="11" width="11.5546875" customWidth="1"/>
    <col min="12" max="12" width="11.44140625" customWidth="1"/>
    <col min="13" max="13" width="12.33203125" customWidth="1"/>
    <col min="14" max="14" width="10.88671875" customWidth="1"/>
    <col min="15" max="15" width="11.5546875" customWidth="1"/>
    <col min="16" max="16" width="11.44140625" customWidth="1"/>
    <col min="17" max="17" width="11" customWidth="1"/>
    <col min="18" max="18" width="10.33203125" customWidth="1"/>
    <col min="19" max="19" width="10.6640625" customWidth="1"/>
    <col min="20" max="20" width="14" customWidth="1"/>
    <col min="21" max="21" width="11.5546875" customWidth="1"/>
    <col min="22" max="22" width="12.109375" customWidth="1"/>
    <col min="23" max="23" width="13.44140625" customWidth="1"/>
    <col min="24" max="24" width="11.44140625" customWidth="1"/>
    <col min="25" max="25" width="11" customWidth="1"/>
  </cols>
  <sheetData>
    <row r="1" spans="1:25" x14ac:dyDescent="0.3">
      <c r="A1" s="17">
        <v>45203</v>
      </c>
      <c r="B1" s="17">
        <v>45204</v>
      </c>
      <c r="C1" s="17">
        <v>45205</v>
      </c>
      <c r="D1" s="17">
        <v>45206</v>
      </c>
      <c r="E1" s="17">
        <v>45207</v>
      </c>
      <c r="F1" s="17">
        <v>45208</v>
      </c>
      <c r="G1" s="17">
        <v>45209</v>
      </c>
      <c r="H1" s="19"/>
      <c r="I1" s="20" t="s">
        <v>8</v>
      </c>
      <c r="K1" s="59">
        <v>45203</v>
      </c>
      <c r="L1" s="59"/>
      <c r="M1" s="59">
        <v>45204</v>
      </c>
      <c r="N1" s="59"/>
      <c r="O1" s="59">
        <v>45205</v>
      </c>
      <c r="P1" s="59"/>
      <c r="Q1" s="59">
        <v>45206</v>
      </c>
      <c r="R1" s="59"/>
      <c r="S1" s="59">
        <v>45207</v>
      </c>
      <c r="T1" s="59"/>
      <c r="U1" s="59">
        <v>45208</v>
      </c>
      <c r="V1" s="59"/>
      <c r="W1" s="59">
        <v>45209</v>
      </c>
      <c r="X1" s="59"/>
      <c r="Y1" s="13"/>
    </row>
    <row r="2" spans="1:25" ht="15" thickBot="1" x14ac:dyDescent="0.35">
      <c r="A2" s="21">
        <v>1462.52</v>
      </c>
      <c r="B2" s="22">
        <v>2300</v>
      </c>
      <c r="C2" s="22">
        <v>1444.39</v>
      </c>
      <c r="D2" s="22">
        <v>1493.4</v>
      </c>
      <c r="E2" s="22">
        <v>325</v>
      </c>
      <c r="F2" s="22">
        <v>1274.3900000000001</v>
      </c>
      <c r="G2" s="22">
        <v>710</v>
      </c>
      <c r="H2" s="22"/>
      <c r="I2" s="23">
        <v>631.08000000000004</v>
      </c>
      <c r="K2" s="66" t="s">
        <v>10</v>
      </c>
      <c r="L2" s="66" t="s">
        <v>11</v>
      </c>
      <c r="M2" s="67" t="s">
        <v>10</v>
      </c>
      <c r="N2" s="67" t="s">
        <v>11</v>
      </c>
      <c r="O2" s="67" t="s">
        <v>10</v>
      </c>
      <c r="P2" s="67" t="s">
        <v>11</v>
      </c>
      <c r="Q2" s="67" t="s">
        <v>10</v>
      </c>
      <c r="R2" s="67" t="s">
        <v>11</v>
      </c>
      <c r="S2" s="67" t="s">
        <v>10</v>
      </c>
      <c r="T2" s="67" t="s">
        <v>11</v>
      </c>
      <c r="U2" s="67" t="s">
        <v>10</v>
      </c>
      <c r="V2" s="67" t="s">
        <v>11</v>
      </c>
      <c r="W2" s="67" t="s">
        <v>10</v>
      </c>
      <c r="X2" s="67" t="s">
        <v>11</v>
      </c>
      <c r="Y2" s="14"/>
    </row>
    <row r="3" spans="1:25" x14ac:dyDescent="0.3">
      <c r="A3" s="24">
        <v>1675</v>
      </c>
      <c r="B3" s="22">
        <v>975</v>
      </c>
      <c r="C3" s="22">
        <v>1470</v>
      </c>
      <c r="D3" s="22">
        <v>950</v>
      </c>
      <c r="E3" s="25"/>
      <c r="F3" s="22">
        <v>2245</v>
      </c>
      <c r="G3" s="22">
        <v>1490</v>
      </c>
      <c r="H3" s="22"/>
      <c r="I3" s="23">
        <v>4005.15</v>
      </c>
      <c r="K3" s="75">
        <v>360</v>
      </c>
      <c r="L3" s="76">
        <v>204</v>
      </c>
      <c r="M3" s="77">
        <v>830</v>
      </c>
      <c r="N3" s="77">
        <v>57.5</v>
      </c>
      <c r="O3" s="77">
        <v>480</v>
      </c>
      <c r="P3" s="77">
        <v>180</v>
      </c>
      <c r="Q3" s="77">
        <v>120</v>
      </c>
      <c r="R3" s="77">
        <v>2220</v>
      </c>
      <c r="S3" s="78">
        <v>690</v>
      </c>
      <c r="T3" s="69">
        <v>10</v>
      </c>
      <c r="U3" s="63">
        <v>600</v>
      </c>
      <c r="V3" s="63">
        <v>24</v>
      </c>
      <c r="W3" s="63">
        <v>500</v>
      </c>
      <c r="X3" s="65">
        <v>35</v>
      </c>
      <c r="Y3" s="14"/>
    </row>
    <row r="4" spans="1:25" x14ac:dyDescent="0.3">
      <c r="A4" s="24">
        <v>847.5</v>
      </c>
      <c r="B4" s="22">
        <v>1231.92</v>
      </c>
      <c r="C4" s="22">
        <v>465</v>
      </c>
      <c r="D4" s="26">
        <v>680</v>
      </c>
      <c r="E4" s="22"/>
      <c r="F4" s="22">
        <v>910</v>
      </c>
      <c r="G4" s="22">
        <v>2013</v>
      </c>
      <c r="H4" s="22"/>
      <c r="I4" s="27">
        <v>5289.97</v>
      </c>
      <c r="K4" s="21">
        <v>2575</v>
      </c>
      <c r="L4" s="79">
        <v>10</v>
      </c>
      <c r="M4" s="43">
        <v>26</v>
      </c>
      <c r="N4" s="43">
        <v>10</v>
      </c>
      <c r="O4" s="43">
        <v>2795</v>
      </c>
      <c r="P4" s="43">
        <v>50</v>
      </c>
      <c r="Q4" s="80">
        <v>2660</v>
      </c>
      <c r="R4" s="80">
        <v>50</v>
      </c>
      <c r="S4" s="43">
        <v>72</v>
      </c>
      <c r="T4" s="22"/>
      <c r="U4" s="116">
        <v>3445</v>
      </c>
      <c r="V4" s="22">
        <v>36</v>
      </c>
      <c r="W4" s="22">
        <v>2715</v>
      </c>
      <c r="X4" s="37"/>
      <c r="Y4" s="15"/>
    </row>
    <row r="5" spans="1:25" x14ac:dyDescent="0.3">
      <c r="A5" s="24"/>
      <c r="B5" s="22"/>
      <c r="C5" s="22"/>
      <c r="D5" s="25"/>
      <c r="E5" s="22"/>
      <c r="F5" s="22"/>
      <c r="G5" s="22"/>
      <c r="H5" s="22"/>
      <c r="I5" s="27">
        <v>5525</v>
      </c>
      <c r="K5" s="21">
        <v>222</v>
      </c>
      <c r="L5" s="79"/>
      <c r="M5" s="43">
        <v>2640</v>
      </c>
      <c r="N5" s="43"/>
      <c r="O5" s="43">
        <v>144</v>
      </c>
      <c r="P5" s="43"/>
      <c r="Q5" s="80">
        <v>420</v>
      </c>
      <c r="R5" s="81">
        <v>200</v>
      </c>
      <c r="S5" s="43"/>
      <c r="T5" s="22"/>
      <c r="U5" s="22">
        <v>565</v>
      </c>
      <c r="V5" s="22"/>
      <c r="W5" s="22">
        <v>420</v>
      </c>
      <c r="X5" s="37"/>
      <c r="Y5" s="15"/>
    </row>
    <row r="6" spans="1:25" x14ac:dyDescent="0.3">
      <c r="A6" s="24"/>
      <c r="B6" s="22"/>
      <c r="C6" s="22"/>
      <c r="D6" s="22"/>
      <c r="E6" s="22"/>
      <c r="F6" s="22"/>
      <c r="G6" s="22"/>
      <c r="H6" s="22" t="s">
        <v>9</v>
      </c>
      <c r="I6" s="27">
        <v>5922.75</v>
      </c>
      <c r="K6" s="21">
        <v>655</v>
      </c>
      <c r="L6" s="79"/>
      <c r="M6" s="43">
        <v>372</v>
      </c>
      <c r="N6" s="43"/>
      <c r="O6" s="43">
        <v>945</v>
      </c>
      <c r="P6" s="43"/>
      <c r="Q6" s="43">
        <v>390</v>
      </c>
      <c r="R6" s="43"/>
      <c r="S6" s="43"/>
      <c r="T6" s="22"/>
      <c r="U6" s="22">
        <v>300</v>
      </c>
      <c r="V6" s="22"/>
      <c r="W6" s="22">
        <v>805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22"/>
      <c r="I7" s="27"/>
      <c r="K7" s="21">
        <v>24</v>
      </c>
      <c r="L7" s="79"/>
      <c r="M7" s="43">
        <v>740</v>
      </c>
      <c r="N7" s="43"/>
      <c r="O7" s="43"/>
      <c r="P7" s="43"/>
      <c r="Q7" s="43">
        <v>24</v>
      </c>
      <c r="R7" s="43"/>
      <c r="S7" s="43"/>
      <c r="T7" s="22"/>
      <c r="U7" s="22"/>
      <c r="V7" s="22"/>
      <c r="W7" s="22">
        <v>24</v>
      </c>
      <c r="X7" s="37"/>
      <c r="Y7" s="15"/>
    </row>
    <row r="8" spans="1:25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21373.95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37"/>
      <c r="Y8" s="83"/>
    </row>
    <row r="9" spans="1:25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K9" s="24"/>
      <c r="L9" s="56"/>
      <c r="M9" s="22"/>
      <c r="N9" s="22"/>
      <c r="O9" s="22"/>
      <c r="P9" s="22"/>
      <c r="Q9" s="22"/>
      <c r="R9" s="22"/>
      <c r="S9" s="22"/>
      <c r="T9" s="22"/>
      <c r="V9" s="22"/>
      <c r="W9" s="37"/>
      <c r="Y9" s="16"/>
    </row>
    <row r="10" spans="1:25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5" x14ac:dyDescent="0.3">
      <c r="A11" s="24"/>
      <c r="B11" s="22"/>
      <c r="C11" s="22"/>
      <c r="D11" s="22"/>
      <c r="E11" s="22"/>
      <c r="F11" s="22"/>
      <c r="G11" s="22"/>
      <c r="H11" s="22"/>
      <c r="I11" s="23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 t="s">
        <v>9</v>
      </c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 t="shared" ref="A16:G16" si="0">SUM(A2:A15)</f>
        <v>3985.02</v>
      </c>
      <c r="B16" s="22">
        <f t="shared" si="0"/>
        <v>4506.92</v>
      </c>
      <c r="C16" s="22">
        <f t="shared" si="0"/>
        <v>3379.3900000000003</v>
      </c>
      <c r="D16" s="22">
        <f t="shared" si="0"/>
        <v>3123.4</v>
      </c>
      <c r="E16" s="22">
        <f t="shared" si="0"/>
        <v>325</v>
      </c>
      <c r="F16" s="22">
        <f t="shared" si="0"/>
        <v>4429.3900000000003</v>
      </c>
      <c r="G16" s="22">
        <f t="shared" si="0"/>
        <v>4213</v>
      </c>
      <c r="H16" s="29">
        <f>SUM(A16:G16)+I8</f>
        <v>45336.070000000007</v>
      </c>
      <c r="I16" s="30" t="s">
        <v>7</v>
      </c>
      <c r="K16" s="22">
        <f>SUM(K3:K15)</f>
        <v>3836</v>
      </c>
      <c r="L16" s="22">
        <f>SUM(L3:L15)</f>
        <v>214</v>
      </c>
      <c r="M16" s="22">
        <f t="shared" ref="M16:T16" si="1">SUM(M3:M15)</f>
        <v>4608</v>
      </c>
      <c r="N16" s="22">
        <f t="shared" si="1"/>
        <v>67.5</v>
      </c>
      <c r="O16" s="22">
        <f t="shared" si="1"/>
        <v>4364</v>
      </c>
      <c r="P16" s="22">
        <f t="shared" si="1"/>
        <v>230</v>
      </c>
      <c r="Q16" s="22">
        <f t="shared" si="1"/>
        <v>3614</v>
      </c>
      <c r="R16" s="22">
        <f t="shared" si="1"/>
        <v>2470</v>
      </c>
      <c r="S16" s="22">
        <f t="shared" si="1"/>
        <v>762</v>
      </c>
      <c r="T16" s="22">
        <f t="shared" si="1"/>
        <v>10</v>
      </c>
      <c r="U16" s="22">
        <f>SUM(U3:U15)</f>
        <v>4910</v>
      </c>
      <c r="V16" s="22">
        <f t="shared" ref="V16:X16" si="2">SUM(V3:V15)</f>
        <v>60</v>
      </c>
      <c r="W16" s="22">
        <f t="shared" si="2"/>
        <v>4464</v>
      </c>
      <c r="X16" s="22">
        <f t="shared" si="2"/>
        <v>35</v>
      </c>
      <c r="Y16" s="33"/>
    </row>
    <row r="17" spans="1:25" x14ac:dyDescent="0.3">
      <c r="A17" s="31">
        <v>3985.02</v>
      </c>
      <c r="B17" s="32">
        <v>4506.92</v>
      </c>
      <c r="C17" s="32">
        <v>3379.39</v>
      </c>
      <c r="D17" s="32">
        <v>3123.4</v>
      </c>
      <c r="E17" s="32">
        <v>325</v>
      </c>
      <c r="F17" s="32">
        <v>4429.3900000000003</v>
      </c>
      <c r="G17" s="32">
        <v>4213</v>
      </c>
      <c r="H17" s="22">
        <f>SUM(A17:G17)+I8</f>
        <v>45336.07</v>
      </c>
      <c r="I17" s="33" t="s">
        <v>1</v>
      </c>
      <c r="K17" s="32">
        <v>3836</v>
      </c>
      <c r="L17" s="32">
        <v>214</v>
      </c>
      <c r="M17" s="32">
        <v>4608</v>
      </c>
      <c r="N17" s="32">
        <v>67.5</v>
      </c>
      <c r="O17" s="32">
        <v>4364</v>
      </c>
      <c r="P17" s="32">
        <v>230</v>
      </c>
      <c r="Q17" s="32">
        <v>3614</v>
      </c>
      <c r="R17" s="32">
        <v>2470</v>
      </c>
      <c r="S17" s="32">
        <v>762</v>
      </c>
      <c r="T17" s="32">
        <v>10</v>
      </c>
      <c r="U17" s="32">
        <v>4910</v>
      </c>
      <c r="V17" s="32">
        <v>60</v>
      </c>
      <c r="W17" s="32">
        <v>4464</v>
      </c>
      <c r="X17" s="22">
        <v>35</v>
      </c>
      <c r="Y17" s="33"/>
    </row>
    <row r="18" spans="1:25" ht="15" thickBot="1" x14ac:dyDescent="0.35">
      <c r="A18" s="34">
        <f>A16-A17</f>
        <v>0</v>
      </c>
      <c r="B18" s="35">
        <f>B16-B17</f>
        <v>0</v>
      </c>
      <c r="C18" s="35">
        <f t="shared" ref="C18:F18" si="3">C16-C17</f>
        <v>0</v>
      </c>
      <c r="D18" s="35">
        <f t="shared" si="3"/>
        <v>0</v>
      </c>
      <c r="E18" s="35">
        <f t="shared" si="3"/>
        <v>0</v>
      </c>
      <c r="F18" s="35">
        <f t="shared" si="3"/>
        <v>0</v>
      </c>
      <c r="G18" s="35">
        <f>G16-G17</f>
        <v>0</v>
      </c>
      <c r="H18" s="35"/>
      <c r="I18" s="36"/>
      <c r="K18" s="86">
        <f>K16-K17</f>
        <v>0</v>
      </c>
      <c r="L18" s="86">
        <f>L16-L17</f>
        <v>0</v>
      </c>
      <c r="M18" s="86">
        <f t="shared" ref="M18:X18" si="4">M16-M17</f>
        <v>0</v>
      </c>
      <c r="N18" s="86">
        <f t="shared" si="4"/>
        <v>0</v>
      </c>
      <c r="O18" s="86">
        <f t="shared" si="4"/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7"/>
    </row>
    <row r="19" spans="1:25" ht="15.6" thickTop="1" thickBot="1" x14ac:dyDescent="0.35"/>
    <row r="20" spans="1:25" x14ac:dyDescent="0.3">
      <c r="A20" s="17">
        <v>45210</v>
      </c>
      <c r="B20" s="17">
        <v>45211</v>
      </c>
      <c r="C20" s="17">
        <v>45212</v>
      </c>
      <c r="D20" s="17">
        <v>45213</v>
      </c>
      <c r="E20" s="17">
        <v>45214</v>
      </c>
      <c r="F20" s="17">
        <v>45215</v>
      </c>
      <c r="G20" s="17">
        <v>45216</v>
      </c>
      <c r="H20" s="39"/>
      <c r="I20" s="13" t="s">
        <v>8</v>
      </c>
      <c r="K20" s="59">
        <v>45210</v>
      </c>
      <c r="L20" s="59"/>
      <c r="M20" s="59">
        <v>45211</v>
      </c>
      <c r="N20" s="59"/>
      <c r="O20" s="59">
        <v>45212</v>
      </c>
      <c r="P20" s="59"/>
      <c r="Q20" s="59">
        <v>45213</v>
      </c>
      <c r="R20" s="59"/>
      <c r="S20" s="59">
        <v>45214</v>
      </c>
      <c r="T20" s="59"/>
      <c r="U20" s="59">
        <v>45215</v>
      </c>
      <c r="V20" s="59"/>
      <c r="W20" s="59">
        <v>45216</v>
      </c>
      <c r="X20" s="59"/>
      <c r="Y20" s="13"/>
    </row>
    <row r="21" spans="1:25" ht="15" thickBot="1" x14ac:dyDescent="0.35">
      <c r="A21" s="21">
        <v>1349.39</v>
      </c>
      <c r="B21" s="22">
        <v>1693.12</v>
      </c>
      <c r="C21" s="22">
        <v>1674.93</v>
      </c>
      <c r="D21" s="22">
        <v>500</v>
      </c>
      <c r="E21" s="22">
        <v>240</v>
      </c>
      <c r="F21" s="22">
        <v>710</v>
      </c>
      <c r="G21" s="22">
        <v>1412.16</v>
      </c>
      <c r="H21" s="37"/>
      <c r="I21" s="14">
        <v>5922.75</v>
      </c>
      <c r="K21" s="66" t="s">
        <v>10</v>
      </c>
      <c r="L21" s="66" t="s">
        <v>11</v>
      </c>
      <c r="M21" s="67" t="s">
        <v>10</v>
      </c>
      <c r="N21" s="67" t="s">
        <v>11</v>
      </c>
      <c r="O21" s="67" t="s">
        <v>10</v>
      </c>
      <c r="P21" s="67" t="s">
        <v>11</v>
      </c>
      <c r="Q21" s="67" t="s">
        <v>10</v>
      </c>
      <c r="R21" s="67" t="s">
        <v>11</v>
      </c>
      <c r="S21" s="67" t="s">
        <v>10</v>
      </c>
      <c r="T21" s="67" t="s">
        <v>11</v>
      </c>
      <c r="U21" s="67" t="s">
        <v>10</v>
      </c>
      <c r="V21" s="67" t="s">
        <v>11</v>
      </c>
      <c r="W21" s="67" t="s">
        <v>10</v>
      </c>
      <c r="X21" s="67" t="s">
        <v>11</v>
      </c>
      <c r="Y21" s="14"/>
    </row>
    <row r="22" spans="1:25" x14ac:dyDescent="0.3">
      <c r="A22" s="24">
        <v>2075</v>
      </c>
      <c r="B22" s="22">
        <v>1655</v>
      </c>
      <c r="C22" s="22">
        <v>1455</v>
      </c>
      <c r="D22" s="22">
        <v>1035</v>
      </c>
      <c r="E22" s="25"/>
      <c r="F22" s="22">
        <v>1760</v>
      </c>
      <c r="G22" s="22">
        <v>2030</v>
      </c>
      <c r="H22" s="37"/>
      <c r="I22" s="14">
        <v>5607.5</v>
      </c>
      <c r="K22" s="75">
        <v>800</v>
      </c>
      <c r="L22" s="76">
        <v>79.5</v>
      </c>
      <c r="M22" s="77">
        <v>480</v>
      </c>
      <c r="N22" s="77">
        <v>60</v>
      </c>
      <c r="O22" s="77">
        <v>515</v>
      </c>
      <c r="P22" s="77">
        <v>840</v>
      </c>
      <c r="Q22" s="77">
        <v>300</v>
      </c>
      <c r="R22" s="77">
        <v>30</v>
      </c>
      <c r="S22" s="78">
        <v>760</v>
      </c>
      <c r="T22" s="69"/>
      <c r="U22" s="63">
        <v>840</v>
      </c>
      <c r="V22" s="63">
        <v>50</v>
      </c>
      <c r="W22" s="63">
        <v>430</v>
      </c>
      <c r="X22" s="65">
        <v>62.5</v>
      </c>
      <c r="Y22" s="14"/>
    </row>
    <row r="23" spans="1:25" x14ac:dyDescent="0.3">
      <c r="A23" s="24">
        <v>802.5</v>
      </c>
      <c r="B23" s="22">
        <v>855</v>
      </c>
      <c r="C23" s="22">
        <v>640</v>
      </c>
      <c r="D23" s="26"/>
      <c r="E23" s="22"/>
      <c r="F23" s="22">
        <v>1608.06</v>
      </c>
      <c r="G23" s="22">
        <v>825</v>
      </c>
      <c r="H23" s="37"/>
      <c r="I23" s="15">
        <v>5605.51</v>
      </c>
      <c r="K23" s="21">
        <v>1935</v>
      </c>
      <c r="L23" s="79"/>
      <c r="M23" s="43">
        <v>3285</v>
      </c>
      <c r="N23" s="43">
        <v>95</v>
      </c>
      <c r="O23" s="43">
        <v>2835</v>
      </c>
      <c r="P23" s="43">
        <v>50</v>
      </c>
      <c r="Q23" s="80">
        <v>440</v>
      </c>
      <c r="R23" s="80">
        <v>382.5</v>
      </c>
      <c r="S23" s="43">
        <v>72</v>
      </c>
      <c r="T23" s="22"/>
      <c r="U23" s="22">
        <v>3080</v>
      </c>
      <c r="V23" s="22">
        <v>60</v>
      </c>
      <c r="W23" s="22">
        <v>2800</v>
      </c>
      <c r="X23" s="37"/>
      <c r="Y23" s="15"/>
    </row>
    <row r="24" spans="1:25" x14ac:dyDescent="0.3">
      <c r="A24" s="24"/>
      <c r="B24" s="22"/>
      <c r="C24" s="22">
        <v>276.13</v>
      </c>
      <c r="D24" s="25"/>
      <c r="E24" s="22"/>
      <c r="F24" s="22"/>
      <c r="G24" s="22"/>
      <c r="H24" s="37"/>
      <c r="I24" s="15">
        <v>4005.15</v>
      </c>
      <c r="K24" s="21">
        <v>222</v>
      </c>
      <c r="L24" s="79"/>
      <c r="M24" s="43">
        <v>444</v>
      </c>
      <c r="N24" s="43"/>
      <c r="O24" s="43">
        <v>540</v>
      </c>
      <c r="P24" s="43"/>
      <c r="Q24" s="80">
        <v>1760</v>
      </c>
      <c r="R24" s="81">
        <v>960</v>
      </c>
      <c r="S24" s="43"/>
      <c r="T24" s="22"/>
      <c r="U24" s="22">
        <v>800</v>
      </c>
      <c r="V24" s="22"/>
      <c r="W24" s="22">
        <v>372</v>
      </c>
      <c r="X24" s="37"/>
      <c r="Y24" s="15"/>
    </row>
    <row r="25" spans="1:25" x14ac:dyDescent="0.3">
      <c r="A25" s="24"/>
      <c r="B25" s="22"/>
      <c r="C25" s="22"/>
      <c r="D25" s="22"/>
      <c r="E25" s="22"/>
      <c r="F25" s="22"/>
      <c r="G25" s="22"/>
      <c r="H25" s="37"/>
      <c r="I25" s="15">
        <v>230.6</v>
      </c>
      <c r="K25" s="21">
        <v>585</v>
      </c>
      <c r="L25" s="79"/>
      <c r="M25" s="43">
        <v>715</v>
      </c>
      <c r="N25" s="43"/>
      <c r="O25" s="43">
        <v>144</v>
      </c>
      <c r="P25" s="43"/>
      <c r="Q25" s="43"/>
      <c r="R25" s="43"/>
      <c r="S25" s="43"/>
      <c r="T25" s="22"/>
      <c r="U25" s="22">
        <v>300</v>
      </c>
      <c r="V25" s="22"/>
      <c r="W25" s="22">
        <v>730</v>
      </c>
      <c r="X25" s="37"/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740</v>
      </c>
      <c r="K26" s="21">
        <v>24</v>
      </c>
      <c r="L26" s="79"/>
      <c r="M26" s="43">
        <v>24</v>
      </c>
      <c r="N26" s="43"/>
      <c r="O26" s="43"/>
      <c r="P26" s="43"/>
      <c r="Q26" s="43"/>
      <c r="R26" s="43"/>
      <c r="S26" s="43"/>
      <c r="T26" s="22"/>
      <c r="U26" s="22"/>
      <c r="V26" s="22"/>
      <c r="W26" s="22">
        <v>24</v>
      </c>
      <c r="X26" s="37"/>
      <c r="Y26" s="15"/>
    </row>
    <row r="27" spans="1:25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22111.510000000002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23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</row>
    <row r="35" spans="1:25" x14ac:dyDescent="0.3">
      <c r="A35" s="24">
        <f t="shared" ref="A35:G35" si="5">SUM(A21:A34)</f>
        <v>4226.8900000000003</v>
      </c>
      <c r="B35" s="22">
        <f t="shared" si="5"/>
        <v>4203.12</v>
      </c>
      <c r="C35" s="22">
        <f t="shared" si="5"/>
        <v>4046.0600000000004</v>
      </c>
      <c r="D35" s="22">
        <f t="shared" si="5"/>
        <v>1535</v>
      </c>
      <c r="E35" s="22">
        <f t="shared" si="5"/>
        <v>240</v>
      </c>
      <c r="F35" s="22">
        <f t="shared" si="5"/>
        <v>4078.06</v>
      </c>
      <c r="G35" s="22">
        <f t="shared" si="5"/>
        <v>4267.16</v>
      </c>
      <c r="H35" s="29">
        <f>SUM(A35:G35)+I27</f>
        <v>44707.8</v>
      </c>
      <c r="I35" s="30" t="s">
        <v>7</v>
      </c>
      <c r="K35" s="24">
        <f t="shared" ref="K35:Q35" si="6">SUM(K22:K34)</f>
        <v>3566</v>
      </c>
      <c r="L35" s="22">
        <f t="shared" si="6"/>
        <v>79.5</v>
      </c>
      <c r="M35" s="22">
        <f t="shared" si="6"/>
        <v>4948</v>
      </c>
      <c r="N35" s="22">
        <f t="shared" si="6"/>
        <v>155</v>
      </c>
      <c r="O35" s="22">
        <f t="shared" si="6"/>
        <v>4034</v>
      </c>
      <c r="P35" s="22">
        <f t="shared" si="6"/>
        <v>890</v>
      </c>
      <c r="Q35" s="22">
        <f t="shared" si="6"/>
        <v>2500</v>
      </c>
      <c r="R35" s="22">
        <f>SUM(R22:R34)</f>
        <v>1372.5</v>
      </c>
      <c r="S35" s="22">
        <f t="shared" ref="S35:X35" si="7">SUM(S22:S34)</f>
        <v>832</v>
      </c>
      <c r="T35" s="22">
        <f t="shared" si="7"/>
        <v>0</v>
      </c>
      <c r="U35" s="22">
        <f t="shared" si="7"/>
        <v>5020</v>
      </c>
      <c r="V35" s="22">
        <f t="shared" si="7"/>
        <v>110</v>
      </c>
      <c r="W35" s="22">
        <f t="shared" si="7"/>
        <v>4356</v>
      </c>
      <c r="X35" s="22">
        <f t="shared" si="7"/>
        <v>62.5</v>
      </c>
      <c r="Y35" s="33">
        <f>K36+M36+O36+Q36+S36+U36+W36</f>
        <v>25256</v>
      </c>
    </row>
    <row r="36" spans="1:25" x14ac:dyDescent="0.3">
      <c r="A36" s="31">
        <v>4226.8900000000003</v>
      </c>
      <c r="B36" s="32">
        <v>4203.12</v>
      </c>
      <c r="C36" s="32">
        <v>4046.06</v>
      </c>
      <c r="D36" s="32">
        <v>1535</v>
      </c>
      <c r="E36" s="32">
        <v>240</v>
      </c>
      <c r="F36" s="32">
        <v>4078.06</v>
      </c>
      <c r="G36" s="32">
        <v>4267.16</v>
      </c>
      <c r="H36" s="22">
        <f>SUM(A36:G36)+I27</f>
        <v>44707.8</v>
      </c>
      <c r="I36" s="33" t="s">
        <v>1</v>
      </c>
      <c r="K36" s="85">
        <v>3566</v>
      </c>
      <c r="L36" s="32">
        <v>79.5</v>
      </c>
      <c r="M36" s="32">
        <v>4948</v>
      </c>
      <c r="N36" s="32">
        <v>155</v>
      </c>
      <c r="O36" s="32">
        <v>4034</v>
      </c>
      <c r="P36" s="32">
        <v>890</v>
      </c>
      <c r="Q36" s="32">
        <v>2500</v>
      </c>
      <c r="R36" s="32">
        <v>1372.5</v>
      </c>
      <c r="S36" s="32">
        <v>832</v>
      </c>
      <c r="T36" s="32">
        <v>0</v>
      </c>
      <c r="U36" s="32">
        <v>5020</v>
      </c>
      <c r="V36" s="32">
        <v>110</v>
      </c>
      <c r="W36" s="32">
        <v>4356</v>
      </c>
      <c r="X36" s="22">
        <v>62.5</v>
      </c>
      <c r="Y36" s="33">
        <f>L36+N36+P36+R36+T36+V36+X36</f>
        <v>2669.5</v>
      </c>
    </row>
    <row r="37" spans="1:25" ht="15" thickBot="1" x14ac:dyDescent="0.35">
      <c r="A37" s="34">
        <f>A35-A36</f>
        <v>0</v>
      </c>
      <c r="B37" s="35">
        <f>B35-B36</f>
        <v>0</v>
      </c>
      <c r="C37" s="35">
        <f t="shared" ref="C37:F37" si="8">C35-C36</f>
        <v>0</v>
      </c>
      <c r="D37" s="35">
        <f t="shared" si="8"/>
        <v>0</v>
      </c>
      <c r="E37" s="35">
        <f t="shared" si="8"/>
        <v>0</v>
      </c>
      <c r="F37" s="35">
        <f t="shared" si="8"/>
        <v>0</v>
      </c>
      <c r="G37" s="35">
        <f>G35-G36</f>
        <v>0</v>
      </c>
      <c r="H37" s="35"/>
      <c r="I37" s="36"/>
      <c r="K37" s="86">
        <f t="shared" ref="K37:Q37" si="9">K35-K36</f>
        <v>0</v>
      </c>
      <c r="L37" s="86">
        <f t="shared" si="9"/>
        <v>0</v>
      </c>
      <c r="M37" s="86">
        <f t="shared" si="9"/>
        <v>0</v>
      </c>
      <c r="N37" s="86">
        <f t="shared" si="9"/>
        <v>0</v>
      </c>
      <c r="O37" s="86">
        <f t="shared" si="9"/>
        <v>0</v>
      </c>
      <c r="P37" s="86">
        <f t="shared" si="9"/>
        <v>0</v>
      </c>
      <c r="Q37" s="86">
        <f t="shared" si="9"/>
        <v>0</v>
      </c>
      <c r="R37" s="86">
        <f>R35-R36</f>
        <v>0</v>
      </c>
      <c r="S37" s="86">
        <f t="shared" ref="S37:X37" si="10">S35-S36</f>
        <v>0</v>
      </c>
      <c r="T37" s="86">
        <f t="shared" si="10"/>
        <v>0</v>
      </c>
      <c r="U37" s="86">
        <f t="shared" si="10"/>
        <v>0</v>
      </c>
      <c r="V37" s="86">
        <f t="shared" si="10"/>
        <v>0</v>
      </c>
      <c r="W37" s="86">
        <f t="shared" si="10"/>
        <v>0</v>
      </c>
      <c r="X37" s="86">
        <f t="shared" si="10"/>
        <v>0</v>
      </c>
      <c r="Y37" s="87"/>
    </row>
    <row r="38" spans="1:25" ht="15.6" thickTop="1" thickBot="1" x14ac:dyDescent="0.35"/>
    <row r="39" spans="1:25" x14ac:dyDescent="0.3">
      <c r="A39" s="17">
        <v>45217</v>
      </c>
      <c r="B39" s="17">
        <v>45218</v>
      </c>
      <c r="C39" s="17">
        <v>45219</v>
      </c>
      <c r="D39" s="17">
        <v>45220</v>
      </c>
      <c r="E39" s="17">
        <v>45221</v>
      </c>
      <c r="F39" s="17">
        <v>45222</v>
      </c>
      <c r="G39" s="17">
        <v>45223</v>
      </c>
      <c r="H39" s="39"/>
      <c r="I39" s="13" t="s">
        <v>8</v>
      </c>
      <c r="K39" s="59">
        <v>45217</v>
      </c>
      <c r="L39" s="59"/>
      <c r="M39" s="59">
        <v>45218</v>
      </c>
      <c r="N39" s="59"/>
      <c r="O39" s="59">
        <v>45219</v>
      </c>
      <c r="P39" s="59"/>
      <c r="Q39" s="59">
        <v>45220</v>
      </c>
      <c r="R39" s="59"/>
      <c r="S39" s="59">
        <v>45221</v>
      </c>
      <c r="T39" s="59"/>
      <c r="U39" s="59">
        <v>45222</v>
      </c>
      <c r="V39" s="59"/>
      <c r="W39" s="59">
        <v>45223</v>
      </c>
      <c r="X39" s="59"/>
      <c r="Y39" s="13"/>
    </row>
    <row r="40" spans="1:25" ht="15" thickBot="1" x14ac:dyDescent="0.35">
      <c r="A40" s="21">
        <v>1693</v>
      </c>
      <c r="B40" s="22">
        <v>790</v>
      </c>
      <c r="C40" s="22">
        <v>1608.06</v>
      </c>
      <c r="D40" s="22">
        <v>1954.6</v>
      </c>
      <c r="E40" s="22">
        <v>240</v>
      </c>
      <c r="F40" s="22">
        <v>750</v>
      </c>
      <c r="G40" s="22">
        <v>1179.3900000000001</v>
      </c>
      <c r="H40" s="37"/>
      <c r="I40" s="14">
        <v>4785</v>
      </c>
      <c r="K40" s="66" t="s">
        <v>10</v>
      </c>
      <c r="L40" s="66" t="s">
        <v>11</v>
      </c>
      <c r="M40" s="67" t="s">
        <v>10</v>
      </c>
      <c r="N40" s="67" t="s">
        <v>11</v>
      </c>
      <c r="O40" s="67" t="s">
        <v>10</v>
      </c>
      <c r="P40" s="67" t="s">
        <v>11</v>
      </c>
      <c r="Q40" s="67" t="s">
        <v>10</v>
      </c>
      <c r="R40" s="67" t="s">
        <v>11</v>
      </c>
      <c r="S40" s="67" t="s">
        <v>10</v>
      </c>
      <c r="T40" s="67" t="s">
        <v>11</v>
      </c>
      <c r="U40" s="67" t="s">
        <v>10</v>
      </c>
      <c r="V40" s="67" t="s">
        <v>11</v>
      </c>
      <c r="W40" s="67" t="s">
        <v>10</v>
      </c>
      <c r="X40" s="67" t="s">
        <v>11</v>
      </c>
      <c r="Y40" s="14"/>
    </row>
    <row r="41" spans="1:25" x14ac:dyDescent="0.3">
      <c r="A41" s="24">
        <v>1710</v>
      </c>
      <c r="B41" s="22">
        <v>1693</v>
      </c>
      <c r="C41" s="22">
        <v>1725</v>
      </c>
      <c r="D41" s="22">
        <v>1715</v>
      </c>
      <c r="E41" s="25"/>
      <c r="F41" s="22">
        <v>2115</v>
      </c>
      <c r="G41" s="22">
        <v>2090</v>
      </c>
      <c r="H41" s="37"/>
      <c r="I41" s="14">
        <v>5922.75</v>
      </c>
      <c r="K41" s="75">
        <v>620</v>
      </c>
      <c r="L41" s="76">
        <v>840</v>
      </c>
      <c r="M41" s="77">
        <v>372</v>
      </c>
      <c r="N41" s="77">
        <v>96.5</v>
      </c>
      <c r="O41" s="77">
        <v>850</v>
      </c>
      <c r="P41" s="77">
        <v>850</v>
      </c>
      <c r="Q41" s="77">
        <v>2020</v>
      </c>
      <c r="R41" s="77">
        <v>50</v>
      </c>
      <c r="S41" s="78">
        <v>760</v>
      </c>
      <c r="T41" s="69">
        <v>0</v>
      </c>
      <c r="U41" s="63">
        <v>540</v>
      </c>
      <c r="V41" s="63">
        <v>35</v>
      </c>
      <c r="W41" s="63">
        <v>660</v>
      </c>
      <c r="X41" s="65">
        <v>60</v>
      </c>
      <c r="Y41" s="14"/>
    </row>
    <row r="42" spans="1:25" x14ac:dyDescent="0.3">
      <c r="A42" s="24">
        <v>750</v>
      </c>
      <c r="B42" s="22">
        <v>2625</v>
      </c>
      <c r="C42" s="22">
        <v>595</v>
      </c>
      <c r="D42" s="26">
        <v>680</v>
      </c>
      <c r="E42" s="22"/>
      <c r="F42" s="22">
        <v>1377.46</v>
      </c>
      <c r="G42" s="22">
        <v>345</v>
      </c>
      <c r="H42" s="37"/>
      <c r="I42" s="15">
        <v>5289.97</v>
      </c>
      <c r="K42" s="21">
        <v>2650</v>
      </c>
      <c r="L42" s="79">
        <v>27.5</v>
      </c>
      <c r="M42" s="43">
        <v>2540</v>
      </c>
      <c r="N42" s="43">
        <v>850</v>
      </c>
      <c r="O42" s="43">
        <v>2825</v>
      </c>
      <c r="P42" s="43">
        <v>42.5</v>
      </c>
      <c r="Q42" s="80">
        <v>300</v>
      </c>
      <c r="R42" s="80"/>
      <c r="S42" s="43">
        <v>72</v>
      </c>
      <c r="T42" s="22"/>
      <c r="U42" s="22">
        <v>3565</v>
      </c>
      <c r="V42" s="22">
        <v>60</v>
      </c>
      <c r="W42" s="22">
        <v>2575</v>
      </c>
      <c r="X42" s="37">
        <v>110</v>
      </c>
      <c r="Y42" s="15"/>
    </row>
    <row r="43" spans="1:25" x14ac:dyDescent="0.3">
      <c r="A43" s="24"/>
      <c r="B43" s="22"/>
      <c r="C43" s="22"/>
      <c r="D43" s="25"/>
      <c r="E43" s="22"/>
      <c r="F43" s="22"/>
      <c r="G43" s="22"/>
      <c r="H43" s="37"/>
      <c r="I43" s="15">
        <v>4005.15</v>
      </c>
      <c r="K43" s="21">
        <v>222</v>
      </c>
      <c r="L43" s="79"/>
      <c r="M43" s="43">
        <v>710</v>
      </c>
      <c r="N43" s="43">
        <v>60</v>
      </c>
      <c r="O43" s="43">
        <v>144</v>
      </c>
      <c r="P43" s="43"/>
      <c r="Q43" s="80">
        <v>390</v>
      </c>
      <c r="R43" s="81"/>
      <c r="S43" s="43"/>
      <c r="T43" s="22"/>
      <c r="U43" s="22">
        <v>324</v>
      </c>
      <c r="V43" s="22"/>
      <c r="W43" s="22">
        <v>434</v>
      </c>
      <c r="X43" s="37"/>
      <c r="Y43" s="15"/>
    </row>
    <row r="44" spans="1:25" x14ac:dyDescent="0.3">
      <c r="A44" s="24"/>
      <c r="B44" s="22"/>
      <c r="C44" s="22"/>
      <c r="D44" s="22"/>
      <c r="E44" s="22"/>
      <c r="F44" s="22"/>
      <c r="G44" s="22"/>
      <c r="H44" s="37"/>
      <c r="I44" s="15">
        <v>230.6</v>
      </c>
      <c r="K44" s="21">
        <v>590</v>
      </c>
      <c r="L44" s="79"/>
      <c r="M44" s="43">
        <v>24</v>
      </c>
      <c r="N44" s="43"/>
      <c r="O44" s="43">
        <v>885</v>
      </c>
      <c r="P44" s="43"/>
      <c r="Q44" s="43">
        <v>24</v>
      </c>
      <c r="R44" s="43"/>
      <c r="S44" s="43"/>
      <c r="T44" s="22"/>
      <c r="U44" s="22">
        <v>625</v>
      </c>
      <c r="V44" s="22"/>
      <c r="W44" s="22">
        <v>945</v>
      </c>
      <c r="X44" s="37"/>
      <c r="Y44" s="15"/>
    </row>
    <row r="45" spans="1:25" x14ac:dyDescent="0.3">
      <c r="A45" s="24"/>
      <c r="B45" s="22"/>
      <c r="C45" s="22"/>
      <c r="D45" s="22"/>
      <c r="E45" s="22"/>
      <c r="F45" s="22"/>
      <c r="G45" s="22"/>
      <c r="H45" s="37"/>
      <c r="I45" s="15"/>
      <c r="K45" s="21">
        <v>24</v>
      </c>
      <c r="L45" s="79"/>
      <c r="M45" s="43">
        <v>840</v>
      </c>
      <c r="N45" s="43"/>
      <c r="O45" s="43"/>
      <c r="P45" s="43"/>
      <c r="Q45" s="43"/>
      <c r="R45" s="43"/>
      <c r="S45" s="43"/>
      <c r="T45" s="22"/>
      <c r="U45" s="22"/>
      <c r="V45" s="22"/>
      <c r="W45" s="22">
        <v>24</v>
      </c>
      <c r="X45" s="37"/>
      <c r="Y45" s="15"/>
    </row>
    <row r="46" spans="1:25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20233.47</v>
      </c>
      <c r="K46" s="21"/>
      <c r="L46" s="79"/>
      <c r="M46" s="43"/>
      <c r="N46" s="43"/>
      <c r="O46" s="43"/>
      <c r="P46" s="43"/>
      <c r="Q46" s="43"/>
      <c r="R46" s="43"/>
      <c r="S46" s="43"/>
      <c r="T46" s="22"/>
      <c r="U46" s="22"/>
      <c r="V46" s="22"/>
      <c r="W46" s="22"/>
      <c r="X46" s="37"/>
      <c r="Y46" s="83"/>
    </row>
    <row r="47" spans="1:25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K47" s="24"/>
      <c r="L47" s="5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7"/>
      <c r="Y47" s="16">
        <f>SUM(Y40:Y45)</f>
        <v>0</v>
      </c>
    </row>
    <row r="48" spans="1:25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38"/>
    </row>
    <row r="49" spans="1:25" x14ac:dyDescent="0.3">
      <c r="A49" s="24"/>
      <c r="B49" s="22"/>
      <c r="C49" s="22"/>
      <c r="D49" s="22"/>
      <c r="E49" s="22"/>
      <c r="F49" s="22"/>
      <c r="G49" s="22"/>
      <c r="H49" s="22"/>
      <c r="I49" s="23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8"/>
      <c r="V53" s="28"/>
      <c r="W53" s="22"/>
      <c r="X53" s="22"/>
      <c r="Y53" s="23"/>
    </row>
    <row r="54" spans="1:25" x14ac:dyDescent="0.3">
      <c r="A54" s="24">
        <f t="shared" ref="A54:G54" si="11">SUM(A40:A53)</f>
        <v>4153</v>
      </c>
      <c r="B54" s="22">
        <f t="shared" si="11"/>
        <v>5108</v>
      </c>
      <c r="C54" s="22">
        <f t="shared" si="11"/>
        <v>3928.06</v>
      </c>
      <c r="D54" s="22">
        <f t="shared" si="11"/>
        <v>4349.6000000000004</v>
      </c>
      <c r="E54" s="22">
        <f>SUM(E40:E53)</f>
        <v>240</v>
      </c>
      <c r="F54" s="22">
        <f t="shared" si="11"/>
        <v>4242.46</v>
      </c>
      <c r="G54" s="22">
        <f t="shared" si="11"/>
        <v>3614.3900000000003</v>
      </c>
      <c r="H54" s="29">
        <f>SUM(A54:G54)+I46</f>
        <v>45868.979999999996</v>
      </c>
      <c r="I54" s="30" t="s">
        <v>7</v>
      </c>
      <c r="K54" s="24">
        <f t="shared" ref="K54:Q54" si="12">SUM(K41:K53)</f>
        <v>4106</v>
      </c>
      <c r="L54" s="22">
        <f t="shared" si="12"/>
        <v>867.5</v>
      </c>
      <c r="M54" s="22">
        <f t="shared" si="12"/>
        <v>4486</v>
      </c>
      <c r="N54" s="22">
        <f t="shared" si="12"/>
        <v>1006.5</v>
      </c>
      <c r="O54" s="22">
        <f t="shared" si="12"/>
        <v>4704</v>
      </c>
      <c r="P54" s="22">
        <f t="shared" si="12"/>
        <v>892.5</v>
      </c>
      <c r="Q54" s="22">
        <f t="shared" si="12"/>
        <v>2734</v>
      </c>
      <c r="R54" s="22">
        <f>SUM(R41:R53)</f>
        <v>50</v>
      </c>
      <c r="S54" s="22">
        <f t="shared" ref="S54:X54" si="13">SUM(S41:S53)</f>
        <v>832</v>
      </c>
      <c r="T54" s="22">
        <f t="shared" si="13"/>
        <v>0</v>
      </c>
      <c r="U54" s="22">
        <f t="shared" si="13"/>
        <v>5054</v>
      </c>
      <c r="V54" s="22">
        <f t="shared" si="13"/>
        <v>95</v>
      </c>
      <c r="W54" s="22">
        <f t="shared" si="13"/>
        <v>4638</v>
      </c>
      <c r="X54" s="22">
        <f t="shared" si="13"/>
        <v>170</v>
      </c>
      <c r="Y54" s="33">
        <f>K55+M55+O55+Q55+S55+U55+W55</f>
        <v>26554</v>
      </c>
    </row>
    <row r="55" spans="1:25" x14ac:dyDescent="0.3">
      <c r="A55" s="31">
        <v>4153</v>
      </c>
      <c r="B55" s="32">
        <v>5108</v>
      </c>
      <c r="C55" s="32">
        <v>3928.06</v>
      </c>
      <c r="D55" s="32">
        <v>4349.6000000000004</v>
      </c>
      <c r="E55" s="32">
        <v>240</v>
      </c>
      <c r="F55" s="32">
        <v>4242.46</v>
      </c>
      <c r="G55" s="32">
        <v>3614.39</v>
      </c>
      <c r="H55" s="22">
        <f>SUM(A55:G55)+I46</f>
        <v>45868.979999999996</v>
      </c>
      <c r="I55" s="33" t="s">
        <v>1</v>
      </c>
      <c r="K55" s="32">
        <v>4106</v>
      </c>
      <c r="L55" s="32">
        <v>867.5</v>
      </c>
      <c r="M55" s="32">
        <v>4486</v>
      </c>
      <c r="N55" s="32">
        <v>1006.5</v>
      </c>
      <c r="O55" s="32">
        <v>4704</v>
      </c>
      <c r="P55" s="32">
        <v>892.5</v>
      </c>
      <c r="Q55" s="32">
        <v>2734</v>
      </c>
      <c r="R55" s="32">
        <v>50</v>
      </c>
      <c r="S55" s="32">
        <v>832</v>
      </c>
      <c r="T55" s="32">
        <v>0</v>
      </c>
      <c r="U55" s="32">
        <v>5054</v>
      </c>
      <c r="V55" s="32">
        <v>95</v>
      </c>
      <c r="W55" s="32">
        <v>4638</v>
      </c>
      <c r="X55" s="22">
        <v>170</v>
      </c>
      <c r="Y55" s="33">
        <f>L55+N55+P55+R55+T55+V55+X55</f>
        <v>3081.5</v>
      </c>
    </row>
    <row r="56" spans="1:25" ht="15" thickBot="1" x14ac:dyDescent="0.35">
      <c r="A56" s="34">
        <f>A54-A55</f>
        <v>0</v>
      </c>
      <c r="B56" s="35">
        <f>B54-B55</f>
        <v>0</v>
      </c>
      <c r="C56" s="35">
        <f t="shared" ref="C56:F56" si="14">C54-C55</f>
        <v>0</v>
      </c>
      <c r="D56" s="35">
        <f t="shared" si="14"/>
        <v>0</v>
      </c>
      <c r="E56" s="35">
        <f t="shared" si="14"/>
        <v>0</v>
      </c>
      <c r="F56" s="35">
        <f t="shared" si="14"/>
        <v>0</v>
      </c>
      <c r="G56" s="35">
        <f>G54-G55</f>
        <v>0</v>
      </c>
      <c r="H56" s="35"/>
      <c r="I56" s="36"/>
      <c r="K56" s="86">
        <f t="shared" ref="K56:Q56" si="15">K54-K55</f>
        <v>0</v>
      </c>
      <c r="L56" s="86">
        <f t="shared" si="15"/>
        <v>0</v>
      </c>
      <c r="M56" s="86">
        <f t="shared" si="15"/>
        <v>0</v>
      </c>
      <c r="N56" s="86">
        <f t="shared" si="15"/>
        <v>0</v>
      </c>
      <c r="O56" s="86">
        <f t="shared" si="15"/>
        <v>0</v>
      </c>
      <c r="P56" s="86">
        <f t="shared" si="15"/>
        <v>0</v>
      </c>
      <c r="Q56" s="86">
        <f t="shared" si="15"/>
        <v>0</v>
      </c>
      <c r="R56" s="86">
        <f>R54-R55</f>
        <v>0</v>
      </c>
      <c r="S56" s="86">
        <f t="shared" ref="S56:X56" si="16">S54-S55</f>
        <v>0</v>
      </c>
      <c r="T56" s="86">
        <f t="shared" si="16"/>
        <v>0</v>
      </c>
      <c r="U56" s="86">
        <f t="shared" si="16"/>
        <v>0</v>
      </c>
      <c r="V56" s="86">
        <f t="shared" si="16"/>
        <v>0</v>
      </c>
      <c r="W56" s="86">
        <f t="shared" si="16"/>
        <v>0</v>
      </c>
      <c r="X56" s="86">
        <f t="shared" si="16"/>
        <v>0</v>
      </c>
      <c r="Y56" s="87"/>
    </row>
    <row r="57" spans="1:25" ht="15.6" thickTop="1" thickBot="1" x14ac:dyDescent="0.35"/>
    <row r="58" spans="1:25" x14ac:dyDescent="0.3">
      <c r="A58" s="17">
        <v>44859</v>
      </c>
      <c r="B58" s="18">
        <v>44860</v>
      </c>
      <c r="C58" s="18">
        <v>44861</v>
      </c>
      <c r="D58" s="18">
        <v>44862</v>
      </c>
      <c r="E58" s="18">
        <v>44863</v>
      </c>
      <c r="F58" s="18">
        <v>44864</v>
      </c>
      <c r="G58" s="18" t="s">
        <v>15</v>
      </c>
      <c r="H58" s="39"/>
      <c r="I58" s="13" t="s">
        <v>8</v>
      </c>
      <c r="K58" s="59">
        <v>45224</v>
      </c>
      <c r="L58" s="59"/>
      <c r="M58" s="59">
        <v>45225</v>
      </c>
      <c r="N58" s="59"/>
      <c r="O58" s="59">
        <v>45226</v>
      </c>
      <c r="P58" s="59"/>
      <c r="Q58" s="59">
        <v>45227</v>
      </c>
      <c r="R58" s="59"/>
      <c r="S58" s="59">
        <v>45228</v>
      </c>
      <c r="T58" s="59"/>
      <c r="U58" s="59">
        <v>45229</v>
      </c>
      <c r="V58" s="59"/>
      <c r="W58" s="59">
        <v>45230</v>
      </c>
      <c r="X58" s="59"/>
      <c r="Y58" s="13"/>
    </row>
    <row r="59" spans="1:25" ht="15" thickBot="1" x14ac:dyDescent="0.35">
      <c r="A59" s="21">
        <v>1382.52</v>
      </c>
      <c r="B59" s="22">
        <v>1758.06</v>
      </c>
      <c r="C59" s="22">
        <v>1608.06</v>
      </c>
      <c r="D59" s="22">
        <v>1328.98</v>
      </c>
      <c r="E59" s="22">
        <v>360</v>
      </c>
      <c r="F59" s="22">
        <v>1052.5</v>
      </c>
      <c r="G59" s="22">
        <v>645</v>
      </c>
      <c r="H59" s="37"/>
      <c r="I59" s="14">
        <v>230.6</v>
      </c>
      <c r="K59" s="66" t="s">
        <v>10</v>
      </c>
      <c r="L59" s="66" t="s">
        <v>11</v>
      </c>
      <c r="M59" s="67" t="s">
        <v>10</v>
      </c>
      <c r="N59" s="67" t="s">
        <v>11</v>
      </c>
      <c r="O59" s="67" t="s">
        <v>10</v>
      </c>
      <c r="P59" s="67" t="s">
        <v>11</v>
      </c>
      <c r="Q59" s="67" t="s">
        <v>10</v>
      </c>
      <c r="R59" s="67" t="s">
        <v>11</v>
      </c>
      <c r="S59" s="67" t="s">
        <v>10</v>
      </c>
      <c r="T59" s="67" t="s">
        <v>11</v>
      </c>
      <c r="U59" s="67" t="s">
        <v>10</v>
      </c>
      <c r="V59" s="67" t="s">
        <v>11</v>
      </c>
      <c r="W59" s="67" t="s">
        <v>10</v>
      </c>
      <c r="X59" s="67" t="s">
        <v>11</v>
      </c>
      <c r="Y59" s="14"/>
    </row>
    <row r="60" spans="1:25" x14ac:dyDescent="0.3">
      <c r="A60" s="24">
        <v>1695</v>
      </c>
      <c r="B60" s="22">
        <v>1475</v>
      </c>
      <c r="C60" s="22">
        <v>1730</v>
      </c>
      <c r="D60" s="22">
        <v>1455</v>
      </c>
      <c r="E60" s="25"/>
      <c r="F60" s="22">
        <v>1775</v>
      </c>
      <c r="G60" s="22">
        <v>2265</v>
      </c>
      <c r="H60" s="37"/>
      <c r="I60" s="14">
        <v>4877.5</v>
      </c>
      <c r="K60" s="75">
        <v>832</v>
      </c>
      <c r="L60" s="76">
        <v>50</v>
      </c>
      <c r="M60" s="77">
        <v>600</v>
      </c>
      <c r="N60" s="77">
        <v>382.5</v>
      </c>
      <c r="O60" s="77">
        <v>924</v>
      </c>
      <c r="P60" s="77">
        <v>50</v>
      </c>
      <c r="Q60" s="77">
        <v>1350</v>
      </c>
      <c r="R60" s="77">
        <v>60</v>
      </c>
      <c r="S60" s="78">
        <v>660</v>
      </c>
      <c r="T60" s="69">
        <v>840</v>
      </c>
      <c r="U60" s="63">
        <v>22.5</v>
      </c>
      <c r="V60" s="63">
        <v>954</v>
      </c>
      <c r="W60" s="63">
        <v>30</v>
      </c>
      <c r="X60" s="65"/>
      <c r="Y60" s="14"/>
    </row>
    <row r="61" spans="1:25" x14ac:dyDescent="0.3">
      <c r="A61" s="24">
        <v>420</v>
      </c>
      <c r="B61" s="22">
        <v>955</v>
      </c>
      <c r="C61" s="22">
        <v>810</v>
      </c>
      <c r="D61" s="26">
        <v>720</v>
      </c>
      <c r="E61" s="22"/>
      <c r="F61" s="22">
        <v>1377.46</v>
      </c>
      <c r="G61" s="22">
        <v>1843.06</v>
      </c>
      <c r="H61" s="37"/>
      <c r="I61" s="15">
        <v>5289.97</v>
      </c>
      <c r="K61" s="21">
        <v>2420</v>
      </c>
      <c r="L61" s="79">
        <v>300</v>
      </c>
      <c r="M61" s="43">
        <v>3040</v>
      </c>
      <c r="N61" s="43">
        <v>35</v>
      </c>
      <c r="O61" s="43">
        <v>2650</v>
      </c>
      <c r="P61" s="43">
        <v>565</v>
      </c>
      <c r="Q61" s="80">
        <v>420</v>
      </c>
      <c r="R61" s="80">
        <v>780</v>
      </c>
      <c r="S61" s="43">
        <v>72</v>
      </c>
      <c r="T61" s="22">
        <v>3590</v>
      </c>
      <c r="U61" s="22">
        <v>177</v>
      </c>
      <c r="V61" s="22">
        <v>2430</v>
      </c>
      <c r="W61" s="22"/>
      <c r="X61" s="37"/>
      <c r="Y61" s="15"/>
    </row>
    <row r="62" spans="1:25" x14ac:dyDescent="0.3">
      <c r="A62" s="24"/>
      <c r="B62" s="22"/>
      <c r="C62" s="22"/>
      <c r="D62" s="25"/>
      <c r="E62" s="22"/>
      <c r="F62" s="22"/>
      <c r="G62" s="22"/>
      <c r="H62" s="37"/>
      <c r="I62" s="15">
        <v>4005.15</v>
      </c>
      <c r="K62" s="21">
        <v>600</v>
      </c>
      <c r="L62" s="79">
        <v>60</v>
      </c>
      <c r="M62" s="43">
        <v>396</v>
      </c>
      <c r="N62" s="43">
        <v>170</v>
      </c>
      <c r="O62" s="43">
        <v>168</v>
      </c>
      <c r="P62" s="43">
        <v>1410</v>
      </c>
      <c r="Q62" s="80">
        <v>48</v>
      </c>
      <c r="R62" s="81"/>
      <c r="S62" s="43"/>
      <c r="T62" s="22">
        <v>324</v>
      </c>
      <c r="U62" s="22"/>
      <c r="V62" s="22">
        <v>396</v>
      </c>
      <c r="W62" s="22"/>
      <c r="X62" s="37"/>
      <c r="Y62" s="15"/>
    </row>
    <row r="63" spans="1:25" x14ac:dyDescent="0.3">
      <c r="A63" s="24"/>
      <c r="B63" s="22"/>
      <c r="C63" s="22"/>
      <c r="D63" s="22"/>
      <c r="E63" s="22"/>
      <c r="F63" s="22"/>
      <c r="G63" s="22"/>
      <c r="H63" s="37"/>
      <c r="I63" s="15">
        <v>5922.75</v>
      </c>
      <c r="K63" s="21">
        <v>246</v>
      </c>
      <c r="L63" s="79"/>
      <c r="M63" s="43">
        <v>770</v>
      </c>
      <c r="N63" s="43"/>
      <c r="O63" s="43">
        <v>880</v>
      </c>
      <c r="P63" s="43"/>
      <c r="Q63" s="43">
        <v>300</v>
      </c>
      <c r="R63" s="43"/>
      <c r="S63" s="43"/>
      <c r="T63" s="22">
        <v>680</v>
      </c>
      <c r="U63" s="22"/>
      <c r="V63" s="22">
        <v>540</v>
      </c>
      <c r="W63" s="22"/>
      <c r="X63" s="37"/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/>
      <c r="K64" s="21"/>
      <c r="L64" s="79"/>
      <c r="M64" s="43">
        <v>24</v>
      </c>
      <c r="N64" s="43"/>
      <c r="O64" s="43"/>
      <c r="P64" s="43"/>
      <c r="Q64" s="43"/>
      <c r="R64" s="43"/>
      <c r="S64" s="43"/>
      <c r="T64" s="22"/>
      <c r="U64" s="22"/>
      <c r="V64" s="22"/>
      <c r="W64" s="22"/>
      <c r="X64" s="37"/>
      <c r="Y64" s="15"/>
    </row>
    <row r="65" spans="1:25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20325.97</v>
      </c>
      <c r="K65" s="21"/>
      <c r="L65" s="79"/>
      <c r="M65" s="43"/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37"/>
      <c r="Y65" s="83"/>
    </row>
    <row r="66" spans="1:25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37"/>
      <c r="Y66" s="16">
        <f>SUM(Y59:Y64)</f>
        <v>0</v>
      </c>
    </row>
    <row r="67" spans="1:25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38"/>
    </row>
    <row r="68" spans="1:25" x14ac:dyDescent="0.3">
      <c r="A68" s="24"/>
      <c r="B68" s="22"/>
      <c r="C68" s="22"/>
      <c r="D68" s="22"/>
      <c r="E68" s="22"/>
      <c r="F68" s="22"/>
      <c r="G68" s="22"/>
      <c r="H68" s="22"/>
      <c r="I68" s="23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8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8"/>
      <c r="V72" s="28"/>
      <c r="W72" s="22"/>
      <c r="X72" s="22"/>
      <c r="Y72" s="23"/>
    </row>
    <row r="73" spans="1:25" x14ac:dyDescent="0.3">
      <c r="A73" s="24">
        <f t="shared" ref="A73:G73" si="17">SUM(A59:A72)</f>
        <v>3497.52</v>
      </c>
      <c r="B73" s="22">
        <f t="shared" si="17"/>
        <v>4188.0599999999995</v>
      </c>
      <c r="C73" s="22">
        <f t="shared" si="17"/>
        <v>4148.0599999999995</v>
      </c>
      <c r="D73" s="22">
        <f t="shared" si="17"/>
        <v>3503.98</v>
      </c>
      <c r="E73" s="22">
        <f t="shared" si="17"/>
        <v>360</v>
      </c>
      <c r="F73" s="22">
        <f t="shared" si="17"/>
        <v>4204.96</v>
      </c>
      <c r="G73" s="22">
        <f t="shared" si="17"/>
        <v>4753.0599999999995</v>
      </c>
      <c r="H73" s="29">
        <f>SUM(A73:G73)+I65</f>
        <v>44981.61</v>
      </c>
      <c r="I73" s="30" t="s">
        <v>7</v>
      </c>
      <c r="K73" s="24">
        <f t="shared" ref="K73:Q73" si="18">SUM(K60:K72)</f>
        <v>4098</v>
      </c>
      <c r="L73" s="22">
        <f t="shared" si="18"/>
        <v>410</v>
      </c>
      <c r="M73" s="22">
        <f t="shared" si="18"/>
        <v>4830</v>
      </c>
      <c r="N73" s="22">
        <f t="shared" si="18"/>
        <v>587.5</v>
      </c>
      <c r="O73" s="22">
        <f t="shared" si="18"/>
        <v>4622</v>
      </c>
      <c r="P73" s="22">
        <f t="shared" si="18"/>
        <v>2025</v>
      </c>
      <c r="Q73" s="22">
        <f t="shared" si="18"/>
        <v>2118</v>
      </c>
      <c r="R73" s="22">
        <f>SUM(R60:R72)</f>
        <v>840</v>
      </c>
      <c r="S73" s="22">
        <f t="shared" ref="S73:X73" si="19">SUM(S60:S72)</f>
        <v>732</v>
      </c>
      <c r="T73" s="22">
        <f t="shared" si="19"/>
        <v>5434</v>
      </c>
      <c r="U73" s="22">
        <f t="shared" si="19"/>
        <v>199.5</v>
      </c>
      <c r="V73" s="22">
        <f t="shared" si="19"/>
        <v>4320</v>
      </c>
      <c r="W73" s="22">
        <f t="shared" si="19"/>
        <v>30</v>
      </c>
      <c r="X73" s="22">
        <f t="shared" si="19"/>
        <v>0</v>
      </c>
      <c r="Y73" s="33">
        <f>K74+M74+O74+Q74+S74+U74+W74</f>
        <v>16629.5</v>
      </c>
    </row>
    <row r="74" spans="1:25" x14ac:dyDescent="0.3">
      <c r="A74" s="31">
        <v>3497.52</v>
      </c>
      <c r="B74" s="32">
        <v>4188.0600000000004</v>
      </c>
      <c r="C74" s="32">
        <v>4148.0600000000004</v>
      </c>
      <c r="D74" s="32">
        <v>3503.98</v>
      </c>
      <c r="E74" s="32">
        <v>360</v>
      </c>
      <c r="F74" s="32">
        <v>4204.96</v>
      </c>
      <c r="G74" s="32">
        <v>4753.0600000000004</v>
      </c>
      <c r="H74" s="22">
        <f>SUM(A74:G74)+I65</f>
        <v>44981.61</v>
      </c>
      <c r="I74" s="33" t="s">
        <v>1</v>
      </c>
      <c r="K74" s="32">
        <v>4098</v>
      </c>
      <c r="L74" s="32">
        <v>410</v>
      </c>
      <c r="M74" s="32">
        <v>4830</v>
      </c>
      <c r="N74" s="32">
        <v>587.5</v>
      </c>
      <c r="O74" s="32">
        <v>4622</v>
      </c>
      <c r="P74" s="32">
        <v>2025</v>
      </c>
      <c r="Q74" s="32">
        <v>2118</v>
      </c>
      <c r="R74" s="32">
        <v>840</v>
      </c>
      <c r="S74" s="32">
        <v>732</v>
      </c>
      <c r="T74" s="32">
        <v>5434</v>
      </c>
      <c r="U74" s="32">
        <v>199.5</v>
      </c>
      <c r="V74" s="32">
        <v>4320</v>
      </c>
      <c r="W74" s="32">
        <v>30</v>
      </c>
      <c r="X74" s="22"/>
      <c r="Y74" s="33">
        <f>L74+N74+P74+R74+T74+V74+X74</f>
        <v>13616.5</v>
      </c>
    </row>
    <row r="75" spans="1:25" ht="15" thickBot="1" x14ac:dyDescent="0.35">
      <c r="A75" s="34">
        <f>A73-A74</f>
        <v>0</v>
      </c>
      <c r="B75" s="35">
        <f>B73-B74</f>
        <v>0</v>
      </c>
      <c r="C75" s="35">
        <f t="shared" ref="C75:F75" si="20">C73-C74</f>
        <v>0</v>
      </c>
      <c r="D75" s="35">
        <f t="shared" si="20"/>
        <v>0</v>
      </c>
      <c r="E75" s="35">
        <f t="shared" si="20"/>
        <v>0</v>
      </c>
      <c r="F75" s="35">
        <f t="shared" si="20"/>
        <v>0</v>
      </c>
      <c r="G75" s="35">
        <f>G73-G74</f>
        <v>0</v>
      </c>
      <c r="H75" s="35"/>
      <c r="I75" s="36"/>
      <c r="K75" s="86">
        <f t="shared" ref="K75:Q75" si="21">K73-K74</f>
        <v>0</v>
      </c>
      <c r="L75" s="86">
        <f t="shared" si="21"/>
        <v>0</v>
      </c>
      <c r="M75" s="86">
        <f t="shared" si="21"/>
        <v>0</v>
      </c>
      <c r="N75" s="86">
        <f t="shared" si="21"/>
        <v>0</v>
      </c>
      <c r="O75" s="86">
        <f t="shared" si="21"/>
        <v>0</v>
      </c>
      <c r="P75" s="86">
        <f t="shared" si="21"/>
        <v>0</v>
      </c>
      <c r="Q75" s="86">
        <f t="shared" si="21"/>
        <v>0</v>
      </c>
      <c r="R75" s="86">
        <f>R73-R74</f>
        <v>0</v>
      </c>
      <c r="S75" s="86">
        <f t="shared" ref="S75:X75" si="22">S73-S74</f>
        <v>0</v>
      </c>
      <c r="T75" s="86">
        <f t="shared" si="22"/>
        <v>0</v>
      </c>
      <c r="U75" s="86">
        <f t="shared" si="22"/>
        <v>0</v>
      </c>
      <c r="V75" s="86">
        <f t="shared" si="22"/>
        <v>0</v>
      </c>
      <c r="W75" s="86">
        <f t="shared" si="22"/>
        <v>0</v>
      </c>
      <c r="X75" s="86">
        <f t="shared" si="22"/>
        <v>0</v>
      </c>
      <c r="Y75" s="87"/>
    </row>
    <row r="76" spans="1:25" ht="15.6" thickTop="1" thickBot="1" x14ac:dyDescent="0.35"/>
    <row r="77" spans="1:25" x14ac:dyDescent="0.3">
      <c r="A77" s="17">
        <v>44951</v>
      </c>
      <c r="B77" s="18">
        <v>44952</v>
      </c>
      <c r="C77" s="18">
        <v>44953</v>
      </c>
      <c r="D77" s="18">
        <v>44954</v>
      </c>
      <c r="E77" s="18">
        <v>44955</v>
      </c>
      <c r="F77" s="18">
        <v>44956</v>
      </c>
      <c r="G77" s="18">
        <v>44957</v>
      </c>
      <c r="H77" s="39"/>
      <c r="I77" s="13" t="s">
        <v>8</v>
      </c>
    </row>
    <row r="78" spans="1:25" x14ac:dyDescent="0.3">
      <c r="A78" s="21"/>
      <c r="B78" s="22"/>
      <c r="C78" s="22"/>
      <c r="D78" s="22"/>
      <c r="E78" s="22"/>
      <c r="F78" s="22"/>
      <c r="G78" s="22"/>
      <c r="H78" s="37"/>
      <c r="I78" s="14"/>
    </row>
    <row r="79" spans="1:25" x14ac:dyDescent="0.3">
      <c r="A79" s="24"/>
      <c r="B79" s="22"/>
      <c r="C79" s="22"/>
      <c r="D79" s="22"/>
      <c r="E79" s="25"/>
      <c r="F79" s="22"/>
      <c r="G79" s="22"/>
      <c r="H79" s="37"/>
      <c r="I79" s="14"/>
    </row>
    <row r="80" spans="1:25" x14ac:dyDescent="0.3">
      <c r="A80" s="24"/>
      <c r="B80" s="22"/>
      <c r="C80" s="22"/>
      <c r="D80" s="26"/>
      <c r="E80" s="22"/>
      <c r="F80" s="22"/>
      <c r="G80" s="22"/>
      <c r="H80" s="37"/>
      <c r="I80" s="15"/>
    </row>
    <row r="81" spans="1:9" x14ac:dyDescent="0.3">
      <c r="A81" s="24"/>
      <c r="B81" s="22"/>
      <c r="C81" s="22"/>
      <c r="D81" s="25"/>
      <c r="E81" s="22"/>
      <c r="F81" s="22"/>
      <c r="G81" s="22"/>
      <c r="H81" s="37"/>
      <c r="I81" s="15"/>
    </row>
    <row r="82" spans="1:9" x14ac:dyDescent="0.3">
      <c r="A82" s="24"/>
      <c r="B82" s="22"/>
      <c r="C82" s="22"/>
      <c r="D82" s="22"/>
      <c r="E82" s="22"/>
      <c r="F82" s="22"/>
      <c r="G82" s="22"/>
      <c r="H82" s="37"/>
      <c r="I82" s="15"/>
    </row>
    <row r="83" spans="1:9" x14ac:dyDescent="0.3">
      <c r="A83" s="24"/>
      <c r="B83" s="22"/>
      <c r="C83" s="22"/>
      <c r="D83" s="22"/>
      <c r="E83" s="22"/>
      <c r="F83" s="22"/>
      <c r="G83" s="22"/>
      <c r="H83" s="37"/>
      <c r="I83" s="15"/>
    </row>
    <row r="84" spans="1:9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0</v>
      </c>
    </row>
    <row r="85" spans="1:9" ht="15" thickTop="1" x14ac:dyDescent="0.3">
      <c r="A85" s="24"/>
      <c r="B85" s="22"/>
      <c r="C85" s="22"/>
      <c r="D85" s="22"/>
      <c r="E85" s="22"/>
      <c r="F85" s="22"/>
      <c r="G85" s="22"/>
      <c r="H85" s="22"/>
      <c r="I85" s="40"/>
    </row>
    <row r="86" spans="1:9" x14ac:dyDescent="0.3">
      <c r="A86" s="24"/>
      <c r="B86" s="22"/>
      <c r="C86" s="22"/>
      <c r="D86" s="22"/>
      <c r="E86" s="22"/>
      <c r="F86" s="22"/>
      <c r="G86" s="22"/>
      <c r="H86" s="22"/>
      <c r="I86" s="27"/>
    </row>
    <row r="87" spans="1:9" x14ac:dyDescent="0.3">
      <c r="A87" s="24"/>
      <c r="B87" s="22"/>
      <c r="C87" s="22"/>
      <c r="D87" s="22"/>
      <c r="E87" s="22"/>
      <c r="F87" s="22"/>
      <c r="G87" s="22"/>
      <c r="H87" s="22"/>
      <c r="I87" s="27"/>
    </row>
    <row r="88" spans="1:9" x14ac:dyDescent="0.3">
      <c r="A88" s="24"/>
      <c r="B88" s="22"/>
      <c r="C88" s="22"/>
      <c r="D88" s="22"/>
      <c r="E88" s="22"/>
      <c r="F88" s="22"/>
      <c r="G88" s="22"/>
      <c r="H88" s="22"/>
      <c r="I88" s="23"/>
    </row>
    <row r="89" spans="1:9" x14ac:dyDescent="0.3">
      <c r="A89" s="24"/>
      <c r="B89" s="22"/>
      <c r="C89" s="22"/>
      <c r="D89" s="22"/>
      <c r="E89" s="22"/>
      <c r="F89" s="22"/>
      <c r="G89" s="22"/>
      <c r="H89" s="22"/>
      <c r="I89" s="23"/>
    </row>
    <row r="90" spans="1:9" x14ac:dyDescent="0.3">
      <c r="A90" s="24"/>
      <c r="B90" s="22"/>
      <c r="C90" s="22"/>
      <c r="D90" s="22"/>
      <c r="E90" s="22"/>
      <c r="F90" s="22"/>
      <c r="G90" s="22"/>
      <c r="H90" s="22"/>
      <c r="I90" s="23"/>
    </row>
    <row r="91" spans="1:9" x14ac:dyDescent="0.3">
      <c r="A91" s="24"/>
      <c r="B91" s="22"/>
      <c r="C91" s="22"/>
      <c r="D91" s="22"/>
      <c r="E91" s="22"/>
      <c r="F91" s="28"/>
      <c r="G91" s="22"/>
      <c r="H91" s="22"/>
      <c r="I91" s="23"/>
    </row>
    <row r="92" spans="1:9" x14ac:dyDescent="0.3">
      <c r="A92" s="24">
        <f t="shared" ref="A92:G92" si="23">SUM(A78:A91)</f>
        <v>0</v>
      </c>
      <c r="B92" s="22">
        <f t="shared" si="23"/>
        <v>0</v>
      </c>
      <c r="C92" s="22">
        <f t="shared" si="23"/>
        <v>0</v>
      </c>
      <c r="D92" s="22">
        <f t="shared" si="23"/>
        <v>0</v>
      </c>
      <c r="E92" s="22">
        <f t="shared" si="23"/>
        <v>0</v>
      </c>
      <c r="F92" s="22">
        <f t="shared" si="23"/>
        <v>0</v>
      </c>
      <c r="G92" s="22">
        <f t="shared" si="23"/>
        <v>0</v>
      </c>
      <c r="H92" s="29">
        <f>SUM(A92:G92)+I84</f>
        <v>0</v>
      </c>
      <c r="I92" s="30" t="s">
        <v>7</v>
      </c>
    </row>
    <row r="93" spans="1:9" x14ac:dyDescent="0.3">
      <c r="A93" s="31"/>
      <c r="B93" s="32"/>
      <c r="C93" s="32"/>
      <c r="D93" s="32"/>
      <c r="E93" s="32"/>
      <c r="F93" s="32"/>
      <c r="G93" s="32"/>
      <c r="H93" s="22">
        <f>SUM(A93:G93)</f>
        <v>0</v>
      </c>
      <c r="I93" s="33" t="s">
        <v>1</v>
      </c>
    </row>
    <row r="94" spans="1:9" ht="15" thickBot="1" x14ac:dyDescent="0.35">
      <c r="A94" s="34">
        <f>A92-A93</f>
        <v>0</v>
      </c>
      <c r="B94" s="35">
        <f>B92-B93</f>
        <v>0</v>
      </c>
      <c r="C94" s="35">
        <f t="shared" ref="C94:F94" si="24">C92-C93</f>
        <v>0</v>
      </c>
      <c r="D94" s="35">
        <f t="shared" si="24"/>
        <v>0</v>
      </c>
      <c r="E94" s="35">
        <f t="shared" si="24"/>
        <v>0</v>
      </c>
      <c r="F94" s="35">
        <f t="shared" si="24"/>
        <v>0</v>
      </c>
      <c r="G94" s="35">
        <f>G92-G93</f>
        <v>0</v>
      </c>
      <c r="H94" s="35"/>
      <c r="I94" s="36"/>
    </row>
    <row r="95" spans="1:9" ht="15" thickTop="1" x14ac:dyDescent="0.3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8D53-72C9-4D1C-B159-C3E6FFB7DB0C}">
  <dimension ref="A1:Z95"/>
  <sheetViews>
    <sheetView topLeftCell="F60" workbookViewId="0">
      <selection activeCell="L77" sqref="L77:Z94"/>
    </sheetView>
  </sheetViews>
  <sheetFormatPr defaultRowHeight="14.4" x14ac:dyDescent="0.3"/>
  <cols>
    <col min="1" max="9" width="15.6640625" customWidth="1"/>
    <col min="12" max="12" width="11.88671875" customWidth="1"/>
    <col min="13" max="13" width="11.109375" customWidth="1"/>
    <col min="14" max="14" width="11.5546875" customWidth="1"/>
    <col min="15" max="15" width="11" customWidth="1"/>
    <col min="16" max="16" width="13.109375" customWidth="1"/>
    <col min="17" max="17" width="11.109375" customWidth="1"/>
    <col min="18" max="18" width="12.88671875" customWidth="1"/>
    <col min="19" max="19" width="11" customWidth="1"/>
    <col min="20" max="20" width="10.5546875" customWidth="1"/>
    <col min="22" max="22" width="12.109375" customWidth="1"/>
    <col min="23" max="23" width="11" customWidth="1"/>
    <col min="24" max="24" width="11.6640625" customWidth="1"/>
    <col min="25" max="25" width="11" customWidth="1"/>
    <col min="26" max="26" width="11.6640625" customWidth="1"/>
  </cols>
  <sheetData>
    <row r="1" spans="1:26" x14ac:dyDescent="0.3">
      <c r="A1" s="17">
        <v>45231</v>
      </c>
      <c r="B1" s="17">
        <v>45232</v>
      </c>
      <c r="C1" s="17">
        <v>45233</v>
      </c>
      <c r="D1" s="17">
        <v>45234</v>
      </c>
      <c r="E1" s="17">
        <v>45235</v>
      </c>
      <c r="F1" s="17">
        <v>45236</v>
      </c>
      <c r="G1" s="17">
        <v>45237</v>
      </c>
      <c r="H1" s="19"/>
      <c r="I1" s="118" t="s">
        <v>8</v>
      </c>
      <c r="J1" s="121"/>
      <c r="K1" s="120"/>
      <c r="L1" s="119">
        <v>45231</v>
      </c>
      <c r="M1" s="59"/>
      <c r="N1" s="59">
        <v>45232</v>
      </c>
      <c r="O1" s="59"/>
      <c r="P1" s="59">
        <v>45233</v>
      </c>
      <c r="Q1" s="59"/>
      <c r="R1" s="59">
        <v>45234</v>
      </c>
      <c r="S1" s="59"/>
      <c r="T1" s="59">
        <v>45235</v>
      </c>
      <c r="U1" s="59"/>
      <c r="V1" s="59">
        <v>45236</v>
      </c>
      <c r="W1" s="59"/>
      <c r="X1" s="59">
        <v>45237</v>
      </c>
      <c r="Y1" s="59"/>
      <c r="Z1" s="13"/>
    </row>
    <row r="2" spans="1:26" ht="15" thickBot="1" x14ac:dyDescent="0.35">
      <c r="A2" s="21">
        <v>1928.06</v>
      </c>
      <c r="B2" s="22">
        <v>1175</v>
      </c>
      <c r="C2" s="22">
        <v>1958.06</v>
      </c>
      <c r="D2" s="22">
        <v>1724</v>
      </c>
      <c r="E2" s="22">
        <v>240</v>
      </c>
      <c r="F2" s="22">
        <v>1377.46</v>
      </c>
      <c r="G2" s="22">
        <v>1843</v>
      </c>
      <c r="H2" s="22"/>
      <c r="I2" s="23">
        <v>4590</v>
      </c>
      <c r="L2" s="66" t="s">
        <v>10</v>
      </c>
      <c r="M2" s="66" t="s">
        <v>11</v>
      </c>
      <c r="N2" s="67" t="s">
        <v>10</v>
      </c>
      <c r="O2" s="67" t="s">
        <v>11</v>
      </c>
      <c r="P2" s="67" t="s">
        <v>10</v>
      </c>
      <c r="Q2" s="67" t="s">
        <v>11</v>
      </c>
      <c r="R2" s="67" t="s">
        <v>10</v>
      </c>
      <c r="S2" s="67" t="s">
        <v>11</v>
      </c>
      <c r="T2" s="67" t="s">
        <v>10</v>
      </c>
      <c r="U2" s="67" t="s">
        <v>11</v>
      </c>
      <c r="V2" s="67" t="s">
        <v>10</v>
      </c>
      <c r="W2" s="67" t="s">
        <v>11</v>
      </c>
      <c r="X2" s="67" t="s">
        <v>10</v>
      </c>
      <c r="Y2" s="67" t="s">
        <v>11</v>
      </c>
      <c r="Z2" s="14"/>
    </row>
    <row r="3" spans="1:26" x14ac:dyDescent="0.3">
      <c r="A3" s="24">
        <v>2165</v>
      </c>
      <c r="B3" s="22">
        <v>2690</v>
      </c>
      <c r="C3" s="22">
        <v>1845</v>
      </c>
      <c r="D3" s="22">
        <v>1250</v>
      </c>
      <c r="E3" s="25"/>
      <c r="F3" s="22">
        <v>2135</v>
      </c>
      <c r="G3" s="22">
        <v>1540</v>
      </c>
      <c r="H3" s="22"/>
      <c r="I3" s="23">
        <v>5922.75</v>
      </c>
      <c r="L3" s="75">
        <v>120</v>
      </c>
      <c r="M3" s="76">
        <v>28</v>
      </c>
      <c r="N3" s="77">
        <v>480</v>
      </c>
      <c r="O3" s="77">
        <v>42.5</v>
      </c>
      <c r="P3" s="77">
        <v>600</v>
      </c>
      <c r="Q3" s="77">
        <v>50</v>
      </c>
      <c r="R3" s="77">
        <v>1700</v>
      </c>
      <c r="S3" s="77">
        <v>1680</v>
      </c>
      <c r="T3" s="78">
        <v>760</v>
      </c>
      <c r="U3" s="69">
        <v>0</v>
      </c>
      <c r="V3" s="63">
        <v>960</v>
      </c>
      <c r="W3" s="63">
        <v>35</v>
      </c>
      <c r="X3" s="63">
        <v>600</v>
      </c>
      <c r="Y3" s="65">
        <v>382.5</v>
      </c>
      <c r="Z3" s="14"/>
    </row>
    <row r="4" spans="1:26" x14ac:dyDescent="0.3">
      <c r="A4" s="24">
        <v>975</v>
      </c>
      <c r="B4" s="22">
        <v>1608.06</v>
      </c>
      <c r="C4" s="22">
        <v>740</v>
      </c>
      <c r="D4" s="26">
        <v>830</v>
      </c>
      <c r="E4" s="22"/>
      <c r="F4" s="22">
        <v>1160</v>
      </c>
      <c r="G4" s="22">
        <v>775</v>
      </c>
      <c r="H4" s="22"/>
      <c r="I4" s="27">
        <v>3948.5</v>
      </c>
      <c r="L4" s="21">
        <v>2060</v>
      </c>
      <c r="M4" s="79">
        <v>385</v>
      </c>
      <c r="N4" s="43">
        <v>4315</v>
      </c>
      <c r="O4" s="43">
        <v>2220</v>
      </c>
      <c r="P4" s="43">
        <v>3385</v>
      </c>
      <c r="Q4" s="43">
        <v>223</v>
      </c>
      <c r="R4" s="80">
        <v>228</v>
      </c>
      <c r="S4" s="80">
        <v>50</v>
      </c>
      <c r="T4" s="43">
        <v>72</v>
      </c>
      <c r="U4" s="22"/>
      <c r="V4" s="22">
        <v>4150</v>
      </c>
      <c r="W4" s="22">
        <v>550</v>
      </c>
      <c r="X4" s="22">
        <v>2755</v>
      </c>
      <c r="Y4" s="37">
        <v>60</v>
      </c>
      <c r="Z4" s="15"/>
    </row>
    <row r="5" spans="1:26" x14ac:dyDescent="0.3">
      <c r="A5" s="24"/>
      <c r="B5" s="22"/>
      <c r="C5" s="22"/>
      <c r="D5" s="25"/>
      <c r="E5" s="22"/>
      <c r="F5" s="22"/>
      <c r="G5" s="22"/>
      <c r="H5" s="22"/>
      <c r="I5" s="27">
        <v>1341.47</v>
      </c>
      <c r="L5" s="21">
        <v>246</v>
      </c>
      <c r="M5" s="79"/>
      <c r="N5" s="43">
        <v>748</v>
      </c>
      <c r="O5" s="43">
        <v>30</v>
      </c>
      <c r="P5" s="43">
        <v>168</v>
      </c>
      <c r="Q5" s="43"/>
      <c r="R5" s="80">
        <v>260</v>
      </c>
      <c r="S5" s="81">
        <v>223.9</v>
      </c>
      <c r="T5" s="43"/>
      <c r="U5" s="22"/>
      <c r="V5" s="22">
        <v>396</v>
      </c>
      <c r="W5" s="22"/>
      <c r="X5" s="22">
        <v>396</v>
      </c>
      <c r="Y5" s="37">
        <v>42.5</v>
      </c>
      <c r="Z5" s="15"/>
    </row>
    <row r="6" spans="1:26" x14ac:dyDescent="0.3">
      <c r="A6" s="24"/>
      <c r="B6" s="22"/>
      <c r="C6" s="22"/>
      <c r="D6" s="22"/>
      <c r="E6" s="22"/>
      <c r="F6" s="22"/>
      <c r="G6" s="22"/>
      <c r="H6" s="22"/>
      <c r="I6" s="27">
        <v>4005.15</v>
      </c>
      <c r="L6" s="21">
        <v>590</v>
      </c>
      <c r="M6" s="79"/>
      <c r="N6" s="43">
        <v>396</v>
      </c>
      <c r="O6" s="43"/>
      <c r="P6" s="43">
        <v>725</v>
      </c>
      <c r="Q6" s="43"/>
      <c r="R6" s="43">
        <v>24</v>
      </c>
      <c r="S6" s="43"/>
      <c r="T6" s="43"/>
      <c r="U6" s="22"/>
      <c r="V6" s="22">
        <v>600</v>
      </c>
      <c r="W6" s="22"/>
      <c r="X6" s="22">
        <v>955</v>
      </c>
      <c r="Y6" s="37">
        <v>226.2</v>
      </c>
      <c r="Z6" s="15"/>
    </row>
    <row r="7" spans="1:26" x14ac:dyDescent="0.3">
      <c r="A7" s="24"/>
      <c r="B7" s="22"/>
      <c r="C7" s="22"/>
      <c r="D7" s="22"/>
      <c r="E7" s="22"/>
      <c r="F7" s="22"/>
      <c r="G7" s="22"/>
      <c r="H7" s="22"/>
      <c r="I7" s="27"/>
      <c r="L7" s="21">
        <v>24</v>
      </c>
      <c r="M7" s="79"/>
      <c r="N7" s="43"/>
      <c r="O7" s="43"/>
      <c r="P7" s="43"/>
      <c r="Q7" s="43"/>
      <c r="R7" s="43"/>
      <c r="S7" s="43"/>
      <c r="T7" s="43"/>
      <c r="U7" s="22"/>
      <c r="V7" s="22">
        <v>24</v>
      </c>
      <c r="W7" s="22"/>
      <c r="X7" s="22">
        <v>50</v>
      </c>
      <c r="Y7" s="37"/>
      <c r="Z7" s="15"/>
    </row>
    <row r="8" spans="1:26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19807.87</v>
      </c>
      <c r="L8" s="21"/>
      <c r="M8" s="79"/>
      <c r="N8" s="43"/>
      <c r="O8" s="43"/>
      <c r="P8" s="43"/>
      <c r="Q8" s="43"/>
      <c r="R8" s="43"/>
      <c r="S8" s="43"/>
      <c r="T8" s="43"/>
      <c r="U8" s="22"/>
      <c r="V8" s="22"/>
      <c r="W8" s="22"/>
      <c r="X8" s="22"/>
      <c r="Y8" s="37"/>
      <c r="Z8" s="83"/>
    </row>
    <row r="9" spans="1:26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L9" s="24"/>
      <c r="M9" s="56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37"/>
      <c r="Z9" s="16">
        <f>SUM(Z2:Z7)</f>
        <v>0</v>
      </c>
    </row>
    <row r="10" spans="1:26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L10" s="24"/>
      <c r="M10" s="5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38"/>
    </row>
    <row r="11" spans="1:26" x14ac:dyDescent="0.3">
      <c r="A11" s="24"/>
      <c r="B11" s="22"/>
      <c r="C11" s="22"/>
      <c r="D11" s="22"/>
      <c r="E11" s="22"/>
      <c r="F11" s="22"/>
      <c r="G11" s="22"/>
      <c r="H11" s="22"/>
      <c r="I11" s="23"/>
      <c r="L11" s="24"/>
      <c r="M11" s="5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3"/>
    </row>
    <row r="12" spans="1:26" x14ac:dyDescent="0.3">
      <c r="A12" s="24"/>
      <c r="B12" s="22"/>
      <c r="C12" s="22"/>
      <c r="D12" s="22"/>
      <c r="E12" s="22"/>
      <c r="F12" s="22"/>
      <c r="G12" s="22"/>
      <c r="H12" s="22"/>
      <c r="I12" s="23"/>
      <c r="L12" s="24"/>
      <c r="M12" s="5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3"/>
    </row>
    <row r="13" spans="1:26" x14ac:dyDescent="0.3">
      <c r="A13" s="24"/>
      <c r="B13" s="22"/>
      <c r="C13" s="22"/>
      <c r="D13" s="22"/>
      <c r="E13" s="22"/>
      <c r="F13" s="22"/>
      <c r="G13" s="22"/>
      <c r="H13" s="22"/>
      <c r="I13" s="23"/>
      <c r="L13" s="24"/>
      <c r="M13" s="5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3"/>
    </row>
    <row r="14" spans="1:26" x14ac:dyDescent="0.3">
      <c r="A14" s="24"/>
      <c r="B14" s="22"/>
      <c r="C14" s="22"/>
      <c r="D14" s="22"/>
      <c r="E14" s="22"/>
      <c r="F14" s="22"/>
      <c r="G14" s="22"/>
      <c r="H14" s="22"/>
      <c r="I14" s="23"/>
      <c r="L14" s="24"/>
      <c r="M14" s="5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</row>
    <row r="15" spans="1:26" x14ac:dyDescent="0.3">
      <c r="A15" s="24"/>
      <c r="B15" s="22"/>
      <c r="C15" s="22"/>
      <c r="D15" s="22"/>
      <c r="E15" s="22"/>
      <c r="F15" s="28"/>
      <c r="G15" s="22"/>
      <c r="H15" s="22"/>
      <c r="I15" s="23"/>
      <c r="L15" s="24"/>
      <c r="M15" s="56"/>
      <c r="N15" s="22"/>
      <c r="O15" s="22"/>
      <c r="P15" s="22"/>
      <c r="Q15" s="22"/>
      <c r="R15" s="22"/>
      <c r="S15" s="22"/>
      <c r="T15" s="22"/>
      <c r="U15" s="22"/>
      <c r="V15" s="28"/>
      <c r="W15" s="28"/>
      <c r="X15" s="22"/>
      <c r="Y15" s="22"/>
      <c r="Z15" s="23"/>
    </row>
    <row r="16" spans="1:26" x14ac:dyDescent="0.3">
      <c r="A16" s="24">
        <f t="shared" ref="A16:G16" si="0">SUM(A2:A15)</f>
        <v>5068.0599999999995</v>
      </c>
      <c r="B16" s="22">
        <f t="shared" si="0"/>
        <v>5473.0599999999995</v>
      </c>
      <c r="C16" s="22">
        <f t="shared" si="0"/>
        <v>4543.0599999999995</v>
      </c>
      <c r="D16" s="22">
        <f t="shared" si="0"/>
        <v>3804</v>
      </c>
      <c r="E16" s="22">
        <f t="shared" si="0"/>
        <v>240</v>
      </c>
      <c r="F16" s="22">
        <f t="shared" si="0"/>
        <v>4672.46</v>
      </c>
      <c r="G16" s="22">
        <f t="shared" si="0"/>
        <v>4158</v>
      </c>
      <c r="H16" s="29">
        <f>SUM(A16:G16)+I8</f>
        <v>47766.509999999995</v>
      </c>
      <c r="I16" s="30" t="s">
        <v>7</v>
      </c>
      <c r="L16" s="24">
        <f t="shared" ref="L16:R16" si="1">SUM(L3:L15)</f>
        <v>3040</v>
      </c>
      <c r="M16" s="22">
        <f t="shared" si="1"/>
        <v>413</v>
      </c>
      <c r="N16" s="22">
        <f t="shared" si="1"/>
        <v>5939</v>
      </c>
      <c r="O16" s="22">
        <f t="shared" si="1"/>
        <v>2292.5</v>
      </c>
      <c r="P16" s="22">
        <f t="shared" si="1"/>
        <v>4878</v>
      </c>
      <c r="Q16" s="22">
        <f t="shared" si="1"/>
        <v>273</v>
      </c>
      <c r="R16" s="22">
        <f t="shared" si="1"/>
        <v>2212</v>
      </c>
      <c r="S16" s="22">
        <f>SUM(S3:S15)</f>
        <v>1953.9</v>
      </c>
      <c r="T16" s="22">
        <f t="shared" ref="T16:Y16" si="2">SUM(T3:T15)</f>
        <v>832</v>
      </c>
      <c r="U16" s="22">
        <f t="shared" si="2"/>
        <v>0</v>
      </c>
      <c r="V16" s="22">
        <f t="shared" si="2"/>
        <v>6130</v>
      </c>
      <c r="W16" s="22">
        <f t="shared" si="2"/>
        <v>585</v>
      </c>
      <c r="X16" s="22">
        <f t="shared" si="2"/>
        <v>4756</v>
      </c>
      <c r="Y16" s="22">
        <f t="shared" si="2"/>
        <v>711.2</v>
      </c>
      <c r="Z16" s="33">
        <f>L17+N17+P17+R17+T17+V17+X17</f>
        <v>27787</v>
      </c>
    </row>
    <row r="17" spans="1:26" x14ac:dyDescent="0.3">
      <c r="A17" s="31">
        <v>5068.0600000000004</v>
      </c>
      <c r="B17" s="32">
        <v>5473.06</v>
      </c>
      <c r="C17" s="32">
        <v>4543.0600000000004</v>
      </c>
      <c r="D17" s="32">
        <v>3804</v>
      </c>
      <c r="E17" s="32">
        <v>240</v>
      </c>
      <c r="F17" s="32">
        <v>4672.46</v>
      </c>
      <c r="G17" s="32">
        <v>4158</v>
      </c>
      <c r="H17" s="22">
        <f>SUM(A17:G17)+I8</f>
        <v>47766.509999999995</v>
      </c>
      <c r="I17" s="33" t="s">
        <v>1</v>
      </c>
      <c r="L17" s="32">
        <v>3040</v>
      </c>
      <c r="M17" s="32">
        <v>413</v>
      </c>
      <c r="N17" s="32">
        <v>5939</v>
      </c>
      <c r="O17" s="32">
        <v>2292.5</v>
      </c>
      <c r="P17" s="32">
        <v>4878</v>
      </c>
      <c r="Q17" s="32">
        <v>273</v>
      </c>
      <c r="R17" s="32">
        <v>2212</v>
      </c>
      <c r="S17" s="32">
        <v>1953.9</v>
      </c>
      <c r="T17" s="32">
        <v>832</v>
      </c>
      <c r="U17" s="32">
        <v>0</v>
      </c>
      <c r="V17" s="32">
        <v>6130</v>
      </c>
      <c r="W17" s="32">
        <v>585</v>
      </c>
      <c r="X17" s="32">
        <v>4756</v>
      </c>
      <c r="Y17" s="22">
        <v>711.2</v>
      </c>
      <c r="Z17" s="33">
        <f>M17+O17+Q17+S17+U17+W17+Y17</f>
        <v>6228.5999999999995</v>
      </c>
    </row>
    <row r="18" spans="1:26" ht="15" thickBot="1" x14ac:dyDescent="0.35">
      <c r="A18" s="34">
        <f>A16-A17</f>
        <v>0</v>
      </c>
      <c r="B18" s="35">
        <f>B16-B17</f>
        <v>0</v>
      </c>
      <c r="C18" s="35">
        <f t="shared" ref="C18:F18" si="3">C16-C17</f>
        <v>0</v>
      </c>
      <c r="D18" s="35">
        <f t="shared" si="3"/>
        <v>0</v>
      </c>
      <c r="E18" s="35">
        <f t="shared" si="3"/>
        <v>0</v>
      </c>
      <c r="F18" s="35">
        <f t="shared" si="3"/>
        <v>0</v>
      </c>
      <c r="G18" s="35">
        <f>G16-G17</f>
        <v>0</v>
      </c>
      <c r="H18" s="35"/>
      <c r="I18" s="36"/>
      <c r="L18" s="86">
        <f t="shared" ref="L18:R18" si="4">L16-L17</f>
        <v>0</v>
      </c>
      <c r="M18" s="86">
        <f t="shared" si="4"/>
        <v>0</v>
      </c>
      <c r="N18" s="86">
        <f t="shared" si="4"/>
        <v>0</v>
      </c>
      <c r="O18" s="86">
        <f t="shared" si="4"/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>S16-S17</f>
        <v>0</v>
      </c>
      <c r="T18" s="86">
        <f t="shared" ref="T18:Y18" si="5">T16-T17</f>
        <v>0</v>
      </c>
      <c r="U18" s="86">
        <f t="shared" si="5"/>
        <v>0</v>
      </c>
      <c r="V18" s="86">
        <f t="shared" si="5"/>
        <v>0</v>
      </c>
      <c r="W18" s="86">
        <f t="shared" si="5"/>
        <v>0</v>
      </c>
      <c r="X18" s="86">
        <f t="shared" si="5"/>
        <v>0</v>
      </c>
      <c r="Y18" s="86">
        <f t="shared" si="5"/>
        <v>0</v>
      </c>
      <c r="Z18" s="87"/>
    </row>
    <row r="19" spans="1:26" ht="15.6" thickTop="1" thickBot="1" x14ac:dyDescent="0.35"/>
    <row r="20" spans="1:26" x14ac:dyDescent="0.3">
      <c r="A20" s="17">
        <v>45238</v>
      </c>
      <c r="B20" s="18">
        <v>45239</v>
      </c>
      <c r="C20" s="18">
        <v>45240</v>
      </c>
      <c r="D20" s="18">
        <v>45241</v>
      </c>
      <c r="E20" s="18">
        <v>45242</v>
      </c>
      <c r="F20" s="18">
        <v>45243</v>
      </c>
      <c r="G20" s="18">
        <v>45244</v>
      </c>
      <c r="H20" s="39"/>
      <c r="I20" s="13" t="s">
        <v>8</v>
      </c>
      <c r="L20" s="119">
        <v>45238</v>
      </c>
      <c r="M20" s="59"/>
      <c r="N20" s="59">
        <v>45239</v>
      </c>
      <c r="O20" s="59"/>
      <c r="P20" s="59">
        <v>45240</v>
      </c>
      <c r="Q20" s="59"/>
      <c r="R20" s="59">
        <v>45241</v>
      </c>
      <c r="S20" s="59"/>
      <c r="T20" s="59">
        <v>45242</v>
      </c>
      <c r="U20" s="59"/>
      <c r="V20" s="59">
        <v>45243</v>
      </c>
      <c r="W20" s="59"/>
      <c r="X20" s="59">
        <v>45244</v>
      </c>
      <c r="Y20" s="59"/>
      <c r="Z20" s="13"/>
    </row>
    <row r="21" spans="1:26" ht="15" thickBot="1" x14ac:dyDescent="0.35">
      <c r="A21" s="21">
        <v>900</v>
      </c>
      <c r="B21" s="22">
        <v>1758.06</v>
      </c>
      <c r="C21" s="22">
        <v>1975</v>
      </c>
      <c r="D21" s="22">
        <v>1435</v>
      </c>
      <c r="E21" s="22">
        <v>325</v>
      </c>
      <c r="F21" s="22">
        <v>975</v>
      </c>
      <c r="G21" s="22">
        <v>895</v>
      </c>
      <c r="H21" s="37"/>
      <c r="I21" s="14">
        <v>631.08000000000004</v>
      </c>
      <c r="L21" s="66" t="s">
        <v>10</v>
      </c>
      <c r="M21" s="66" t="s">
        <v>11</v>
      </c>
      <c r="N21" s="67" t="s">
        <v>10</v>
      </c>
      <c r="O21" s="67" t="s">
        <v>11</v>
      </c>
      <c r="P21" s="67" t="s">
        <v>10</v>
      </c>
      <c r="Q21" s="67" t="s">
        <v>11</v>
      </c>
      <c r="R21" s="67" t="s">
        <v>10</v>
      </c>
      <c r="S21" s="67" t="s">
        <v>11</v>
      </c>
      <c r="T21" s="67" t="s">
        <v>10</v>
      </c>
      <c r="U21" s="67" t="s">
        <v>11</v>
      </c>
      <c r="V21" s="67" t="s">
        <v>10</v>
      </c>
      <c r="W21" s="67" t="s">
        <v>11</v>
      </c>
      <c r="X21" s="67" t="s">
        <v>10</v>
      </c>
      <c r="Y21" s="67" t="s">
        <v>11</v>
      </c>
      <c r="Z21" s="14"/>
    </row>
    <row r="22" spans="1:26" x14ac:dyDescent="0.3">
      <c r="A22" s="24">
        <v>1750</v>
      </c>
      <c r="B22" s="22">
        <v>1195</v>
      </c>
      <c r="C22" s="22">
        <v>1061.92</v>
      </c>
      <c r="D22" s="22">
        <v>400</v>
      </c>
      <c r="E22" s="25"/>
      <c r="F22" s="22">
        <v>2410</v>
      </c>
      <c r="G22" s="22">
        <v>2220</v>
      </c>
      <c r="H22" s="37"/>
      <c r="I22" s="14">
        <v>740</v>
      </c>
      <c r="L22" s="75">
        <v>520</v>
      </c>
      <c r="M22" s="76">
        <v>42.5</v>
      </c>
      <c r="N22" s="77">
        <v>720</v>
      </c>
      <c r="O22" s="77">
        <v>95</v>
      </c>
      <c r="P22" s="77">
        <v>480</v>
      </c>
      <c r="Q22" s="77">
        <v>52.5</v>
      </c>
      <c r="R22" s="77">
        <v>730</v>
      </c>
      <c r="S22" s="77">
        <v>35</v>
      </c>
      <c r="T22" s="78">
        <v>930</v>
      </c>
      <c r="U22" s="69">
        <v>0</v>
      </c>
      <c r="V22" s="63">
        <v>960</v>
      </c>
      <c r="W22" s="63">
        <v>35</v>
      </c>
      <c r="X22" s="63">
        <v>788</v>
      </c>
      <c r="Y22" s="65">
        <v>50</v>
      </c>
      <c r="Z22" s="14"/>
    </row>
    <row r="23" spans="1:26" x14ac:dyDescent="0.3">
      <c r="A23" s="24">
        <v>1749.93</v>
      </c>
      <c r="B23" s="22">
        <v>885</v>
      </c>
      <c r="C23" s="22">
        <v>1015</v>
      </c>
      <c r="D23" s="26"/>
      <c r="E23" s="22"/>
      <c r="F23" s="22">
        <v>1377.46</v>
      </c>
      <c r="G23" s="22">
        <v>1527.46</v>
      </c>
      <c r="H23" s="37"/>
      <c r="I23" s="15">
        <v>4005.15</v>
      </c>
      <c r="L23" s="21">
        <v>2390</v>
      </c>
      <c r="M23" s="79">
        <v>1062.5</v>
      </c>
      <c r="N23" s="43">
        <v>2655</v>
      </c>
      <c r="O23" s="43"/>
      <c r="P23" s="43">
        <v>3690</v>
      </c>
      <c r="Q23" s="43">
        <v>60</v>
      </c>
      <c r="R23" s="80">
        <v>2090</v>
      </c>
      <c r="S23" s="80">
        <v>360</v>
      </c>
      <c r="T23" s="43">
        <v>144</v>
      </c>
      <c r="U23" s="22"/>
      <c r="V23" s="22">
        <v>3020</v>
      </c>
      <c r="W23" s="22">
        <v>501.9</v>
      </c>
      <c r="X23" s="22">
        <v>2520</v>
      </c>
      <c r="Y23" s="37"/>
      <c r="Z23" s="15"/>
    </row>
    <row r="24" spans="1:26" x14ac:dyDescent="0.3">
      <c r="A24" s="24"/>
      <c r="B24" s="22"/>
      <c r="C24" s="22"/>
      <c r="D24" s="25"/>
      <c r="E24" s="22"/>
      <c r="F24" s="22"/>
      <c r="G24" s="22"/>
      <c r="H24" s="37"/>
      <c r="I24" s="15">
        <v>5042.5</v>
      </c>
      <c r="L24" s="21">
        <v>480</v>
      </c>
      <c r="M24" s="79"/>
      <c r="N24" s="43">
        <v>240</v>
      </c>
      <c r="O24" s="43"/>
      <c r="P24" s="43">
        <v>372</v>
      </c>
      <c r="Q24" s="43"/>
      <c r="R24" s="80">
        <v>420</v>
      </c>
      <c r="S24" s="81"/>
      <c r="T24" s="43"/>
      <c r="U24" s="22"/>
      <c r="V24" s="22">
        <v>324</v>
      </c>
      <c r="W24" s="22"/>
      <c r="X24" s="22">
        <v>396</v>
      </c>
      <c r="Y24" s="37"/>
      <c r="Z24" s="15"/>
    </row>
    <row r="25" spans="1:26" x14ac:dyDescent="0.3">
      <c r="A25" s="24"/>
      <c r="B25" s="22"/>
      <c r="C25" s="22"/>
      <c r="D25" s="22"/>
      <c r="E25" s="22"/>
      <c r="F25" s="22"/>
      <c r="G25" s="22"/>
      <c r="H25" s="37"/>
      <c r="I25" s="15">
        <v>5289.97</v>
      </c>
      <c r="L25" s="21">
        <v>246</v>
      </c>
      <c r="M25" s="79"/>
      <c r="N25" s="43">
        <v>825</v>
      </c>
      <c r="O25" s="43"/>
      <c r="P25" s="43">
        <v>730</v>
      </c>
      <c r="Q25" s="43"/>
      <c r="R25" s="43">
        <v>24</v>
      </c>
      <c r="S25" s="43"/>
      <c r="T25" s="43"/>
      <c r="U25" s="22"/>
      <c r="V25" s="22">
        <v>660</v>
      </c>
      <c r="W25" s="22"/>
      <c r="X25" s="22">
        <v>960</v>
      </c>
      <c r="Y25" s="37"/>
      <c r="Z25" s="15"/>
    </row>
    <row r="26" spans="1:26" x14ac:dyDescent="0.3">
      <c r="A26" s="24"/>
      <c r="B26" s="22"/>
      <c r="C26" s="22"/>
      <c r="D26" s="22"/>
      <c r="E26" s="22"/>
      <c r="F26" s="22"/>
      <c r="G26" s="22"/>
      <c r="H26" s="37"/>
      <c r="I26" s="15">
        <v>5922.75</v>
      </c>
      <c r="L26" s="21">
        <v>24</v>
      </c>
      <c r="M26" s="79"/>
      <c r="N26" s="43"/>
      <c r="O26" s="43"/>
      <c r="P26" s="43">
        <v>26</v>
      </c>
      <c r="Q26" s="43"/>
      <c r="R26" s="43"/>
      <c r="S26" s="43"/>
      <c r="T26" s="43"/>
      <c r="U26" s="22"/>
      <c r="V26" s="22">
        <v>26</v>
      </c>
      <c r="W26" s="22"/>
      <c r="X26" s="22"/>
      <c r="Y26" s="37"/>
      <c r="Z26" s="15"/>
    </row>
    <row r="27" spans="1:26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21631.45</v>
      </c>
      <c r="L27" s="21"/>
      <c r="M27" s="79"/>
      <c r="N27" s="43"/>
      <c r="O27" s="43"/>
      <c r="P27" s="43"/>
      <c r="Q27" s="43"/>
      <c r="R27" s="43"/>
      <c r="S27" s="43"/>
      <c r="T27" s="43"/>
      <c r="U27" s="22"/>
      <c r="V27" s="22"/>
      <c r="W27" s="22"/>
      <c r="X27" s="22"/>
      <c r="Y27" s="37"/>
      <c r="Z27" s="83"/>
    </row>
    <row r="28" spans="1:26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L28" s="24"/>
      <c r="M28" s="5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37"/>
      <c r="Z28" s="16">
        <f>SUM(Z21:Z26)</f>
        <v>0</v>
      </c>
    </row>
    <row r="29" spans="1:26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L29" s="24"/>
      <c r="M29" s="5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38"/>
    </row>
    <row r="30" spans="1:26" x14ac:dyDescent="0.3">
      <c r="A30" s="24"/>
      <c r="B30" s="22"/>
      <c r="C30" s="22"/>
      <c r="D30" s="22"/>
      <c r="E30" s="22"/>
      <c r="F30" s="22"/>
      <c r="G30" s="22"/>
      <c r="H30" s="22"/>
      <c r="I30" s="23"/>
      <c r="L30" s="24"/>
      <c r="M30" s="56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3"/>
    </row>
    <row r="31" spans="1:26" x14ac:dyDescent="0.3">
      <c r="A31" s="24"/>
      <c r="B31" s="22"/>
      <c r="C31" s="22"/>
      <c r="D31" s="22"/>
      <c r="E31" s="22"/>
      <c r="F31" s="22"/>
      <c r="G31" s="22"/>
      <c r="H31" s="22"/>
      <c r="I31" s="23"/>
      <c r="L31" s="24"/>
      <c r="M31" s="5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3"/>
    </row>
    <row r="32" spans="1:26" x14ac:dyDescent="0.3">
      <c r="A32" s="24"/>
      <c r="B32" s="22"/>
      <c r="C32" s="22"/>
      <c r="D32" s="22"/>
      <c r="E32" s="22"/>
      <c r="F32" s="22"/>
      <c r="G32" s="22"/>
      <c r="H32" s="22"/>
      <c r="I32" s="23"/>
      <c r="L32" s="24"/>
      <c r="M32" s="5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</row>
    <row r="33" spans="1:26" x14ac:dyDescent="0.3">
      <c r="A33" s="24"/>
      <c r="B33" s="22"/>
      <c r="C33" s="22"/>
      <c r="D33" s="22"/>
      <c r="E33" s="22"/>
      <c r="F33" s="22"/>
      <c r="G33" s="22"/>
      <c r="H33" s="22"/>
      <c r="I33" s="23"/>
      <c r="L33" s="24"/>
      <c r="M33" s="5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</row>
    <row r="34" spans="1:26" x14ac:dyDescent="0.3">
      <c r="A34" s="24"/>
      <c r="B34" s="22"/>
      <c r="C34" s="22"/>
      <c r="D34" s="22"/>
      <c r="E34" s="22"/>
      <c r="F34" s="28"/>
      <c r="G34" s="22"/>
      <c r="H34" s="22"/>
      <c r="I34" s="23"/>
      <c r="L34" s="24"/>
      <c r="M34" s="56"/>
      <c r="N34" s="22"/>
      <c r="O34" s="22"/>
      <c r="P34" s="22"/>
      <c r="Q34" s="22"/>
      <c r="R34" s="22"/>
      <c r="S34" s="22"/>
      <c r="T34" s="22"/>
      <c r="U34" s="22"/>
      <c r="V34" s="28"/>
      <c r="W34" s="28"/>
      <c r="X34" s="22"/>
      <c r="Y34" s="22"/>
      <c r="Z34" s="23"/>
    </row>
    <row r="35" spans="1:26" x14ac:dyDescent="0.3">
      <c r="A35" s="24">
        <f t="shared" ref="A35:G35" si="6">SUM(A21:A34)</f>
        <v>4399.93</v>
      </c>
      <c r="B35" s="22">
        <f t="shared" si="6"/>
        <v>3838.06</v>
      </c>
      <c r="C35" s="22">
        <f t="shared" si="6"/>
        <v>4051.92</v>
      </c>
      <c r="D35" s="22">
        <f t="shared" si="6"/>
        <v>1835</v>
      </c>
      <c r="E35" s="22">
        <f t="shared" si="6"/>
        <v>325</v>
      </c>
      <c r="F35" s="22">
        <f t="shared" si="6"/>
        <v>4762.46</v>
      </c>
      <c r="G35" s="22">
        <f t="shared" si="6"/>
        <v>4642.46</v>
      </c>
      <c r="H35" s="29">
        <f>SUM(A35:G35)+I27</f>
        <v>45486.28</v>
      </c>
      <c r="I35" s="30" t="s">
        <v>7</v>
      </c>
      <c r="L35" s="24">
        <f t="shared" ref="L35:R35" si="7">SUM(L22:L34)</f>
        <v>3660</v>
      </c>
      <c r="M35" s="22">
        <f t="shared" si="7"/>
        <v>1105</v>
      </c>
      <c r="N35" s="22">
        <f t="shared" si="7"/>
        <v>4440</v>
      </c>
      <c r="O35" s="22">
        <f t="shared" si="7"/>
        <v>95</v>
      </c>
      <c r="P35" s="22">
        <f t="shared" si="7"/>
        <v>5298</v>
      </c>
      <c r="Q35" s="22">
        <f t="shared" si="7"/>
        <v>112.5</v>
      </c>
      <c r="R35" s="22">
        <f t="shared" si="7"/>
        <v>3264</v>
      </c>
      <c r="S35" s="22">
        <f>SUM(S22:S34)</f>
        <v>395</v>
      </c>
      <c r="T35" s="22">
        <f t="shared" ref="T35:Y35" si="8">SUM(T22:T34)</f>
        <v>1074</v>
      </c>
      <c r="U35" s="22">
        <f t="shared" si="8"/>
        <v>0</v>
      </c>
      <c r="V35" s="22">
        <f t="shared" si="8"/>
        <v>4990</v>
      </c>
      <c r="W35" s="22">
        <f t="shared" si="8"/>
        <v>536.9</v>
      </c>
      <c r="X35" s="22">
        <f t="shared" si="8"/>
        <v>4664</v>
      </c>
      <c r="Y35" s="22">
        <f t="shared" si="8"/>
        <v>50</v>
      </c>
      <c r="Z35" s="33">
        <f>L36+N36+P36+R36+T36+V36+X36</f>
        <v>27390</v>
      </c>
    </row>
    <row r="36" spans="1:26" x14ac:dyDescent="0.3">
      <c r="A36" s="31">
        <v>4399.93</v>
      </c>
      <c r="B36" s="32">
        <v>3838.06</v>
      </c>
      <c r="C36" s="32">
        <v>4051.92</v>
      </c>
      <c r="D36" s="32">
        <v>1835</v>
      </c>
      <c r="E36" s="32">
        <v>325</v>
      </c>
      <c r="F36" s="32">
        <v>4762.46</v>
      </c>
      <c r="G36" s="32">
        <v>4642.46</v>
      </c>
      <c r="H36" s="22">
        <f>SUM(A36:G36)+I27</f>
        <v>45486.28</v>
      </c>
      <c r="I36" s="33" t="s">
        <v>1</v>
      </c>
      <c r="L36" s="32">
        <v>3660</v>
      </c>
      <c r="M36" s="32">
        <v>1105</v>
      </c>
      <c r="N36" s="32">
        <v>4440</v>
      </c>
      <c r="O36" s="32">
        <v>95</v>
      </c>
      <c r="P36" s="32">
        <v>5298</v>
      </c>
      <c r="Q36" s="32">
        <v>112.5</v>
      </c>
      <c r="R36" s="32">
        <v>3264</v>
      </c>
      <c r="S36" s="32">
        <v>395</v>
      </c>
      <c r="T36" s="32">
        <v>1074</v>
      </c>
      <c r="U36" s="32">
        <v>0</v>
      </c>
      <c r="V36" s="32">
        <v>4990</v>
      </c>
      <c r="W36" s="32">
        <v>536.9</v>
      </c>
      <c r="X36" s="32">
        <v>4664</v>
      </c>
      <c r="Y36" s="22">
        <v>50</v>
      </c>
      <c r="Z36" s="33">
        <f>M36+O36+Q36+S36+U36+W36+Y36</f>
        <v>2294.4</v>
      </c>
    </row>
    <row r="37" spans="1:26" ht="15" thickBot="1" x14ac:dyDescent="0.35">
      <c r="A37" s="34">
        <f>A35-A36</f>
        <v>0</v>
      </c>
      <c r="B37" s="35">
        <f>B35-B36</f>
        <v>0</v>
      </c>
      <c r="C37" s="35">
        <f t="shared" ref="C37:F37" si="9">C35-C36</f>
        <v>0</v>
      </c>
      <c r="D37" s="35">
        <f t="shared" si="9"/>
        <v>0</v>
      </c>
      <c r="E37" s="35">
        <f t="shared" si="9"/>
        <v>0</v>
      </c>
      <c r="F37" s="35">
        <f t="shared" si="9"/>
        <v>0</v>
      </c>
      <c r="G37" s="35">
        <f>G35-G36</f>
        <v>0</v>
      </c>
      <c r="H37" s="35"/>
      <c r="I37" s="36"/>
      <c r="L37" s="86">
        <f t="shared" ref="L37:R37" si="10">L35-L36</f>
        <v>0</v>
      </c>
      <c r="M37" s="86">
        <f t="shared" si="10"/>
        <v>0</v>
      </c>
      <c r="N37" s="86">
        <f t="shared" si="10"/>
        <v>0</v>
      </c>
      <c r="O37" s="86">
        <f t="shared" si="10"/>
        <v>0</v>
      </c>
      <c r="P37" s="86">
        <f t="shared" si="10"/>
        <v>0</v>
      </c>
      <c r="Q37" s="86">
        <f t="shared" si="10"/>
        <v>0</v>
      </c>
      <c r="R37" s="86">
        <f t="shared" si="10"/>
        <v>0</v>
      </c>
      <c r="S37" s="86">
        <f>S35-S36</f>
        <v>0</v>
      </c>
      <c r="T37" s="86">
        <f t="shared" ref="T37:Y37" si="11">T35-T36</f>
        <v>0</v>
      </c>
      <c r="U37" s="86">
        <f t="shared" si="11"/>
        <v>0</v>
      </c>
      <c r="V37" s="86">
        <f t="shared" si="11"/>
        <v>0</v>
      </c>
      <c r="W37" s="86">
        <f t="shared" si="11"/>
        <v>0</v>
      </c>
      <c r="X37" s="86">
        <f t="shared" si="11"/>
        <v>0</v>
      </c>
      <c r="Y37" s="86">
        <f t="shared" si="11"/>
        <v>0</v>
      </c>
      <c r="Z37" s="87"/>
    </row>
    <row r="38" spans="1:26" ht="15.6" thickTop="1" thickBot="1" x14ac:dyDescent="0.35"/>
    <row r="39" spans="1:26" x14ac:dyDescent="0.3">
      <c r="A39" s="17">
        <v>45245</v>
      </c>
      <c r="B39" s="17">
        <v>45246</v>
      </c>
      <c r="C39" s="17">
        <v>45247</v>
      </c>
      <c r="D39" s="17">
        <v>45248</v>
      </c>
      <c r="E39" s="17">
        <v>45249</v>
      </c>
      <c r="F39" s="17">
        <v>45250</v>
      </c>
      <c r="G39" s="17">
        <v>45251</v>
      </c>
      <c r="H39" s="39"/>
      <c r="I39" s="13" t="s">
        <v>8</v>
      </c>
      <c r="L39" s="119" t="s">
        <v>16</v>
      </c>
      <c r="M39" s="59"/>
      <c r="N39" s="119" t="s">
        <v>17</v>
      </c>
      <c r="O39" s="59"/>
      <c r="P39" s="119" t="s">
        <v>18</v>
      </c>
      <c r="Q39" s="59"/>
      <c r="R39" s="119" t="s">
        <v>19</v>
      </c>
      <c r="S39" s="59"/>
      <c r="T39" s="119" t="s">
        <v>20</v>
      </c>
      <c r="U39" s="59"/>
      <c r="V39" s="119" t="s">
        <v>21</v>
      </c>
      <c r="W39" s="59"/>
      <c r="X39" s="119" t="s">
        <v>22</v>
      </c>
      <c r="Y39" s="59"/>
      <c r="Z39" s="13"/>
    </row>
    <row r="40" spans="1:26" ht="15" thickBot="1" x14ac:dyDescent="0.35">
      <c r="A40" s="21">
        <v>1211.92</v>
      </c>
      <c r="B40" s="22">
        <v>585</v>
      </c>
      <c r="C40" s="22">
        <v>1707.46</v>
      </c>
      <c r="D40" s="22">
        <v>4611.95</v>
      </c>
      <c r="E40" s="22">
        <v>480</v>
      </c>
      <c r="F40" s="22">
        <v>1843</v>
      </c>
      <c r="G40" s="22">
        <v>1988.66</v>
      </c>
      <c r="H40" s="37"/>
      <c r="I40" s="14">
        <v>4005.15</v>
      </c>
      <c r="L40" s="66" t="s">
        <v>10</v>
      </c>
      <c r="M40" s="66" t="s">
        <v>11</v>
      </c>
      <c r="N40" s="67" t="s">
        <v>10</v>
      </c>
      <c r="O40" s="67" t="s">
        <v>11</v>
      </c>
      <c r="P40" s="67" t="s">
        <v>10</v>
      </c>
      <c r="Q40" s="67" t="s">
        <v>11</v>
      </c>
      <c r="R40" s="67" t="s">
        <v>10</v>
      </c>
      <c r="S40" s="67" t="s">
        <v>11</v>
      </c>
      <c r="T40" s="67" t="s">
        <v>10</v>
      </c>
      <c r="U40" s="67" t="s">
        <v>11</v>
      </c>
      <c r="V40" s="67" t="s">
        <v>10</v>
      </c>
      <c r="W40" s="67" t="s">
        <v>11</v>
      </c>
      <c r="X40" s="67" t="s">
        <v>10</v>
      </c>
      <c r="Y40" s="67" t="s">
        <v>11</v>
      </c>
      <c r="Z40" s="14"/>
    </row>
    <row r="41" spans="1:26" x14ac:dyDescent="0.3">
      <c r="A41" s="24">
        <v>2125</v>
      </c>
      <c r="B41" s="22">
        <v>2775</v>
      </c>
      <c r="C41" s="22">
        <v>2045</v>
      </c>
      <c r="D41" s="22">
        <v>1470</v>
      </c>
      <c r="E41" s="25"/>
      <c r="F41" s="22">
        <v>2325</v>
      </c>
      <c r="G41" s="22">
        <v>2225</v>
      </c>
      <c r="H41" s="37"/>
      <c r="I41" s="14">
        <v>461.2</v>
      </c>
      <c r="L41" s="75">
        <v>600</v>
      </c>
      <c r="M41" s="76">
        <v>35</v>
      </c>
      <c r="N41" s="77">
        <v>720</v>
      </c>
      <c r="O41" s="77">
        <v>165</v>
      </c>
      <c r="P41" s="77">
        <v>360</v>
      </c>
      <c r="Q41" s="77">
        <v>150</v>
      </c>
      <c r="R41" s="77">
        <v>240</v>
      </c>
      <c r="S41" s="77">
        <v>722.9</v>
      </c>
      <c r="T41" s="78">
        <v>540</v>
      </c>
      <c r="U41" s="69">
        <v>0</v>
      </c>
      <c r="V41" s="63">
        <v>960</v>
      </c>
      <c r="W41" s="63">
        <v>382.5</v>
      </c>
      <c r="X41" s="63">
        <v>720</v>
      </c>
      <c r="Y41" s="65">
        <v>62.5</v>
      </c>
      <c r="Z41" s="14"/>
    </row>
    <row r="42" spans="1:26" x14ac:dyDescent="0.3">
      <c r="A42" s="24">
        <v>700</v>
      </c>
      <c r="B42" s="22">
        <v>1104.3900000000001</v>
      </c>
      <c r="C42" s="22">
        <v>1062.5</v>
      </c>
      <c r="D42" s="26">
        <v>890</v>
      </c>
      <c r="E42" s="22"/>
      <c r="F42" s="22">
        <v>670</v>
      </c>
      <c r="G42" s="22">
        <v>1360</v>
      </c>
      <c r="H42" s="37"/>
      <c r="I42" s="15">
        <v>5922.75</v>
      </c>
      <c r="L42" s="21">
        <v>2695</v>
      </c>
      <c r="M42" s="79">
        <v>60</v>
      </c>
      <c r="N42" s="43">
        <v>2575</v>
      </c>
      <c r="O42" s="43"/>
      <c r="P42" s="43">
        <v>2640</v>
      </c>
      <c r="Q42" s="43">
        <v>991</v>
      </c>
      <c r="R42" s="80">
        <v>72</v>
      </c>
      <c r="S42" s="80">
        <v>40</v>
      </c>
      <c r="T42" s="43">
        <v>72</v>
      </c>
      <c r="U42" s="22"/>
      <c r="V42" s="22">
        <v>3105</v>
      </c>
      <c r="W42" s="22">
        <v>32.5</v>
      </c>
      <c r="X42" s="22">
        <v>2410</v>
      </c>
      <c r="Y42" s="37"/>
      <c r="Z42" s="15"/>
    </row>
    <row r="43" spans="1:26" x14ac:dyDescent="0.3">
      <c r="A43" s="24"/>
      <c r="B43" s="22"/>
      <c r="C43" s="22"/>
      <c r="D43" s="25"/>
      <c r="E43" s="22"/>
      <c r="F43" s="22"/>
      <c r="G43" s="22"/>
      <c r="H43" s="37"/>
      <c r="I43" s="15">
        <v>5289.97</v>
      </c>
      <c r="L43" s="21">
        <v>246</v>
      </c>
      <c r="M43" s="79"/>
      <c r="N43" s="43">
        <v>396</v>
      </c>
      <c r="O43" s="43"/>
      <c r="P43" s="43">
        <v>168</v>
      </c>
      <c r="Q43" s="43">
        <v>42.5</v>
      </c>
      <c r="R43" s="80">
        <v>1330</v>
      </c>
      <c r="S43" s="81">
        <v>578.9</v>
      </c>
      <c r="T43" s="43"/>
      <c r="U43" s="22"/>
      <c r="V43" s="22">
        <v>324</v>
      </c>
      <c r="W43" s="22"/>
      <c r="X43" s="22">
        <v>396</v>
      </c>
      <c r="Y43" s="37"/>
      <c r="Z43" s="15"/>
    </row>
    <row r="44" spans="1:26" x14ac:dyDescent="0.3">
      <c r="A44" s="24"/>
      <c r="B44" s="22"/>
      <c r="C44" s="22"/>
      <c r="D44" s="22"/>
      <c r="E44" s="22"/>
      <c r="F44" s="22"/>
      <c r="G44" s="22"/>
      <c r="H44" s="37"/>
      <c r="I44" s="15">
        <v>1480</v>
      </c>
      <c r="L44" s="21">
        <v>685</v>
      </c>
      <c r="M44" s="79"/>
      <c r="N44" s="43">
        <v>895</v>
      </c>
      <c r="O44" s="43"/>
      <c r="P44" s="43">
        <v>720</v>
      </c>
      <c r="Q44" s="43"/>
      <c r="R44" s="43">
        <v>300</v>
      </c>
      <c r="S44" s="43"/>
      <c r="T44" s="43"/>
      <c r="U44" s="22"/>
      <c r="V44" s="22">
        <v>865</v>
      </c>
      <c r="W44" s="22"/>
      <c r="X44" s="22">
        <v>710</v>
      </c>
      <c r="Y44" s="37"/>
      <c r="Z44" s="15"/>
    </row>
    <row r="45" spans="1:26" x14ac:dyDescent="0.3">
      <c r="A45" s="24"/>
      <c r="B45" s="22"/>
      <c r="C45" s="22"/>
      <c r="D45" s="22"/>
      <c r="E45" s="22"/>
      <c r="F45" s="22"/>
      <c r="G45" s="22"/>
      <c r="H45" s="37"/>
      <c r="I45" s="15">
        <v>3552.5</v>
      </c>
      <c r="L45" s="21">
        <v>24</v>
      </c>
      <c r="M45" s="79"/>
      <c r="N45" s="43">
        <v>24</v>
      </c>
      <c r="O45" s="43"/>
      <c r="P45" s="43"/>
      <c r="Q45" s="43"/>
      <c r="R45" s="43">
        <v>400</v>
      </c>
      <c r="S45" s="43"/>
      <c r="T45" s="43"/>
      <c r="U45" s="22"/>
      <c r="V45" s="22">
        <v>24</v>
      </c>
      <c r="W45" s="22"/>
      <c r="X45" s="22">
        <v>48</v>
      </c>
      <c r="Y45" s="37"/>
      <c r="Z45" s="15"/>
    </row>
    <row r="46" spans="1:26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</f>
        <v>20711.57</v>
      </c>
      <c r="L46" s="21"/>
      <c r="M46" s="79"/>
      <c r="N46" s="43"/>
      <c r="O46" s="43"/>
      <c r="P46" s="43"/>
      <c r="Q46" s="43"/>
      <c r="R46" s="43">
        <v>24</v>
      </c>
      <c r="S46" s="43"/>
      <c r="T46" s="43"/>
      <c r="U46" s="22"/>
      <c r="V46" s="22"/>
      <c r="W46" s="22"/>
      <c r="X46" s="22"/>
      <c r="Y46" s="37"/>
      <c r="Z46" s="83"/>
    </row>
    <row r="47" spans="1:26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L47" s="24"/>
      <c r="M47" s="5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37"/>
      <c r="Z47" s="16">
        <f>SUM(Z40:Z45)</f>
        <v>0</v>
      </c>
    </row>
    <row r="48" spans="1:26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L48" s="24"/>
      <c r="M48" s="5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38"/>
    </row>
    <row r="49" spans="1:26" x14ac:dyDescent="0.3">
      <c r="A49" s="24"/>
      <c r="B49" s="22"/>
      <c r="C49" s="22"/>
      <c r="D49" s="22"/>
      <c r="E49" s="22"/>
      <c r="F49" s="22"/>
      <c r="G49" s="22"/>
      <c r="H49" s="22"/>
      <c r="I49" s="23"/>
      <c r="L49" s="24"/>
      <c r="M49" s="5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3"/>
    </row>
    <row r="50" spans="1:26" x14ac:dyDescent="0.3">
      <c r="A50" s="24"/>
      <c r="B50" s="22"/>
      <c r="C50" s="22"/>
      <c r="D50" s="22"/>
      <c r="E50" s="22"/>
      <c r="F50" s="22"/>
      <c r="G50" s="22"/>
      <c r="H50" s="22"/>
      <c r="I50" s="23"/>
      <c r="L50" s="24"/>
      <c r="M50" s="5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3"/>
    </row>
    <row r="51" spans="1:26" x14ac:dyDescent="0.3">
      <c r="A51" s="24"/>
      <c r="B51" s="22"/>
      <c r="C51" s="22"/>
      <c r="D51" s="22"/>
      <c r="E51" s="22"/>
      <c r="F51" s="22"/>
      <c r="G51" s="22"/>
      <c r="H51" s="22"/>
      <c r="I51" s="23"/>
      <c r="L51" s="24"/>
      <c r="M51" s="5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3"/>
    </row>
    <row r="52" spans="1:26" x14ac:dyDescent="0.3">
      <c r="A52" s="24"/>
      <c r="B52" s="22"/>
      <c r="C52" s="22"/>
      <c r="D52" s="22"/>
      <c r="E52" s="22"/>
      <c r="F52" s="22"/>
      <c r="G52" s="22"/>
      <c r="H52" s="22"/>
      <c r="I52" s="23"/>
      <c r="L52" s="24"/>
      <c r="M52" s="5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3"/>
    </row>
    <row r="53" spans="1:26" x14ac:dyDescent="0.3">
      <c r="A53" s="24"/>
      <c r="B53" s="22"/>
      <c r="C53" s="22"/>
      <c r="D53" s="22"/>
      <c r="E53" s="22"/>
      <c r="F53" s="28"/>
      <c r="G53" s="22"/>
      <c r="H53" s="22"/>
      <c r="I53" s="23"/>
      <c r="L53" s="24"/>
      <c r="M53" s="56"/>
      <c r="N53" s="22"/>
      <c r="O53" s="22"/>
      <c r="P53" s="22"/>
      <c r="Q53" s="22"/>
      <c r="R53" s="22"/>
      <c r="S53" s="22"/>
      <c r="T53" s="22"/>
      <c r="U53" s="22"/>
      <c r="V53" s="28"/>
      <c r="W53" s="28"/>
      <c r="X53" s="22"/>
      <c r="Y53" s="22"/>
      <c r="Z53" s="23"/>
    </row>
    <row r="54" spans="1:26" x14ac:dyDescent="0.3">
      <c r="A54" s="24">
        <f t="shared" ref="A54:G54" si="12">SUM(A40:A53)</f>
        <v>4036.92</v>
      </c>
      <c r="B54" s="22">
        <f t="shared" si="12"/>
        <v>4464.3900000000003</v>
      </c>
      <c r="C54" s="22">
        <f t="shared" si="12"/>
        <v>4814.96</v>
      </c>
      <c r="D54" s="22">
        <f t="shared" si="12"/>
        <v>6971.95</v>
      </c>
      <c r="E54" s="22">
        <f>SUM(E40:E53)</f>
        <v>480</v>
      </c>
      <c r="F54" s="22">
        <f t="shared" si="12"/>
        <v>4838</v>
      </c>
      <c r="G54" s="22">
        <f t="shared" si="12"/>
        <v>5573.66</v>
      </c>
      <c r="H54" s="29">
        <f>SUM(A54:G54)+I46</f>
        <v>51891.45</v>
      </c>
      <c r="I54" s="30" t="s">
        <v>7</v>
      </c>
      <c r="L54" s="24">
        <f t="shared" ref="L54:R54" si="13">SUM(L41:L53)</f>
        <v>4250</v>
      </c>
      <c r="M54" s="22">
        <f t="shared" si="13"/>
        <v>95</v>
      </c>
      <c r="N54" s="22">
        <f t="shared" si="13"/>
        <v>4610</v>
      </c>
      <c r="O54" s="22">
        <f t="shared" si="13"/>
        <v>165</v>
      </c>
      <c r="P54" s="22">
        <f t="shared" si="13"/>
        <v>3888</v>
      </c>
      <c r="Q54" s="22">
        <f t="shared" si="13"/>
        <v>1183.5</v>
      </c>
      <c r="R54" s="22">
        <f t="shared" si="13"/>
        <v>2366</v>
      </c>
      <c r="S54" s="22">
        <f>SUM(S41:S53)</f>
        <v>1341.8</v>
      </c>
      <c r="T54" s="22">
        <f t="shared" ref="T54:Y54" si="14">SUM(T41:T53)</f>
        <v>612</v>
      </c>
      <c r="U54" s="22">
        <f t="shared" si="14"/>
        <v>0</v>
      </c>
      <c r="V54" s="22">
        <f t="shared" si="14"/>
        <v>5278</v>
      </c>
      <c r="W54" s="22">
        <f t="shared" si="14"/>
        <v>415</v>
      </c>
      <c r="X54" s="22">
        <f t="shared" si="14"/>
        <v>4284</v>
      </c>
      <c r="Y54" s="22">
        <f t="shared" si="14"/>
        <v>62.5</v>
      </c>
      <c r="Z54" s="33">
        <f>L55+N55+P55+R55+T55+V55+X55</f>
        <v>25288</v>
      </c>
    </row>
    <row r="55" spans="1:26" x14ac:dyDescent="0.3">
      <c r="A55" s="31">
        <v>4036.92</v>
      </c>
      <c r="B55" s="32">
        <v>4464.3900000000003</v>
      </c>
      <c r="C55" s="32">
        <v>4814.96</v>
      </c>
      <c r="D55" s="32">
        <v>6971.95</v>
      </c>
      <c r="E55" s="32">
        <v>480</v>
      </c>
      <c r="F55" s="32">
        <v>4838</v>
      </c>
      <c r="G55" s="32">
        <v>5573.66</v>
      </c>
      <c r="H55" s="22">
        <f>SUM(A55:G55)+I46</f>
        <v>51891.45</v>
      </c>
      <c r="I55" s="33" t="s">
        <v>1</v>
      </c>
      <c r="L55" s="32">
        <v>4250</v>
      </c>
      <c r="M55" s="32">
        <v>95</v>
      </c>
      <c r="N55" s="32">
        <v>4610</v>
      </c>
      <c r="O55" s="32">
        <v>165</v>
      </c>
      <c r="P55" s="32">
        <v>3888</v>
      </c>
      <c r="Q55" s="32">
        <v>1183.5</v>
      </c>
      <c r="R55" s="32">
        <v>2366</v>
      </c>
      <c r="S55" s="32">
        <v>1341.8</v>
      </c>
      <c r="T55" s="32">
        <v>612</v>
      </c>
      <c r="U55" s="32">
        <v>0</v>
      </c>
      <c r="V55" s="32">
        <v>5278</v>
      </c>
      <c r="W55" s="32">
        <v>415</v>
      </c>
      <c r="X55" s="32">
        <v>4284</v>
      </c>
      <c r="Y55" s="22">
        <v>62.5</v>
      </c>
      <c r="Z55" s="33">
        <f>M55+O55+Q55+S55+U55+W55+Y55</f>
        <v>3262.8</v>
      </c>
    </row>
    <row r="56" spans="1:26" ht="15" thickBot="1" x14ac:dyDescent="0.35">
      <c r="A56" s="34">
        <f>A54-A55</f>
        <v>0</v>
      </c>
      <c r="B56" s="35">
        <f>B54-B55</f>
        <v>0</v>
      </c>
      <c r="C56" s="35">
        <f t="shared" ref="C56:F56" si="15">C54-C55</f>
        <v>0</v>
      </c>
      <c r="D56" s="35">
        <f t="shared" si="15"/>
        <v>0</v>
      </c>
      <c r="E56" s="35">
        <f t="shared" si="15"/>
        <v>0</v>
      </c>
      <c r="F56" s="35">
        <f t="shared" si="15"/>
        <v>0</v>
      </c>
      <c r="G56" s="35">
        <f>G54-G55</f>
        <v>0</v>
      </c>
      <c r="H56" s="35"/>
      <c r="I56" s="36"/>
      <c r="L56" s="86">
        <f t="shared" ref="L56:R56" si="16">L54-L55</f>
        <v>0</v>
      </c>
      <c r="M56" s="86">
        <f t="shared" si="16"/>
        <v>0</v>
      </c>
      <c r="N56" s="86">
        <f t="shared" si="16"/>
        <v>0</v>
      </c>
      <c r="O56" s="86">
        <f t="shared" si="16"/>
        <v>0</v>
      </c>
      <c r="P56" s="86">
        <f t="shared" si="16"/>
        <v>0</v>
      </c>
      <c r="Q56" s="86">
        <f t="shared" si="16"/>
        <v>0</v>
      </c>
      <c r="R56" s="86">
        <f t="shared" si="16"/>
        <v>0</v>
      </c>
      <c r="S56" s="86">
        <f>S54-S55</f>
        <v>0</v>
      </c>
      <c r="T56" s="86">
        <f t="shared" ref="T56:Y56" si="17">T54-T55</f>
        <v>0</v>
      </c>
      <c r="U56" s="86">
        <f t="shared" si="17"/>
        <v>0</v>
      </c>
      <c r="V56" s="86">
        <f t="shared" si="17"/>
        <v>0</v>
      </c>
      <c r="W56" s="86">
        <f t="shared" si="17"/>
        <v>0</v>
      </c>
      <c r="X56" s="86">
        <f t="shared" si="17"/>
        <v>0</v>
      </c>
      <c r="Y56" s="86">
        <f t="shared" si="17"/>
        <v>0</v>
      </c>
      <c r="Z56" s="87"/>
    </row>
    <row r="57" spans="1:26" ht="15.6" thickTop="1" thickBot="1" x14ac:dyDescent="0.35"/>
    <row r="58" spans="1:26" x14ac:dyDescent="0.3">
      <c r="A58" s="17">
        <v>45252</v>
      </c>
      <c r="B58" s="17">
        <v>45253</v>
      </c>
      <c r="C58" s="17">
        <v>45254</v>
      </c>
      <c r="D58" s="17">
        <v>45255</v>
      </c>
      <c r="E58" s="17">
        <v>45256</v>
      </c>
      <c r="F58" s="17">
        <v>45257</v>
      </c>
      <c r="G58" s="17">
        <v>45258</v>
      </c>
      <c r="H58" s="39"/>
      <c r="I58" s="13" t="s">
        <v>8</v>
      </c>
      <c r="L58" s="119" t="s">
        <v>23</v>
      </c>
      <c r="M58" s="59"/>
      <c r="N58" s="119" t="s">
        <v>24</v>
      </c>
      <c r="O58" s="59"/>
      <c r="P58" s="119" t="s">
        <v>25</v>
      </c>
      <c r="Q58" s="59"/>
      <c r="R58" s="119" t="s">
        <v>26</v>
      </c>
      <c r="S58" s="59"/>
      <c r="T58" s="119" t="s">
        <v>27</v>
      </c>
      <c r="U58" s="59"/>
      <c r="V58" s="119" t="s">
        <v>28</v>
      </c>
      <c r="W58" s="59"/>
      <c r="X58" s="119" t="s">
        <v>29</v>
      </c>
      <c r="Y58" s="59"/>
      <c r="Z58" s="13"/>
    </row>
    <row r="59" spans="1:26" ht="15" thickBot="1" x14ac:dyDescent="0.35">
      <c r="A59" s="21">
        <v>1650.59</v>
      </c>
      <c r="B59" s="22">
        <v>1838.66</v>
      </c>
      <c r="C59" s="22">
        <v>805</v>
      </c>
      <c r="D59" s="22">
        <v>725</v>
      </c>
      <c r="E59" s="22"/>
      <c r="F59" s="22">
        <v>1285</v>
      </c>
      <c r="G59" s="22">
        <v>1988.66</v>
      </c>
      <c r="H59" s="37"/>
      <c r="I59" s="14">
        <v>3948.5</v>
      </c>
      <c r="L59" s="66" t="s">
        <v>10</v>
      </c>
      <c r="M59" s="66" t="s">
        <v>11</v>
      </c>
      <c r="N59" s="67" t="s">
        <v>10</v>
      </c>
      <c r="O59" s="67" t="s">
        <v>11</v>
      </c>
      <c r="P59" s="67" t="s">
        <v>10</v>
      </c>
      <c r="Q59" s="67" t="s">
        <v>11</v>
      </c>
      <c r="R59" s="67" t="s">
        <v>10</v>
      </c>
      <c r="S59" s="67" t="s">
        <v>11</v>
      </c>
      <c r="T59" s="67" t="s">
        <v>10</v>
      </c>
      <c r="U59" s="67" t="s">
        <v>11</v>
      </c>
      <c r="V59" s="67" t="s">
        <v>10</v>
      </c>
      <c r="W59" s="67" t="s">
        <v>11</v>
      </c>
      <c r="X59" s="67" t="s">
        <v>10</v>
      </c>
      <c r="Y59" s="67" t="s">
        <v>11</v>
      </c>
      <c r="Z59" s="14"/>
    </row>
    <row r="60" spans="1:26" x14ac:dyDescent="0.3">
      <c r="A60" s="24">
        <v>2190</v>
      </c>
      <c r="B60" s="22">
        <v>2615</v>
      </c>
      <c r="C60" s="22">
        <v>2030</v>
      </c>
      <c r="D60" s="22">
        <v>3295</v>
      </c>
      <c r="E60" s="25"/>
      <c r="F60" s="22">
        <v>2125</v>
      </c>
      <c r="G60" s="22">
        <v>2610</v>
      </c>
      <c r="H60" s="37"/>
      <c r="I60" s="14">
        <v>1341.47</v>
      </c>
      <c r="L60" s="75">
        <v>430</v>
      </c>
      <c r="M60" s="76">
        <v>24</v>
      </c>
      <c r="N60" s="77">
        <v>840</v>
      </c>
      <c r="O60" s="77">
        <v>60</v>
      </c>
      <c r="P60" s="77">
        <v>730</v>
      </c>
      <c r="Q60" s="77">
        <v>50</v>
      </c>
      <c r="R60" s="77">
        <v>3930</v>
      </c>
      <c r="S60" s="77">
        <v>35</v>
      </c>
      <c r="T60" s="78">
        <v>880</v>
      </c>
      <c r="U60" s="69">
        <v>0</v>
      </c>
      <c r="V60" s="63">
        <v>260</v>
      </c>
      <c r="W60" s="63">
        <v>42.5</v>
      </c>
      <c r="X60" s="63">
        <v>600</v>
      </c>
      <c r="Y60" s="65">
        <v>780</v>
      </c>
      <c r="Z60" s="14"/>
    </row>
    <row r="61" spans="1:26" x14ac:dyDescent="0.3">
      <c r="A61" s="24">
        <v>965</v>
      </c>
      <c r="B61" s="22">
        <v>1055</v>
      </c>
      <c r="C61" s="22">
        <v>1988.66</v>
      </c>
      <c r="D61" s="26"/>
      <c r="E61" s="22"/>
      <c r="F61" s="22">
        <v>1673.12</v>
      </c>
      <c r="G61" s="22">
        <v>590</v>
      </c>
      <c r="H61" s="37"/>
      <c r="I61" s="15">
        <v>4005.15</v>
      </c>
      <c r="L61" s="21">
        <v>2130</v>
      </c>
      <c r="M61" s="79">
        <v>42.5</v>
      </c>
      <c r="N61" s="43">
        <v>2295</v>
      </c>
      <c r="O61" s="43">
        <v>62.5</v>
      </c>
      <c r="P61" s="43">
        <v>216</v>
      </c>
      <c r="Q61" s="43">
        <v>60</v>
      </c>
      <c r="R61" s="80">
        <v>668</v>
      </c>
      <c r="S61" s="80">
        <v>1980</v>
      </c>
      <c r="T61" s="43">
        <v>72</v>
      </c>
      <c r="U61" s="22"/>
      <c r="V61" s="22">
        <v>4385</v>
      </c>
      <c r="W61" s="22">
        <v>60</v>
      </c>
      <c r="X61" s="22">
        <v>2505</v>
      </c>
      <c r="Y61" s="37">
        <v>42.5</v>
      </c>
      <c r="Z61" s="15"/>
    </row>
    <row r="62" spans="1:26" x14ac:dyDescent="0.3">
      <c r="A62" s="24"/>
      <c r="B62" s="22"/>
      <c r="C62" s="22"/>
      <c r="D62" s="25"/>
      <c r="E62" s="22"/>
      <c r="F62" s="22"/>
      <c r="G62" s="22">
        <v>120</v>
      </c>
      <c r="H62" s="37"/>
      <c r="I62" s="15">
        <v>5922.75</v>
      </c>
      <c r="L62" s="21">
        <v>246</v>
      </c>
      <c r="M62" s="79">
        <v>1287.5</v>
      </c>
      <c r="N62" s="43">
        <v>396</v>
      </c>
      <c r="O62" s="43">
        <v>24</v>
      </c>
      <c r="P62" s="43">
        <v>3100</v>
      </c>
      <c r="Q62" s="43">
        <v>840</v>
      </c>
      <c r="R62" s="80">
        <v>410</v>
      </c>
      <c r="S62" s="81">
        <v>30</v>
      </c>
      <c r="T62" s="43"/>
      <c r="U62" s="22"/>
      <c r="V62" s="22">
        <v>324</v>
      </c>
      <c r="W62" s="22">
        <v>840</v>
      </c>
      <c r="X62" s="22">
        <v>396</v>
      </c>
      <c r="Y62" s="37">
        <v>124</v>
      </c>
      <c r="Z62" s="15"/>
    </row>
    <row r="63" spans="1:26" x14ac:dyDescent="0.3">
      <c r="A63" s="24"/>
      <c r="B63" s="22"/>
      <c r="C63" s="22"/>
      <c r="D63" s="22"/>
      <c r="E63" s="22"/>
      <c r="F63" s="22"/>
      <c r="G63" s="22"/>
      <c r="H63" s="37"/>
      <c r="I63" s="15">
        <v>4292.5</v>
      </c>
      <c r="L63" s="21">
        <v>540</v>
      </c>
      <c r="M63" s="79"/>
      <c r="N63" s="43">
        <v>695</v>
      </c>
      <c r="O63" s="43"/>
      <c r="P63" s="43">
        <v>480</v>
      </c>
      <c r="Q63" s="43"/>
      <c r="R63" s="43"/>
      <c r="S63" s="43"/>
      <c r="T63" s="43"/>
      <c r="U63" s="22"/>
      <c r="V63" s="22">
        <v>685</v>
      </c>
      <c r="W63" s="22"/>
      <c r="X63" s="22">
        <v>905</v>
      </c>
      <c r="Y63" s="37"/>
      <c r="Z63" s="15"/>
    </row>
    <row r="64" spans="1:26" x14ac:dyDescent="0.3">
      <c r="A64" s="24"/>
      <c r="B64" s="22"/>
      <c r="C64" s="22"/>
      <c r="D64" s="22"/>
      <c r="E64" s="22"/>
      <c r="F64" s="22"/>
      <c r="G64" s="22"/>
      <c r="H64" s="37"/>
      <c r="I64" s="15"/>
      <c r="L64" s="21">
        <v>24</v>
      </c>
      <c r="M64" s="79"/>
      <c r="N64" s="43">
        <v>24</v>
      </c>
      <c r="O64" s="43"/>
      <c r="P64" s="43"/>
      <c r="Q64" s="43"/>
      <c r="R64" s="43"/>
      <c r="S64" s="43"/>
      <c r="T64" s="43"/>
      <c r="U64" s="22"/>
      <c r="V64" s="22"/>
      <c r="W64" s="22"/>
      <c r="X64" s="22"/>
      <c r="Y64" s="37"/>
      <c r="Z64" s="15"/>
    </row>
    <row r="65" spans="1:26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19510.370000000003</v>
      </c>
      <c r="L65" s="21"/>
      <c r="M65" s="79"/>
      <c r="N65" s="43"/>
      <c r="O65" s="43"/>
      <c r="P65" s="43"/>
      <c r="Q65" s="43"/>
      <c r="R65" s="43"/>
      <c r="S65" s="43"/>
      <c r="T65" s="43"/>
      <c r="U65" s="22"/>
      <c r="V65" s="22"/>
      <c r="W65" s="22"/>
      <c r="X65" s="22"/>
      <c r="Y65" s="37"/>
      <c r="Z65" s="83"/>
    </row>
    <row r="66" spans="1:26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L66" s="24"/>
      <c r="M66" s="5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37"/>
      <c r="Z66" s="16">
        <f>SUM(Z59:Z64)</f>
        <v>0</v>
      </c>
    </row>
    <row r="67" spans="1:26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L67" s="24"/>
      <c r="M67" s="5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38"/>
    </row>
    <row r="68" spans="1:26" x14ac:dyDescent="0.3">
      <c r="A68" s="24"/>
      <c r="B68" s="22"/>
      <c r="C68" s="22"/>
      <c r="D68" s="22"/>
      <c r="E68" s="22"/>
      <c r="F68" s="22"/>
      <c r="G68" s="22"/>
      <c r="H68" s="22"/>
      <c r="I68" s="23"/>
      <c r="L68" s="24"/>
      <c r="M68" s="5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</row>
    <row r="69" spans="1:26" x14ac:dyDescent="0.3">
      <c r="A69" s="24"/>
      <c r="B69" s="22"/>
      <c r="C69" s="22"/>
      <c r="D69" s="22"/>
      <c r="E69" s="22"/>
      <c r="F69" s="22"/>
      <c r="G69" s="22"/>
      <c r="H69" s="22"/>
      <c r="I69" s="23"/>
      <c r="L69" s="24"/>
      <c r="M69" s="5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</row>
    <row r="70" spans="1:26" x14ac:dyDescent="0.3">
      <c r="A70" s="24"/>
      <c r="B70" s="22"/>
      <c r="C70" s="22"/>
      <c r="D70" s="22"/>
      <c r="E70" s="22"/>
      <c r="F70" s="22"/>
      <c r="G70" s="22"/>
      <c r="H70" s="22"/>
      <c r="I70" s="23"/>
      <c r="L70" s="24"/>
      <c r="M70" s="5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</row>
    <row r="71" spans="1:26" x14ac:dyDescent="0.3">
      <c r="A71" s="24"/>
      <c r="B71" s="22"/>
      <c r="C71" s="22"/>
      <c r="D71" s="22"/>
      <c r="E71" s="22"/>
      <c r="F71" s="22"/>
      <c r="G71" s="22"/>
      <c r="H71" s="22"/>
      <c r="I71" s="23"/>
      <c r="L71" s="24"/>
      <c r="M71" s="5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3"/>
    </row>
    <row r="72" spans="1:26" x14ac:dyDescent="0.3">
      <c r="A72" s="24"/>
      <c r="B72" s="22"/>
      <c r="C72" s="22"/>
      <c r="D72" s="22"/>
      <c r="E72" s="22"/>
      <c r="F72" s="28"/>
      <c r="G72" s="22"/>
      <c r="H72" s="22"/>
      <c r="I72" s="23"/>
      <c r="L72" s="24"/>
      <c r="M72" s="56"/>
      <c r="N72" s="22"/>
      <c r="O72" s="22"/>
      <c r="P72" s="22"/>
      <c r="Q72" s="22"/>
      <c r="R72" s="22"/>
      <c r="S72" s="22"/>
      <c r="T72" s="22"/>
      <c r="U72" s="22"/>
      <c r="V72" s="28"/>
      <c r="W72" s="28"/>
      <c r="X72" s="22"/>
      <c r="Y72" s="22"/>
      <c r="Z72" s="23"/>
    </row>
    <row r="73" spans="1:26" x14ac:dyDescent="0.3">
      <c r="A73" s="24">
        <f t="shared" ref="A73:G73" si="18">SUM(A59:A72)</f>
        <v>4805.59</v>
      </c>
      <c r="B73" s="22">
        <f t="shared" si="18"/>
        <v>5508.66</v>
      </c>
      <c r="C73" s="22">
        <f t="shared" si="18"/>
        <v>4823.66</v>
      </c>
      <c r="D73" s="22">
        <f t="shared" si="18"/>
        <v>4020</v>
      </c>
      <c r="E73" s="22">
        <f t="shared" si="18"/>
        <v>0</v>
      </c>
      <c r="F73" s="22">
        <f t="shared" si="18"/>
        <v>5083.12</v>
      </c>
      <c r="G73" s="22">
        <f t="shared" si="18"/>
        <v>5308.66</v>
      </c>
      <c r="H73" s="29">
        <f>SUM(A73:G73)+I65</f>
        <v>49060.06</v>
      </c>
      <c r="I73" s="30" t="s">
        <v>7</v>
      </c>
      <c r="L73" s="24">
        <f t="shared" ref="L73:R73" si="19">SUM(L60:L72)</f>
        <v>3370</v>
      </c>
      <c r="M73" s="22">
        <f t="shared" si="19"/>
        <v>1354</v>
      </c>
      <c r="N73" s="22">
        <f t="shared" si="19"/>
        <v>4250</v>
      </c>
      <c r="O73" s="22">
        <f t="shared" si="19"/>
        <v>146.5</v>
      </c>
      <c r="P73" s="22">
        <f t="shared" si="19"/>
        <v>4526</v>
      </c>
      <c r="Q73" s="22">
        <f t="shared" si="19"/>
        <v>950</v>
      </c>
      <c r="R73" s="22">
        <f t="shared" si="19"/>
        <v>5008</v>
      </c>
      <c r="S73" s="22">
        <f>SUM(S60:S72)</f>
        <v>2045</v>
      </c>
      <c r="T73" s="22">
        <f t="shared" ref="T73:Y73" si="20">SUM(T60:T72)</f>
        <v>952</v>
      </c>
      <c r="U73" s="22">
        <f t="shared" si="20"/>
        <v>0</v>
      </c>
      <c r="V73" s="22">
        <f t="shared" si="20"/>
        <v>5654</v>
      </c>
      <c r="W73" s="22">
        <f t="shared" si="20"/>
        <v>942.5</v>
      </c>
      <c r="X73" s="22">
        <f t="shared" si="20"/>
        <v>4406</v>
      </c>
      <c r="Y73" s="22">
        <f t="shared" si="20"/>
        <v>946.5</v>
      </c>
      <c r="Z73" s="33">
        <f>L74+N74+P74+R74+T74+V74+X74</f>
        <v>28166</v>
      </c>
    </row>
    <row r="74" spans="1:26" x14ac:dyDescent="0.3">
      <c r="A74" s="31">
        <v>4805.59</v>
      </c>
      <c r="B74" s="32">
        <v>5508.66</v>
      </c>
      <c r="C74" s="32">
        <v>4823.66</v>
      </c>
      <c r="D74" s="32">
        <v>4020</v>
      </c>
      <c r="E74" s="32">
        <v>0</v>
      </c>
      <c r="F74" s="32">
        <v>5083.12</v>
      </c>
      <c r="G74" s="32">
        <v>5188.66</v>
      </c>
      <c r="H74" s="22">
        <f>SUM(A74:G74)+I65</f>
        <v>48940.06</v>
      </c>
      <c r="I74" s="33" t="s">
        <v>1</v>
      </c>
      <c r="L74" s="32">
        <v>3370</v>
      </c>
      <c r="M74" s="32">
        <v>1354</v>
      </c>
      <c r="N74" s="32">
        <v>4250</v>
      </c>
      <c r="O74" s="32">
        <v>146.5</v>
      </c>
      <c r="P74" s="32">
        <v>4526</v>
      </c>
      <c r="Q74" s="32">
        <v>950</v>
      </c>
      <c r="R74" s="32">
        <v>5008</v>
      </c>
      <c r="S74" s="32">
        <v>2045</v>
      </c>
      <c r="T74" s="32">
        <v>952</v>
      </c>
      <c r="U74" s="32">
        <v>0</v>
      </c>
      <c r="V74" s="32">
        <v>5654</v>
      </c>
      <c r="W74" s="32">
        <v>942.5</v>
      </c>
      <c r="X74" s="32">
        <v>4406</v>
      </c>
      <c r="Y74" s="22">
        <v>946.5</v>
      </c>
      <c r="Z74" s="33">
        <f>M74+O74+Q74+S74+U74+W74+Y74</f>
        <v>6384.5</v>
      </c>
    </row>
    <row r="75" spans="1:26" ht="15" thickBot="1" x14ac:dyDescent="0.35">
      <c r="A75" s="34">
        <f>A73-A74</f>
        <v>0</v>
      </c>
      <c r="B75" s="35">
        <f>B73-B74</f>
        <v>0</v>
      </c>
      <c r="C75" s="35">
        <f t="shared" ref="C75:F75" si="21">C73-C74</f>
        <v>0</v>
      </c>
      <c r="D75" s="35">
        <f t="shared" si="21"/>
        <v>0</v>
      </c>
      <c r="E75" s="35">
        <f t="shared" si="21"/>
        <v>0</v>
      </c>
      <c r="F75" s="35">
        <f t="shared" si="21"/>
        <v>0</v>
      </c>
      <c r="G75" s="35">
        <f>G73-G74</f>
        <v>120</v>
      </c>
      <c r="H75" s="35"/>
      <c r="I75" s="36"/>
      <c r="L75" s="86">
        <f t="shared" ref="L75:R75" si="22">L73-L74</f>
        <v>0</v>
      </c>
      <c r="M75" s="86">
        <f t="shared" si="22"/>
        <v>0</v>
      </c>
      <c r="N75" s="86">
        <f t="shared" si="22"/>
        <v>0</v>
      </c>
      <c r="O75" s="86">
        <f t="shared" si="22"/>
        <v>0</v>
      </c>
      <c r="P75" s="86">
        <f t="shared" si="22"/>
        <v>0</v>
      </c>
      <c r="Q75" s="86">
        <f t="shared" si="22"/>
        <v>0</v>
      </c>
      <c r="R75" s="86">
        <f t="shared" si="22"/>
        <v>0</v>
      </c>
      <c r="S75" s="86">
        <f>S73-S74</f>
        <v>0</v>
      </c>
      <c r="T75" s="86">
        <f t="shared" ref="T75:Y75" si="23">T73-T74</f>
        <v>0</v>
      </c>
      <c r="U75" s="86">
        <f t="shared" si="23"/>
        <v>0</v>
      </c>
      <c r="V75" s="86">
        <f t="shared" si="23"/>
        <v>0</v>
      </c>
      <c r="W75" s="86">
        <f t="shared" si="23"/>
        <v>0</v>
      </c>
      <c r="X75" s="86">
        <f t="shared" si="23"/>
        <v>0</v>
      </c>
      <c r="Y75" s="86">
        <f t="shared" si="23"/>
        <v>0</v>
      </c>
      <c r="Z75" s="87"/>
    </row>
    <row r="76" spans="1:26" ht="15.6" thickTop="1" thickBot="1" x14ac:dyDescent="0.35"/>
    <row r="77" spans="1:26" x14ac:dyDescent="0.3">
      <c r="A77" s="17">
        <v>45259</v>
      </c>
      <c r="B77" s="18">
        <v>45260</v>
      </c>
      <c r="C77" s="18">
        <v>45261</v>
      </c>
      <c r="D77" s="18">
        <v>45262</v>
      </c>
      <c r="E77" s="18">
        <v>45263</v>
      </c>
      <c r="F77" s="18">
        <v>45264</v>
      </c>
      <c r="G77" s="18">
        <v>45265</v>
      </c>
      <c r="H77" s="39"/>
      <c r="I77" s="13" t="s">
        <v>8</v>
      </c>
      <c r="L77" s="59">
        <v>45259</v>
      </c>
      <c r="M77" s="59"/>
      <c r="N77" s="119">
        <v>45260</v>
      </c>
      <c r="O77" s="59"/>
      <c r="P77" s="119">
        <v>45261</v>
      </c>
      <c r="Q77" s="59"/>
      <c r="R77" s="119">
        <v>45262</v>
      </c>
      <c r="S77" s="59"/>
      <c r="T77" s="119">
        <v>45263</v>
      </c>
      <c r="U77" s="59"/>
      <c r="V77" s="119">
        <v>45264</v>
      </c>
      <c r="W77" s="59"/>
      <c r="X77" s="119">
        <v>45265</v>
      </c>
      <c r="Y77" s="59"/>
      <c r="Z77" s="13"/>
    </row>
    <row r="78" spans="1:26" ht="15" thickBot="1" x14ac:dyDescent="0.35">
      <c r="A78" s="21">
        <v>1903.72</v>
      </c>
      <c r="B78" s="22">
        <v>1110</v>
      </c>
      <c r="C78" s="22">
        <v>2108.36</v>
      </c>
      <c r="D78" s="22">
        <v>1175</v>
      </c>
      <c r="E78" s="22">
        <v>735</v>
      </c>
      <c r="F78" s="22">
        <v>1988.66</v>
      </c>
      <c r="G78" s="22">
        <v>2116.0700000000002</v>
      </c>
      <c r="H78" s="37"/>
      <c r="I78" s="14">
        <v>5922.75</v>
      </c>
      <c r="L78" s="66" t="s">
        <v>10</v>
      </c>
      <c r="M78" s="66" t="s">
        <v>11</v>
      </c>
      <c r="N78" s="67" t="s">
        <v>10</v>
      </c>
      <c r="O78" s="67" t="s">
        <v>11</v>
      </c>
      <c r="P78" s="67" t="s">
        <v>10</v>
      </c>
      <c r="Q78" s="67" t="s">
        <v>11</v>
      </c>
      <c r="R78" s="67" t="s">
        <v>10</v>
      </c>
      <c r="S78" s="67" t="s">
        <v>11</v>
      </c>
      <c r="T78" s="67" t="s">
        <v>10</v>
      </c>
      <c r="U78" s="67" t="s">
        <v>11</v>
      </c>
      <c r="V78" s="67" t="s">
        <v>10</v>
      </c>
      <c r="W78" s="67" t="s">
        <v>11</v>
      </c>
      <c r="X78" s="67" t="s">
        <v>10</v>
      </c>
      <c r="Y78" s="67" t="s">
        <v>11</v>
      </c>
      <c r="Z78" s="14"/>
    </row>
    <row r="79" spans="1:26" x14ac:dyDescent="0.3">
      <c r="A79" s="24">
        <v>2250</v>
      </c>
      <c r="B79" s="22">
        <v>2265</v>
      </c>
      <c r="C79" s="22">
        <v>2230</v>
      </c>
      <c r="D79" s="22">
        <v>905</v>
      </c>
      <c r="E79" s="25"/>
      <c r="F79" s="22">
        <v>2745</v>
      </c>
      <c r="G79" s="22">
        <v>2180</v>
      </c>
      <c r="H79" s="37"/>
      <c r="I79" s="14">
        <v>5289.97</v>
      </c>
      <c r="L79" s="75">
        <v>665</v>
      </c>
      <c r="M79" s="76">
        <v>35</v>
      </c>
      <c r="N79" s="77">
        <v>48</v>
      </c>
      <c r="O79" s="77">
        <v>382.5</v>
      </c>
      <c r="P79" s="77">
        <v>480</v>
      </c>
      <c r="Q79" s="77">
        <v>1091.5999999999999</v>
      </c>
      <c r="R79" s="77">
        <v>2170</v>
      </c>
      <c r="S79" s="77">
        <v>50</v>
      </c>
      <c r="T79" s="78">
        <v>350</v>
      </c>
      <c r="U79" s="69">
        <v>0</v>
      </c>
      <c r="V79" s="63">
        <v>540</v>
      </c>
      <c r="W79" s="63">
        <v>60</v>
      </c>
      <c r="X79" s="63">
        <v>765</v>
      </c>
      <c r="Y79" s="65">
        <v>28</v>
      </c>
      <c r="Z79" s="14"/>
    </row>
    <row r="80" spans="1:26" x14ac:dyDescent="0.3">
      <c r="A80" s="24">
        <v>910</v>
      </c>
      <c r="B80" s="22">
        <v>1970.53</v>
      </c>
      <c r="C80" s="22">
        <v>725</v>
      </c>
      <c r="D80" s="26"/>
      <c r="E80" s="22"/>
      <c r="F80" s="22">
        <v>995</v>
      </c>
      <c r="G80" s="22">
        <v>992.5</v>
      </c>
      <c r="H80" s="37"/>
      <c r="I80" s="15">
        <v>4005.15</v>
      </c>
      <c r="L80" s="21">
        <v>24</v>
      </c>
      <c r="M80" s="79"/>
      <c r="N80" s="43">
        <v>945</v>
      </c>
      <c r="O80" s="43">
        <v>42.5</v>
      </c>
      <c r="P80" s="43">
        <v>3470</v>
      </c>
      <c r="Q80" s="43">
        <v>50</v>
      </c>
      <c r="R80" s="80">
        <v>370</v>
      </c>
      <c r="S80" s="80">
        <v>30</v>
      </c>
      <c r="T80" s="43">
        <v>84</v>
      </c>
      <c r="U80" s="22"/>
      <c r="V80" s="22">
        <v>3305</v>
      </c>
      <c r="W80" s="22">
        <v>432.5</v>
      </c>
      <c r="X80" s="22">
        <v>2985</v>
      </c>
      <c r="Y80" s="37">
        <v>265.5</v>
      </c>
      <c r="Z80" s="15"/>
    </row>
    <row r="81" spans="1:26" x14ac:dyDescent="0.3">
      <c r="A81" s="24"/>
      <c r="B81" s="22"/>
      <c r="C81" s="22"/>
      <c r="D81" s="25"/>
      <c r="E81" s="22"/>
      <c r="F81" s="22"/>
      <c r="G81" s="22"/>
      <c r="H81" s="37"/>
      <c r="I81" s="15">
        <v>4292.5</v>
      </c>
      <c r="L81" s="21">
        <v>2745</v>
      </c>
      <c r="M81" s="79"/>
      <c r="N81" s="43">
        <v>396</v>
      </c>
      <c r="O81" s="43"/>
      <c r="P81" s="43">
        <v>180</v>
      </c>
      <c r="Q81" s="43"/>
      <c r="R81" s="80">
        <v>410</v>
      </c>
      <c r="S81" s="81"/>
      <c r="T81" s="43"/>
      <c r="U81" s="22"/>
      <c r="V81" s="22">
        <v>336</v>
      </c>
      <c r="W81" s="22"/>
      <c r="X81" s="22">
        <v>740</v>
      </c>
      <c r="Y81" s="37">
        <v>499.9</v>
      </c>
      <c r="Z81" s="15"/>
    </row>
    <row r="82" spans="1:26" x14ac:dyDescent="0.3">
      <c r="A82" s="24"/>
      <c r="B82" s="22"/>
      <c r="C82" s="22"/>
      <c r="D82" s="22"/>
      <c r="E82" s="22"/>
      <c r="F82" s="22"/>
      <c r="G82" s="22"/>
      <c r="H82" s="37"/>
      <c r="I82" s="15"/>
      <c r="L82" s="21">
        <v>246</v>
      </c>
      <c r="M82" s="79"/>
      <c r="N82" s="43">
        <v>3075</v>
      </c>
      <c r="O82" s="43"/>
      <c r="P82" s="43">
        <v>930</v>
      </c>
      <c r="Q82" s="43"/>
      <c r="R82" s="43">
        <v>28</v>
      </c>
      <c r="S82" s="43"/>
      <c r="T82" s="43"/>
      <c r="U82" s="22"/>
      <c r="V82" s="22">
        <v>695</v>
      </c>
      <c r="W82" s="22"/>
      <c r="X82" s="22">
        <v>432</v>
      </c>
      <c r="Y82" s="37"/>
      <c r="Z82" s="15"/>
    </row>
    <row r="83" spans="1:26" x14ac:dyDescent="0.3">
      <c r="A83" s="24"/>
      <c r="B83" s="22"/>
      <c r="C83" s="22"/>
      <c r="D83" s="22"/>
      <c r="E83" s="22"/>
      <c r="F83" s="22"/>
      <c r="G83" s="22"/>
      <c r="H83" s="37"/>
      <c r="I83" s="15"/>
      <c r="L83" s="21">
        <v>240</v>
      </c>
      <c r="M83" s="79"/>
      <c r="N83" s="43">
        <v>480</v>
      </c>
      <c r="O83" s="43"/>
      <c r="P83" s="43"/>
      <c r="Q83" s="43"/>
      <c r="R83" s="43"/>
      <c r="S83" s="43"/>
      <c r="T83" s="43"/>
      <c r="U83" s="22"/>
      <c r="V83" s="22"/>
      <c r="W83" s="22"/>
      <c r="X83" s="22">
        <v>42</v>
      </c>
      <c r="Y83" s="37"/>
      <c r="Z83" s="15"/>
    </row>
    <row r="84" spans="1:26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19510.370000000003</v>
      </c>
      <c r="L84" s="21"/>
      <c r="M84" s="79"/>
      <c r="N84" s="43"/>
      <c r="O84" s="43"/>
      <c r="P84" s="43"/>
      <c r="Q84" s="43"/>
      <c r="R84" s="43"/>
      <c r="S84" s="43"/>
      <c r="T84" s="43"/>
      <c r="U84" s="22"/>
      <c r="V84" s="22"/>
      <c r="W84" s="22"/>
      <c r="X84" s="22"/>
      <c r="Y84" s="37"/>
      <c r="Z84" s="83"/>
    </row>
    <row r="85" spans="1:26" ht="15.6" thickTop="1" thickBot="1" x14ac:dyDescent="0.35">
      <c r="A85" s="24"/>
      <c r="B85" s="22"/>
      <c r="C85" s="22"/>
      <c r="D85" s="22"/>
      <c r="E85" s="22"/>
      <c r="F85" s="22"/>
      <c r="G85" s="22"/>
      <c r="H85" s="22"/>
      <c r="I85" s="40"/>
      <c r="L85" s="24"/>
      <c r="M85" s="56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37"/>
      <c r="Z85" s="16">
        <f>SUM(Z78:Z83)</f>
        <v>0</v>
      </c>
    </row>
    <row r="86" spans="1:26" ht="15" thickTop="1" x14ac:dyDescent="0.3">
      <c r="A86" s="24"/>
      <c r="B86" s="22"/>
      <c r="C86" s="22"/>
      <c r="D86" s="22"/>
      <c r="E86" s="22"/>
      <c r="F86" s="22"/>
      <c r="G86" s="22"/>
      <c r="H86" s="22"/>
      <c r="I86" s="27"/>
      <c r="L86" s="24"/>
      <c r="M86" s="5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38"/>
    </row>
    <row r="87" spans="1:26" x14ac:dyDescent="0.3">
      <c r="A87" s="24"/>
      <c r="B87" s="22"/>
      <c r="C87" s="22"/>
      <c r="D87" s="22"/>
      <c r="E87" s="22"/>
      <c r="F87" s="22"/>
      <c r="G87" s="22"/>
      <c r="H87" s="22"/>
      <c r="I87" s="27"/>
      <c r="L87" s="24"/>
      <c r="M87" s="5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3"/>
    </row>
    <row r="88" spans="1:26" x14ac:dyDescent="0.3">
      <c r="A88" s="24"/>
      <c r="B88" s="22"/>
      <c r="C88" s="22"/>
      <c r="D88" s="22"/>
      <c r="E88" s="22"/>
      <c r="F88" s="22"/>
      <c r="G88" s="22"/>
      <c r="H88" s="22"/>
      <c r="I88" s="23"/>
      <c r="L88" s="24"/>
      <c r="M88" s="5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3"/>
    </row>
    <row r="89" spans="1:26" x14ac:dyDescent="0.3">
      <c r="A89" s="24"/>
      <c r="B89" s="22"/>
      <c r="C89" s="22"/>
      <c r="D89" s="22"/>
      <c r="E89" s="22"/>
      <c r="F89" s="22"/>
      <c r="G89" s="22"/>
      <c r="H89" s="22"/>
      <c r="I89" s="23"/>
      <c r="L89" s="24"/>
      <c r="M89" s="5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3"/>
    </row>
    <row r="90" spans="1:26" x14ac:dyDescent="0.3">
      <c r="A90" s="24"/>
      <c r="B90" s="22"/>
      <c r="C90" s="22"/>
      <c r="D90" s="22"/>
      <c r="E90" s="22"/>
      <c r="F90" s="22"/>
      <c r="G90" s="22"/>
      <c r="H90" s="22"/>
      <c r="I90" s="23"/>
      <c r="L90" s="24"/>
      <c r="M90" s="5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3"/>
    </row>
    <row r="91" spans="1:26" x14ac:dyDescent="0.3">
      <c r="A91" s="24"/>
      <c r="B91" s="22"/>
      <c r="C91" s="22"/>
      <c r="D91" s="22"/>
      <c r="E91" s="22"/>
      <c r="F91" s="28"/>
      <c r="G91" s="22"/>
      <c r="H91" s="22"/>
      <c r="I91" s="23"/>
      <c r="L91" s="24"/>
      <c r="M91" s="56"/>
      <c r="N91" s="22"/>
      <c r="O91" s="22"/>
      <c r="P91" s="22"/>
      <c r="Q91" s="22"/>
      <c r="R91" s="22"/>
      <c r="S91" s="22"/>
      <c r="T91" s="22"/>
      <c r="U91" s="22"/>
      <c r="V91" s="28"/>
      <c r="W91" s="28"/>
      <c r="X91" s="22"/>
      <c r="Y91" s="22"/>
      <c r="Z91" s="23"/>
    </row>
    <row r="92" spans="1:26" x14ac:dyDescent="0.3">
      <c r="A92" s="24">
        <f t="shared" ref="A92:G92" si="24">SUM(A78:A91)</f>
        <v>5063.72</v>
      </c>
      <c r="B92" s="22">
        <f t="shared" si="24"/>
        <v>5345.53</v>
      </c>
      <c r="C92" s="22">
        <f t="shared" si="24"/>
        <v>5063.3600000000006</v>
      </c>
      <c r="D92" s="22">
        <f t="shared" si="24"/>
        <v>2080</v>
      </c>
      <c r="E92" s="22">
        <f t="shared" si="24"/>
        <v>735</v>
      </c>
      <c r="F92" s="22">
        <f t="shared" si="24"/>
        <v>5728.66</v>
      </c>
      <c r="G92" s="22">
        <f t="shared" si="24"/>
        <v>5288.57</v>
      </c>
      <c r="H92" s="29">
        <f>SUM(A92:G92)+I84</f>
        <v>48815.210000000006</v>
      </c>
      <c r="I92" s="30" t="s">
        <v>7</v>
      </c>
      <c r="L92" s="24">
        <f t="shared" ref="L92:R92" si="25">SUM(L79:L91)</f>
        <v>3920</v>
      </c>
      <c r="M92" s="22">
        <f t="shared" si="25"/>
        <v>35</v>
      </c>
      <c r="N92" s="22">
        <f t="shared" si="25"/>
        <v>4944</v>
      </c>
      <c r="O92" s="22">
        <f t="shared" si="25"/>
        <v>425</v>
      </c>
      <c r="P92" s="22">
        <f t="shared" si="25"/>
        <v>5060</v>
      </c>
      <c r="Q92" s="22">
        <f t="shared" si="25"/>
        <v>1141.5999999999999</v>
      </c>
      <c r="R92" s="22">
        <f t="shared" si="25"/>
        <v>2978</v>
      </c>
      <c r="S92" s="22">
        <f>SUM(S79:S91)</f>
        <v>80</v>
      </c>
      <c r="T92" s="22">
        <f t="shared" ref="T92:Y92" si="26">SUM(T79:T91)</f>
        <v>434</v>
      </c>
      <c r="U92" s="22">
        <f t="shared" si="26"/>
        <v>0</v>
      </c>
      <c r="V92" s="22">
        <f t="shared" si="26"/>
        <v>4876</v>
      </c>
      <c r="W92" s="22">
        <f t="shared" si="26"/>
        <v>492.5</v>
      </c>
      <c r="X92" s="22">
        <f t="shared" si="26"/>
        <v>4964</v>
      </c>
      <c r="Y92" s="22">
        <f t="shared" si="26"/>
        <v>793.4</v>
      </c>
      <c r="Z92" s="33">
        <f>L93+N93+P93+R93+T93+V93+X93</f>
        <v>27176</v>
      </c>
    </row>
    <row r="93" spans="1:26" x14ac:dyDescent="0.3">
      <c r="A93" s="31">
        <v>5063.72</v>
      </c>
      <c r="B93" s="32">
        <v>5345.53</v>
      </c>
      <c r="C93" s="32">
        <v>5063.3599999999997</v>
      </c>
      <c r="D93" s="32">
        <v>2080</v>
      </c>
      <c r="E93" s="32">
        <v>735</v>
      </c>
      <c r="F93" s="32">
        <v>5848.66</v>
      </c>
      <c r="G93" s="32">
        <v>5288.57</v>
      </c>
      <c r="H93" s="22">
        <f>SUM(A93:G93)+I84</f>
        <v>48935.210000000006</v>
      </c>
      <c r="I93" s="33" t="s">
        <v>1</v>
      </c>
      <c r="L93" s="85">
        <v>3920</v>
      </c>
      <c r="M93" s="32">
        <v>35</v>
      </c>
      <c r="N93" s="32">
        <v>4944</v>
      </c>
      <c r="O93" s="32">
        <v>425</v>
      </c>
      <c r="P93" s="32">
        <v>5060</v>
      </c>
      <c r="Q93" s="32">
        <v>1141.5999999999999</v>
      </c>
      <c r="R93" s="32">
        <v>2978</v>
      </c>
      <c r="S93" s="32">
        <v>80</v>
      </c>
      <c r="T93" s="32">
        <v>434</v>
      </c>
      <c r="U93" s="32">
        <v>0</v>
      </c>
      <c r="V93" s="32">
        <v>4876</v>
      </c>
      <c r="W93" s="32">
        <v>492.5</v>
      </c>
      <c r="X93" s="32">
        <v>4964</v>
      </c>
      <c r="Y93" s="22">
        <v>793.4</v>
      </c>
      <c r="Z93" s="33">
        <f>M93+O93+Q93+S93+U93+W93+Y93</f>
        <v>2967.5</v>
      </c>
    </row>
    <row r="94" spans="1:26" ht="15" thickBot="1" x14ac:dyDescent="0.35">
      <c r="A94" s="34">
        <f>A92-A93</f>
        <v>0</v>
      </c>
      <c r="B94" s="35">
        <f>B92-B93</f>
        <v>0</v>
      </c>
      <c r="C94" s="35">
        <f t="shared" ref="C94:F94" si="27">C92-C93</f>
        <v>0</v>
      </c>
      <c r="D94" s="35">
        <f t="shared" si="27"/>
        <v>0</v>
      </c>
      <c r="E94" s="35">
        <f t="shared" si="27"/>
        <v>0</v>
      </c>
      <c r="F94" s="35">
        <f t="shared" si="27"/>
        <v>-120</v>
      </c>
      <c r="G94" s="35">
        <f>G92-G93</f>
        <v>0</v>
      </c>
      <c r="H94" s="35"/>
      <c r="I94" s="36"/>
      <c r="L94" s="86">
        <f t="shared" ref="L94:R94" si="28">L92-L93</f>
        <v>0</v>
      </c>
      <c r="M94" s="86">
        <f t="shared" si="28"/>
        <v>0</v>
      </c>
      <c r="N94" s="86">
        <f t="shared" si="28"/>
        <v>0</v>
      </c>
      <c r="O94" s="86">
        <v>0</v>
      </c>
      <c r="P94" s="86">
        <f t="shared" si="28"/>
        <v>0</v>
      </c>
      <c r="Q94" s="86">
        <f t="shared" si="28"/>
        <v>0</v>
      </c>
      <c r="R94" s="86">
        <f t="shared" si="28"/>
        <v>0</v>
      </c>
      <c r="S94" s="86">
        <f>S92-S93</f>
        <v>0</v>
      </c>
      <c r="T94" s="86">
        <f t="shared" ref="T94:Y94" si="29">T92-T93</f>
        <v>0</v>
      </c>
      <c r="U94" s="86">
        <f t="shared" si="29"/>
        <v>0</v>
      </c>
      <c r="V94" s="86">
        <f t="shared" si="29"/>
        <v>0</v>
      </c>
      <c r="W94" s="86">
        <f t="shared" si="29"/>
        <v>0</v>
      </c>
      <c r="X94" s="86">
        <f t="shared" si="29"/>
        <v>0</v>
      </c>
      <c r="Y94" s="86">
        <f t="shared" si="29"/>
        <v>0</v>
      </c>
      <c r="Z94" s="87"/>
    </row>
    <row r="95" spans="1:26" ht="15" thickTop="1" x14ac:dyDescent="0.3"/>
  </sheetData>
  <phoneticPr fontId="1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6AAB-5BAC-4A08-B122-5463B5921047}">
  <dimension ref="A1:Z95"/>
  <sheetViews>
    <sheetView topLeftCell="E50" workbookViewId="0">
      <selection activeCell="J17" sqref="J17"/>
    </sheetView>
  </sheetViews>
  <sheetFormatPr defaultRowHeight="14.4" x14ac:dyDescent="0.3"/>
  <cols>
    <col min="1" max="1" width="11.88671875" customWidth="1"/>
    <col min="2" max="2" width="11.33203125" customWidth="1"/>
    <col min="3" max="3" width="10.6640625" customWidth="1"/>
    <col min="4" max="4" width="11.5546875" customWidth="1"/>
    <col min="5" max="5" width="12.109375" customWidth="1"/>
    <col min="6" max="6" width="11.6640625" customWidth="1"/>
    <col min="7" max="7" width="11.5546875" customWidth="1"/>
    <col min="8" max="8" width="13.44140625" customWidth="1"/>
    <col min="9" max="9" width="12.44140625" customWidth="1"/>
    <col min="12" max="12" width="13.44140625" customWidth="1"/>
    <col min="13" max="13" width="12.33203125" customWidth="1"/>
    <col min="14" max="14" width="11.6640625" customWidth="1"/>
    <col min="15" max="15" width="11.109375" customWidth="1"/>
    <col min="16" max="16" width="10.5546875" customWidth="1"/>
    <col min="17" max="17" width="11.5546875" customWidth="1"/>
    <col min="18" max="18" width="10.5546875" customWidth="1"/>
    <col min="19" max="19" width="12.88671875" customWidth="1"/>
    <col min="20" max="20" width="10.33203125" customWidth="1"/>
    <col min="21" max="21" width="11.33203125" customWidth="1"/>
    <col min="22" max="22" width="12.33203125" customWidth="1"/>
    <col min="23" max="23" width="11.5546875" customWidth="1"/>
    <col min="24" max="24" width="12.109375" customWidth="1"/>
    <col min="25" max="25" width="11.88671875" customWidth="1"/>
    <col min="26" max="26" width="13" customWidth="1"/>
  </cols>
  <sheetData>
    <row r="1" spans="1:26" x14ac:dyDescent="0.3">
      <c r="A1" s="17">
        <v>45266</v>
      </c>
      <c r="B1" s="17">
        <v>45267</v>
      </c>
      <c r="C1" s="17">
        <v>45268</v>
      </c>
      <c r="D1" s="17">
        <v>45269</v>
      </c>
      <c r="E1" s="17">
        <v>45270</v>
      </c>
      <c r="F1" s="17">
        <v>45271</v>
      </c>
      <c r="G1" s="17">
        <v>45272</v>
      </c>
      <c r="H1" s="19"/>
      <c r="I1" s="20" t="s">
        <v>8</v>
      </c>
      <c r="L1" s="119">
        <v>45266</v>
      </c>
      <c r="M1" s="59"/>
      <c r="N1" s="119">
        <v>45267</v>
      </c>
      <c r="O1" s="59"/>
      <c r="P1" s="119">
        <v>45268</v>
      </c>
      <c r="Q1" s="59"/>
      <c r="R1" s="119">
        <v>45269</v>
      </c>
      <c r="S1" s="59"/>
      <c r="T1" s="119">
        <v>45270</v>
      </c>
      <c r="U1" s="59"/>
      <c r="V1" s="119">
        <v>45271</v>
      </c>
      <c r="W1" s="59"/>
      <c r="X1" s="119">
        <v>45272</v>
      </c>
      <c r="Y1" s="59"/>
      <c r="Z1" s="13"/>
    </row>
    <row r="2" spans="1:26" ht="15" thickBot="1" x14ac:dyDescent="0.35">
      <c r="A2" s="21">
        <v>2158.54</v>
      </c>
      <c r="B2" s="22">
        <v>1110</v>
      </c>
      <c r="C2" s="22">
        <v>2073.66</v>
      </c>
      <c r="D2" s="22">
        <v>3732.76</v>
      </c>
      <c r="E2" s="22">
        <v>580</v>
      </c>
      <c r="F2" s="22">
        <v>980</v>
      </c>
      <c r="G2" s="22">
        <v>1928</v>
      </c>
      <c r="H2" s="22"/>
      <c r="I2" s="23">
        <v>4005.15</v>
      </c>
      <c r="L2" s="66" t="s">
        <v>10</v>
      </c>
      <c r="M2" s="66" t="s">
        <v>11</v>
      </c>
      <c r="N2" s="67" t="s">
        <v>10</v>
      </c>
      <c r="O2" s="67" t="s">
        <v>11</v>
      </c>
      <c r="P2" s="67" t="s">
        <v>10</v>
      </c>
      <c r="Q2" s="67" t="s">
        <v>11</v>
      </c>
      <c r="R2" s="67" t="s">
        <v>10</v>
      </c>
      <c r="S2" s="67" t="s">
        <v>11</v>
      </c>
      <c r="T2" s="67" t="s">
        <v>10</v>
      </c>
      <c r="U2" s="67" t="s">
        <v>11</v>
      </c>
      <c r="V2" s="67" t="s">
        <v>10</v>
      </c>
      <c r="W2" s="67" t="s">
        <v>11</v>
      </c>
      <c r="X2" s="67" t="s">
        <v>10</v>
      </c>
      <c r="Y2" s="67" t="s">
        <v>11</v>
      </c>
      <c r="Z2" s="14"/>
    </row>
    <row r="3" spans="1:26" x14ac:dyDescent="0.3">
      <c r="A3" s="24">
        <v>2630</v>
      </c>
      <c r="B3" s="22">
        <v>3930</v>
      </c>
      <c r="C3" s="22">
        <v>2520</v>
      </c>
      <c r="D3" s="22">
        <v>1600</v>
      </c>
      <c r="E3" s="25"/>
      <c r="F3" s="22">
        <v>2775</v>
      </c>
      <c r="G3" s="22">
        <v>2840</v>
      </c>
      <c r="H3" s="22"/>
      <c r="I3" s="23">
        <v>3948.5</v>
      </c>
      <c r="L3" s="75">
        <v>480</v>
      </c>
      <c r="M3" s="76">
        <v>120</v>
      </c>
      <c r="N3" s="77">
        <v>620</v>
      </c>
      <c r="O3" s="77">
        <v>42.5</v>
      </c>
      <c r="P3" s="77">
        <v>540</v>
      </c>
      <c r="Q3" s="77">
        <v>102</v>
      </c>
      <c r="R3" s="77">
        <v>300</v>
      </c>
      <c r="S3" s="77">
        <v>1260</v>
      </c>
      <c r="T3" s="78">
        <v>480</v>
      </c>
      <c r="U3" s="69">
        <v>0</v>
      </c>
      <c r="V3" s="63">
        <v>520</v>
      </c>
      <c r="W3" s="63">
        <v>42.5</v>
      </c>
      <c r="X3" s="63">
        <v>560</v>
      </c>
      <c r="Y3" s="65">
        <v>180</v>
      </c>
      <c r="Z3" s="14"/>
    </row>
    <row r="4" spans="1:26" x14ac:dyDescent="0.3">
      <c r="A4" s="24">
        <v>910</v>
      </c>
      <c r="B4" s="22">
        <v>2073.6</v>
      </c>
      <c r="C4" s="22">
        <v>750</v>
      </c>
      <c r="D4" s="26">
        <v>785</v>
      </c>
      <c r="E4" s="22"/>
      <c r="F4" s="22">
        <v>2013</v>
      </c>
      <c r="G4" s="22">
        <v>760</v>
      </c>
      <c r="H4" s="22"/>
      <c r="I4" s="27">
        <v>1341.47</v>
      </c>
      <c r="L4" s="21">
        <v>2615</v>
      </c>
      <c r="M4" s="79">
        <v>95</v>
      </c>
      <c r="N4" s="43">
        <v>3345</v>
      </c>
      <c r="O4" s="43">
        <v>1860</v>
      </c>
      <c r="P4" s="43">
        <v>2660</v>
      </c>
      <c r="Q4" s="43">
        <v>50</v>
      </c>
      <c r="R4" s="80">
        <v>2440</v>
      </c>
      <c r="S4" s="80">
        <v>50</v>
      </c>
      <c r="T4" s="43">
        <v>84</v>
      </c>
      <c r="U4" s="22"/>
      <c r="V4" s="22">
        <v>5320</v>
      </c>
      <c r="W4" s="22">
        <v>80</v>
      </c>
      <c r="X4" s="22">
        <v>4465</v>
      </c>
      <c r="Y4" s="37">
        <v>110</v>
      </c>
      <c r="Z4" s="15"/>
    </row>
    <row r="5" spans="1:26" x14ac:dyDescent="0.3">
      <c r="A5" s="24"/>
      <c r="B5" s="22"/>
      <c r="C5" s="22"/>
      <c r="D5" s="25"/>
      <c r="E5" s="22"/>
      <c r="F5" s="22"/>
      <c r="G5" s="22"/>
      <c r="H5" s="22"/>
      <c r="I5" s="27">
        <v>5922.75</v>
      </c>
      <c r="L5" s="21">
        <v>258</v>
      </c>
      <c r="M5" s="79">
        <v>148</v>
      </c>
      <c r="N5" s="43">
        <v>432</v>
      </c>
      <c r="O5" s="43">
        <v>20</v>
      </c>
      <c r="P5" s="43">
        <v>180</v>
      </c>
      <c r="Q5" s="43">
        <v>1668.6</v>
      </c>
      <c r="R5" s="80">
        <v>476</v>
      </c>
      <c r="S5" s="81">
        <v>280</v>
      </c>
      <c r="T5" s="43"/>
      <c r="U5" s="22"/>
      <c r="V5" s="22">
        <v>360</v>
      </c>
      <c r="W5" s="22"/>
      <c r="X5" s="22">
        <v>432</v>
      </c>
      <c r="Y5" s="37"/>
      <c r="Z5" s="15"/>
    </row>
    <row r="6" spans="1:26" x14ac:dyDescent="0.3">
      <c r="A6" s="24"/>
      <c r="B6" s="22"/>
      <c r="C6" s="22"/>
      <c r="D6" s="22"/>
      <c r="E6" s="22"/>
      <c r="F6" s="22"/>
      <c r="G6" s="22"/>
      <c r="H6" s="22"/>
      <c r="I6" s="27">
        <v>4190</v>
      </c>
      <c r="L6" s="21">
        <v>645</v>
      </c>
      <c r="M6" s="79"/>
      <c r="N6" s="43">
        <v>300</v>
      </c>
      <c r="O6" s="43"/>
      <c r="P6" s="43">
        <v>910</v>
      </c>
      <c r="Q6" s="43"/>
      <c r="R6" s="43">
        <v>420</v>
      </c>
      <c r="S6" s="43"/>
      <c r="T6" s="43"/>
      <c r="U6" s="22"/>
      <c r="V6" s="22">
        <v>360</v>
      </c>
      <c r="W6" s="22"/>
      <c r="X6" s="22">
        <v>745</v>
      </c>
      <c r="Y6" s="37"/>
      <c r="Z6" s="15"/>
    </row>
    <row r="7" spans="1:26" x14ac:dyDescent="0.3">
      <c r="A7" s="24"/>
      <c r="B7" s="22"/>
      <c r="C7" s="22"/>
      <c r="D7" s="22"/>
      <c r="E7" s="22"/>
      <c r="F7" s="22"/>
      <c r="G7" s="22"/>
      <c r="H7" s="22"/>
      <c r="I7" s="27"/>
      <c r="L7" s="21">
        <v>27</v>
      </c>
      <c r="M7" s="79"/>
      <c r="N7" s="43"/>
      <c r="O7" s="43"/>
      <c r="P7" s="43"/>
      <c r="Q7" s="43"/>
      <c r="R7" s="43">
        <v>52</v>
      </c>
      <c r="S7" s="43"/>
      <c r="T7" s="43"/>
      <c r="U7" s="22"/>
      <c r="V7" s="22"/>
      <c r="W7" s="22"/>
      <c r="X7" s="22"/>
      <c r="Y7" s="37"/>
      <c r="Z7" s="15"/>
    </row>
    <row r="8" spans="1:26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19407.87</v>
      </c>
      <c r="L8" s="21"/>
      <c r="M8" s="79"/>
      <c r="N8" s="43"/>
      <c r="O8" s="43"/>
      <c r="P8" s="43"/>
      <c r="Q8" s="43"/>
      <c r="R8" s="43"/>
      <c r="S8" s="43"/>
      <c r="T8" s="43"/>
      <c r="U8" s="22"/>
      <c r="V8" s="22"/>
      <c r="W8" s="22"/>
      <c r="X8" s="22"/>
      <c r="Y8" s="37"/>
      <c r="Z8" s="83"/>
    </row>
    <row r="9" spans="1:26" ht="15.6" thickTop="1" thickBot="1" x14ac:dyDescent="0.35">
      <c r="A9" s="24"/>
      <c r="B9" s="22"/>
      <c r="C9" s="22"/>
      <c r="D9" s="22"/>
      <c r="E9" s="22"/>
      <c r="F9" s="22"/>
      <c r="G9" s="22"/>
      <c r="H9" s="22"/>
      <c r="I9" s="38"/>
      <c r="L9" s="24"/>
      <c r="M9" s="56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37"/>
      <c r="Z9" s="16">
        <f>SUM(Z2:Z7)</f>
        <v>0</v>
      </c>
    </row>
    <row r="10" spans="1:26" ht="15" thickTop="1" x14ac:dyDescent="0.3">
      <c r="A10" s="24"/>
      <c r="B10" s="22"/>
      <c r="C10" s="22"/>
      <c r="D10" s="22"/>
      <c r="E10" s="22"/>
      <c r="F10" s="22"/>
      <c r="G10" s="22"/>
      <c r="H10" s="22"/>
      <c r="I10" s="23"/>
      <c r="L10" s="24"/>
      <c r="M10" s="5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38"/>
    </row>
    <row r="11" spans="1:26" x14ac:dyDescent="0.3">
      <c r="A11" s="24"/>
      <c r="B11" s="22"/>
      <c r="C11" s="22"/>
      <c r="D11" s="22"/>
      <c r="E11" s="22"/>
      <c r="F11" s="22"/>
      <c r="G11" s="22"/>
      <c r="H11" s="22"/>
      <c r="I11" s="23"/>
      <c r="L11" s="24"/>
      <c r="M11" s="5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3"/>
    </row>
    <row r="12" spans="1:26" x14ac:dyDescent="0.3">
      <c r="A12" s="24"/>
      <c r="B12" s="22"/>
      <c r="C12" s="22"/>
      <c r="D12" s="22"/>
      <c r="E12" s="22"/>
      <c r="F12" s="22"/>
      <c r="G12" s="22"/>
      <c r="H12" s="22"/>
      <c r="I12" s="23"/>
      <c r="L12" s="24"/>
      <c r="M12" s="5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3"/>
    </row>
    <row r="13" spans="1:26" x14ac:dyDescent="0.3">
      <c r="A13" s="24"/>
      <c r="B13" s="22"/>
      <c r="C13" s="22"/>
      <c r="D13" s="22"/>
      <c r="E13" s="22"/>
      <c r="F13" s="22"/>
      <c r="G13" s="22"/>
      <c r="H13" s="22"/>
      <c r="I13" s="23"/>
      <c r="L13" s="24"/>
      <c r="M13" s="5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3"/>
    </row>
    <row r="14" spans="1:26" x14ac:dyDescent="0.3">
      <c r="A14" s="24"/>
      <c r="B14" s="22"/>
      <c r="C14" s="22"/>
      <c r="D14" s="22"/>
      <c r="E14" s="22"/>
      <c r="F14" s="22"/>
      <c r="G14" s="22"/>
      <c r="H14" s="22"/>
      <c r="I14" s="23"/>
      <c r="L14" s="24"/>
      <c r="M14" s="5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</row>
    <row r="15" spans="1:26" x14ac:dyDescent="0.3">
      <c r="A15" s="24"/>
      <c r="B15" s="22"/>
      <c r="C15" s="22"/>
      <c r="D15" s="22"/>
      <c r="E15" s="22"/>
      <c r="F15" s="28"/>
      <c r="G15" s="22"/>
      <c r="H15" s="22"/>
      <c r="I15" s="23"/>
      <c r="L15" s="24"/>
      <c r="M15" s="56"/>
      <c r="N15" s="22"/>
      <c r="O15" s="22"/>
      <c r="P15" s="22"/>
      <c r="Q15" s="22"/>
      <c r="R15" s="22"/>
      <c r="S15" s="22"/>
      <c r="T15" s="22"/>
      <c r="U15" s="22"/>
      <c r="V15" s="28"/>
      <c r="W15" s="28"/>
      <c r="X15" s="22"/>
      <c r="Y15" s="22"/>
      <c r="Z15" s="23"/>
    </row>
    <row r="16" spans="1:26" x14ac:dyDescent="0.3">
      <c r="A16" s="24">
        <f t="shared" ref="A16:G16" si="0">SUM(A2:A15)</f>
        <v>5698.54</v>
      </c>
      <c r="B16" s="22">
        <f t="shared" si="0"/>
        <v>7113.6</v>
      </c>
      <c r="C16" s="22">
        <f t="shared" si="0"/>
        <v>5343.66</v>
      </c>
      <c r="D16" s="22">
        <f t="shared" si="0"/>
        <v>6117.76</v>
      </c>
      <c r="E16" s="22">
        <f t="shared" si="0"/>
        <v>580</v>
      </c>
      <c r="F16" s="22">
        <f t="shared" si="0"/>
        <v>5768</v>
      </c>
      <c r="G16" s="22">
        <f t="shared" si="0"/>
        <v>5528</v>
      </c>
      <c r="H16" s="29">
        <f>SUM(A16:G16)+I8</f>
        <v>55557.429999999993</v>
      </c>
      <c r="I16" s="30" t="s">
        <v>7</v>
      </c>
      <c r="L16" s="24">
        <f t="shared" ref="L16:R16" si="1">SUM(L3:L15)</f>
        <v>4025</v>
      </c>
      <c r="M16" s="22">
        <f t="shared" si="1"/>
        <v>363</v>
      </c>
      <c r="N16" s="22">
        <f t="shared" si="1"/>
        <v>4697</v>
      </c>
      <c r="O16" s="22">
        <f t="shared" si="1"/>
        <v>1922.5</v>
      </c>
      <c r="P16" s="22">
        <f t="shared" si="1"/>
        <v>4290</v>
      </c>
      <c r="Q16" s="22">
        <f t="shared" si="1"/>
        <v>1820.6</v>
      </c>
      <c r="R16" s="22">
        <f t="shared" si="1"/>
        <v>3688</v>
      </c>
      <c r="S16" s="22">
        <f>SUM(S3:S15)</f>
        <v>1590</v>
      </c>
      <c r="T16" s="22">
        <f t="shared" ref="T16:Y16" si="2">SUM(T3:T15)</f>
        <v>564</v>
      </c>
      <c r="U16" s="22">
        <f t="shared" si="2"/>
        <v>0</v>
      </c>
      <c r="V16" s="22">
        <f t="shared" si="2"/>
        <v>6560</v>
      </c>
      <c r="W16" s="22">
        <f t="shared" si="2"/>
        <v>122.5</v>
      </c>
      <c r="X16" s="22">
        <f t="shared" si="2"/>
        <v>6202</v>
      </c>
      <c r="Y16" s="22">
        <f t="shared" si="2"/>
        <v>290</v>
      </c>
      <c r="Z16" s="33">
        <f>L17+N17+P17+R17+T17+V17+X17</f>
        <v>30026</v>
      </c>
    </row>
    <row r="17" spans="1:26" x14ac:dyDescent="0.3">
      <c r="A17" s="31">
        <v>5698.54</v>
      </c>
      <c r="B17" s="32">
        <v>7113.6</v>
      </c>
      <c r="C17" s="32">
        <v>5343.66</v>
      </c>
      <c r="D17" s="32">
        <v>6117.76</v>
      </c>
      <c r="E17" s="32">
        <v>580</v>
      </c>
      <c r="F17" s="32">
        <v>5768</v>
      </c>
      <c r="G17" s="32">
        <v>5528</v>
      </c>
      <c r="H17" s="22">
        <f>SUM(A17:G17)+I8</f>
        <v>55557.429999999993</v>
      </c>
      <c r="I17" s="33" t="s">
        <v>1</v>
      </c>
      <c r="L17" s="85">
        <v>4025</v>
      </c>
      <c r="M17" s="32">
        <v>363</v>
      </c>
      <c r="N17" s="32">
        <v>4697</v>
      </c>
      <c r="O17" s="32">
        <v>1922</v>
      </c>
      <c r="P17" s="32">
        <v>4290</v>
      </c>
      <c r="Q17" s="32">
        <v>1820.6</v>
      </c>
      <c r="R17" s="32">
        <v>3688</v>
      </c>
      <c r="S17" s="32">
        <v>1590</v>
      </c>
      <c r="T17" s="32">
        <v>564</v>
      </c>
      <c r="U17" s="32">
        <v>0</v>
      </c>
      <c r="V17" s="32">
        <v>6560</v>
      </c>
      <c r="W17" s="32">
        <v>122.5</v>
      </c>
      <c r="X17" s="32">
        <v>6202</v>
      </c>
      <c r="Y17" s="22">
        <v>290</v>
      </c>
      <c r="Z17" s="33">
        <f>M17+O17+Q17+S17+U17+W17+Y17</f>
        <v>6108.1</v>
      </c>
    </row>
    <row r="18" spans="1:26" ht="15" thickBot="1" x14ac:dyDescent="0.35">
      <c r="A18" s="34">
        <f>A16-A17</f>
        <v>0</v>
      </c>
      <c r="B18" s="35">
        <f>B16-B17</f>
        <v>0</v>
      </c>
      <c r="C18" s="35">
        <f t="shared" ref="C18:F18" si="3">C16-C17</f>
        <v>0</v>
      </c>
      <c r="D18" s="35">
        <f t="shared" si="3"/>
        <v>0</v>
      </c>
      <c r="E18" s="35">
        <f t="shared" si="3"/>
        <v>0</v>
      </c>
      <c r="F18" s="35">
        <f t="shared" si="3"/>
        <v>0</v>
      </c>
      <c r="G18" s="35">
        <f>G16-G17</f>
        <v>0</v>
      </c>
      <c r="H18" s="35"/>
      <c r="I18" s="36"/>
      <c r="L18" s="86">
        <f t="shared" ref="L18:R18" si="4">L16-L17</f>
        <v>0</v>
      </c>
      <c r="M18" s="86">
        <f t="shared" si="4"/>
        <v>0</v>
      </c>
      <c r="N18" s="86">
        <f t="shared" si="4"/>
        <v>0</v>
      </c>
      <c r="O18" s="86"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>S16-S17</f>
        <v>0</v>
      </c>
      <c r="T18" s="86">
        <f t="shared" ref="T18:Y18" si="5">T16-T17</f>
        <v>0</v>
      </c>
      <c r="U18" s="86">
        <f t="shared" si="5"/>
        <v>0</v>
      </c>
      <c r="V18" s="86">
        <f t="shared" si="5"/>
        <v>0</v>
      </c>
      <c r="W18" s="86">
        <f t="shared" si="5"/>
        <v>0</v>
      </c>
      <c r="X18" s="86">
        <f t="shared" si="5"/>
        <v>0</v>
      </c>
      <c r="Y18" s="86">
        <f t="shared" si="5"/>
        <v>0</v>
      </c>
      <c r="Z18" s="87"/>
    </row>
    <row r="19" spans="1:26" ht="15.6" thickTop="1" thickBot="1" x14ac:dyDescent="0.35"/>
    <row r="20" spans="1:26" x14ac:dyDescent="0.3">
      <c r="A20" s="17">
        <v>45273</v>
      </c>
      <c r="B20" s="17">
        <v>45274</v>
      </c>
      <c r="C20" s="17">
        <v>45275</v>
      </c>
      <c r="D20" s="17">
        <v>45276</v>
      </c>
      <c r="E20" s="17">
        <v>45277</v>
      </c>
      <c r="F20" s="17">
        <v>45278</v>
      </c>
      <c r="G20" s="17">
        <v>45279</v>
      </c>
      <c r="H20" s="39"/>
      <c r="I20" s="13" t="s">
        <v>8</v>
      </c>
      <c r="L20" s="119">
        <v>45273</v>
      </c>
      <c r="M20" s="59"/>
      <c r="N20" s="119">
        <v>45274</v>
      </c>
      <c r="O20" s="59"/>
      <c r="P20" s="119">
        <v>45275</v>
      </c>
      <c r="Q20" s="59"/>
      <c r="R20" s="119">
        <v>45276</v>
      </c>
      <c r="S20" s="59"/>
      <c r="T20" s="119">
        <v>45277</v>
      </c>
      <c r="U20" s="59"/>
      <c r="V20" s="119">
        <v>45278</v>
      </c>
      <c r="W20" s="59"/>
      <c r="X20" s="119">
        <v>45279</v>
      </c>
      <c r="Y20" s="59"/>
      <c r="Z20" s="13"/>
    </row>
    <row r="21" spans="1:26" ht="15" thickBot="1" x14ac:dyDescent="0.35">
      <c r="A21" s="21">
        <v>1047.5</v>
      </c>
      <c r="B21" s="22">
        <v>2233.54</v>
      </c>
      <c r="C21" s="22">
        <v>3180</v>
      </c>
      <c r="D21" s="22">
        <v>675</v>
      </c>
      <c r="E21" s="22">
        <v>240</v>
      </c>
      <c r="F21" s="22">
        <v>1120</v>
      </c>
      <c r="G21" s="22">
        <v>915</v>
      </c>
      <c r="H21" s="37"/>
      <c r="I21" s="14">
        <v>5527.9</v>
      </c>
      <c r="L21" s="66" t="s">
        <v>10</v>
      </c>
      <c r="M21" s="66" t="s">
        <v>11</v>
      </c>
      <c r="N21" s="67" t="s">
        <v>10</v>
      </c>
      <c r="O21" s="67" t="s">
        <v>11</v>
      </c>
      <c r="P21" s="67" t="s">
        <v>10</v>
      </c>
      <c r="Q21" s="67" t="s">
        <v>11</v>
      </c>
      <c r="R21" s="67" t="s">
        <v>10</v>
      </c>
      <c r="S21" s="67" t="s">
        <v>11</v>
      </c>
      <c r="T21" s="67" t="s">
        <v>10</v>
      </c>
      <c r="U21" s="67" t="s">
        <v>11</v>
      </c>
      <c r="V21" s="67" t="s">
        <v>10</v>
      </c>
      <c r="W21" s="67" t="s">
        <v>11</v>
      </c>
      <c r="X21" s="67" t="s">
        <v>10</v>
      </c>
      <c r="Y21" s="67" t="s">
        <v>11</v>
      </c>
      <c r="Z21" s="14"/>
    </row>
    <row r="22" spans="1:26" x14ac:dyDescent="0.3">
      <c r="A22" s="24">
        <v>2780</v>
      </c>
      <c r="B22" s="22">
        <v>2655</v>
      </c>
      <c r="C22" s="22">
        <v>795</v>
      </c>
      <c r="D22" s="22">
        <v>3310</v>
      </c>
      <c r="E22" s="25"/>
      <c r="F22" s="22">
        <v>3005</v>
      </c>
      <c r="G22" s="22">
        <v>3035</v>
      </c>
      <c r="H22" s="37"/>
      <c r="I22" s="14">
        <v>3132.5</v>
      </c>
      <c r="L22" s="75">
        <v>480</v>
      </c>
      <c r="M22" s="76">
        <v>35</v>
      </c>
      <c r="N22" s="77">
        <v>660</v>
      </c>
      <c r="O22" s="77">
        <v>382.5</v>
      </c>
      <c r="P22" s="77">
        <v>4385</v>
      </c>
      <c r="Q22" s="77">
        <v>120</v>
      </c>
      <c r="R22" s="77">
        <v>380</v>
      </c>
      <c r="S22" s="77">
        <v>35</v>
      </c>
      <c r="T22" s="78">
        <v>760</v>
      </c>
      <c r="U22" s="69">
        <v>0</v>
      </c>
      <c r="V22" s="63">
        <v>448</v>
      </c>
      <c r="W22" s="63">
        <f>20+15+7.5</f>
        <v>42.5</v>
      </c>
      <c r="X22" s="63">
        <v>680</v>
      </c>
      <c r="Y22" s="65">
        <v>50</v>
      </c>
      <c r="Z22" s="14"/>
    </row>
    <row r="23" spans="1:26" x14ac:dyDescent="0.3">
      <c r="A23" s="24">
        <v>2013</v>
      </c>
      <c r="B23" s="22">
        <v>705</v>
      </c>
      <c r="C23" s="22"/>
      <c r="D23" s="26">
        <v>3090.13</v>
      </c>
      <c r="E23" s="22"/>
      <c r="F23" s="22">
        <v>1933</v>
      </c>
      <c r="G23" s="22">
        <v>1527.46</v>
      </c>
      <c r="H23" s="37"/>
      <c r="I23" s="15">
        <v>5921.05</v>
      </c>
      <c r="L23" s="21">
        <v>31</v>
      </c>
      <c r="M23" s="79">
        <v>60</v>
      </c>
      <c r="N23" s="43">
        <v>4575</v>
      </c>
      <c r="O23" s="43">
        <v>60</v>
      </c>
      <c r="P23" s="43">
        <v>360</v>
      </c>
      <c r="Q23" s="43">
        <v>50</v>
      </c>
      <c r="R23" s="80">
        <v>24</v>
      </c>
      <c r="S23" s="80">
        <v>30</v>
      </c>
      <c r="T23" s="43">
        <v>84</v>
      </c>
      <c r="U23" s="22"/>
      <c r="V23" s="22">
        <v>4700</v>
      </c>
      <c r="W23" s="22">
        <v>60</v>
      </c>
      <c r="X23" s="22">
        <v>426</v>
      </c>
      <c r="Y23" s="37">
        <v>1500</v>
      </c>
      <c r="Z23" s="15"/>
    </row>
    <row r="24" spans="1:26" x14ac:dyDescent="0.3">
      <c r="A24" s="24"/>
      <c r="B24" s="22"/>
      <c r="C24" s="22"/>
      <c r="D24" s="25"/>
      <c r="E24" s="22"/>
      <c r="F24" s="22"/>
      <c r="G24" s="22"/>
      <c r="H24" s="37"/>
      <c r="I24" s="15">
        <v>4005.15</v>
      </c>
      <c r="L24" s="21">
        <v>4480</v>
      </c>
      <c r="M24" s="79"/>
      <c r="N24" s="43">
        <v>492</v>
      </c>
      <c r="O24" s="43">
        <v>60</v>
      </c>
      <c r="P24" s="43">
        <v>695</v>
      </c>
      <c r="Q24" s="43"/>
      <c r="R24" s="80">
        <v>3560</v>
      </c>
      <c r="S24" s="81">
        <v>888.8</v>
      </c>
      <c r="T24" s="43"/>
      <c r="U24" s="22"/>
      <c r="V24" s="22">
        <v>330</v>
      </c>
      <c r="W24" s="22"/>
      <c r="X24" s="22">
        <v>4020</v>
      </c>
      <c r="Y24" s="37"/>
      <c r="Z24" s="15"/>
    </row>
    <row r="25" spans="1:26" x14ac:dyDescent="0.3">
      <c r="A25" s="24"/>
      <c r="B25" s="22"/>
      <c r="C25" s="22"/>
      <c r="D25" s="22"/>
      <c r="E25" s="22"/>
      <c r="F25" s="22"/>
      <c r="G25" s="22"/>
      <c r="H25" s="37"/>
      <c r="I25" s="15">
        <v>2184.56</v>
      </c>
      <c r="L25" s="21">
        <v>270</v>
      </c>
      <c r="M25" s="79"/>
      <c r="N25" s="43">
        <v>585</v>
      </c>
      <c r="O25" s="43"/>
      <c r="P25" s="43"/>
      <c r="Q25" s="43"/>
      <c r="R25" s="43">
        <v>720</v>
      </c>
      <c r="S25" s="43"/>
      <c r="T25" s="43"/>
      <c r="U25" s="22"/>
      <c r="V25" s="22">
        <v>1040</v>
      </c>
      <c r="W25" s="22"/>
      <c r="X25" s="22">
        <v>840</v>
      </c>
      <c r="Y25" s="37"/>
      <c r="Z25" s="15"/>
    </row>
    <row r="26" spans="1:26" x14ac:dyDescent="0.3">
      <c r="A26" s="24"/>
      <c r="B26" s="22"/>
      <c r="C26" s="22"/>
      <c r="D26" s="22"/>
      <c r="E26" s="22"/>
      <c r="F26" s="22"/>
      <c r="G26" s="22"/>
      <c r="H26" s="37"/>
      <c r="I26" s="15"/>
      <c r="L26" s="21">
        <v>730</v>
      </c>
      <c r="M26" s="79"/>
      <c r="N26" s="43"/>
      <c r="O26" s="43"/>
      <c r="P26" s="43"/>
      <c r="Q26" s="43"/>
      <c r="R26" s="43"/>
      <c r="S26" s="43"/>
      <c r="T26" s="43"/>
      <c r="U26" s="22"/>
      <c r="V26" s="22"/>
      <c r="W26" s="22"/>
      <c r="X26" s="22"/>
      <c r="Y26" s="37"/>
      <c r="Z26" s="15"/>
    </row>
    <row r="27" spans="1:26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20771.160000000003</v>
      </c>
      <c r="L27" s="21"/>
      <c r="M27" s="79"/>
      <c r="N27" s="43"/>
      <c r="O27" s="43"/>
      <c r="P27" s="43"/>
      <c r="Q27" s="43"/>
      <c r="R27" s="43"/>
      <c r="S27" s="43"/>
      <c r="T27" s="43"/>
      <c r="U27" s="22"/>
      <c r="V27" s="22"/>
      <c r="W27" s="22"/>
      <c r="X27" s="22"/>
      <c r="Y27" s="37"/>
      <c r="Z27" s="83"/>
    </row>
    <row r="28" spans="1:26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38"/>
      <c r="L28" s="24"/>
      <c r="M28" s="5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37"/>
      <c r="Z28" s="16">
        <f>SUM(Z21:Z26)</f>
        <v>0</v>
      </c>
    </row>
    <row r="29" spans="1:26" ht="15" thickTop="1" x14ac:dyDescent="0.3">
      <c r="A29" s="24"/>
      <c r="B29" s="22"/>
      <c r="C29" s="22"/>
      <c r="D29" s="22"/>
      <c r="E29" s="22"/>
      <c r="F29" s="22"/>
      <c r="G29" s="22"/>
      <c r="H29" s="22"/>
      <c r="I29" s="23"/>
      <c r="L29" s="24"/>
      <c r="M29" s="5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38"/>
    </row>
    <row r="30" spans="1:26" x14ac:dyDescent="0.3">
      <c r="A30" s="24"/>
      <c r="B30" s="22"/>
      <c r="C30" s="22"/>
      <c r="D30" s="22"/>
      <c r="E30" s="22"/>
      <c r="F30" s="22"/>
      <c r="G30" s="22"/>
      <c r="H30" s="22"/>
      <c r="I30" s="23"/>
      <c r="L30" s="24"/>
      <c r="M30" s="56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3"/>
    </row>
    <row r="31" spans="1:26" x14ac:dyDescent="0.3">
      <c r="A31" s="24"/>
      <c r="B31" s="22"/>
      <c r="C31" s="22"/>
      <c r="D31" s="22"/>
      <c r="E31" s="22"/>
      <c r="F31" s="22"/>
      <c r="G31" s="22"/>
      <c r="H31" s="22"/>
      <c r="I31" s="23"/>
      <c r="L31" s="24"/>
      <c r="M31" s="5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3"/>
    </row>
    <row r="32" spans="1:26" x14ac:dyDescent="0.3">
      <c r="A32" s="24"/>
      <c r="B32" s="22"/>
      <c r="C32" s="22"/>
      <c r="D32" s="22"/>
      <c r="E32" s="22"/>
      <c r="F32" s="22"/>
      <c r="G32" s="22"/>
      <c r="H32" s="22"/>
      <c r="I32" s="23"/>
      <c r="L32" s="24"/>
      <c r="M32" s="5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</row>
    <row r="33" spans="1:26" x14ac:dyDescent="0.3">
      <c r="A33" s="24"/>
      <c r="B33" s="22"/>
      <c r="C33" s="22"/>
      <c r="D33" s="22"/>
      <c r="E33" s="22"/>
      <c r="F33" s="22"/>
      <c r="G33" s="22"/>
      <c r="H33" s="22"/>
      <c r="I33" s="23"/>
      <c r="L33" s="24"/>
      <c r="M33" s="5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</row>
    <row r="34" spans="1:26" x14ac:dyDescent="0.3">
      <c r="A34" s="24"/>
      <c r="B34" s="22"/>
      <c r="C34" s="22"/>
      <c r="D34" s="22"/>
      <c r="E34" s="22"/>
      <c r="F34" s="28"/>
      <c r="G34" s="22"/>
      <c r="H34" s="22"/>
      <c r="I34" s="23"/>
      <c r="L34" s="24"/>
      <c r="M34" s="56"/>
      <c r="N34" s="22"/>
      <c r="O34" s="22"/>
      <c r="P34" s="22"/>
      <c r="Q34" s="22"/>
      <c r="R34" s="22"/>
      <c r="S34" s="22"/>
      <c r="T34" s="22"/>
      <c r="U34" s="22"/>
      <c r="V34" s="28"/>
      <c r="W34" s="28"/>
      <c r="X34" s="22"/>
      <c r="Y34" s="22"/>
      <c r="Z34" s="23"/>
    </row>
    <row r="35" spans="1:26" x14ac:dyDescent="0.3">
      <c r="A35" s="24">
        <f t="shared" ref="A35:G35" si="6">SUM(A21:A34)</f>
        <v>5840.5</v>
      </c>
      <c r="B35" s="22">
        <f t="shared" si="6"/>
        <v>5593.54</v>
      </c>
      <c r="C35" s="22">
        <f t="shared" si="6"/>
        <v>3975</v>
      </c>
      <c r="D35" s="22">
        <f t="shared" si="6"/>
        <v>7075.13</v>
      </c>
      <c r="E35" s="22">
        <f t="shared" si="6"/>
        <v>240</v>
      </c>
      <c r="F35" s="22">
        <f t="shared" si="6"/>
        <v>6058</v>
      </c>
      <c r="G35" s="22">
        <f t="shared" si="6"/>
        <v>5477.46</v>
      </c>
      <c r="H35" s="29">
        <f>SUM(A35:G35)+I27</f>
        <v>55030.790000000008</v>
      </c>
      <c r="I35" s="30" t="s">
        <v>7</v>
      </c>
      <c r="L35" s="24">
        <f t="shared" ref="L35:R35" si="7">SUM(L22:L34)</f>
        <v>5991</v>
      </c>
      <c r="M35" s="22">
        <f t="shared" si="7"/>
        <v>95</v>
      </c>
      <c r="N35" s="22">
        <f t="shared" si="7"/>
        <v>6312</v>
      </c>
      <c r="O35" s="22">
        <f t="shared" si="7"/>
        <v>502.5</v>
      </c>
      <c r="P35" s="22">
        <f t="shared" si="7"/>
        <v>5440</v>
      </c>
      <c r="Q35" s="22">
        <f t="shared" si="7"/>
        <v>170</v>
      </c>
      <c r="R35" s="22">
        <f t="shared" si="7"/>
        <v>4684</v>
      </c>
      <c r="S35" s="22">
        <f>SUM(S22:S34)</f>
        <v>953.8</v>
      </c>
      <c r="T35" s="22">
        <f t="shared" ref="T35:Y35" si="8">SUM(T22:T34)</f>
        <v>844</v>
      </c>
      <c r="U35" s="22">
        <f t="shared" si="8"/>
        <v>0</v>
      </c>
      <c r="V35" s="22">
        <f t="shared" si="8"/>
        <v>6518</v>
      </c>
      <c r="W35" s="22">
        <f t="shared" si="8"/>
        <v>102.5</v>
      </c>
      <c r="X35" s="22">
        <f t="shared" si="8"/>
        <v>5966</v>
      </c>
      <c r="Y35" s="22">
        <f t="shared" si="8"/>
        <v>1550</v>
      </c>
      <c r="Z35" s="33">
        <f>L36+N36+P36+R36+T36+V36+X36</f>
        <v>35755</v>
      </c>
    </row>
    <row r="36" spans="1:26" x14ac:dyDescent="0.3">
      <c r="A36" s="31">
        <v>5840.5</v>
      </c>
      <c r="B36" s="32">
        <v>5593.54</v>
      </c>
      <c r="C36" s="32">
        <v>3975</v>
      </c>
      <c r="D36" s="32">
        <v>7075.13</v>
      </c>
      <c r="E36" s="32">
        <v>240</v>
      </c>
      <c r="F36" s="32">
        <v>6058</v>
      </c>
      <c r="G36" s="32">
        <v>5477.46</v>
      </c>
      <c r="H36" s="22">
        <f>SUM(A36:G36)+I27</f>
        <v>55030.790000000008</v>
      </c>
      <c r="I36" s="33" t="s">
        <v>1</v>
      </c>
      <c r="L36" s="85">
        <v>5991</v>
      </c>
      <c r="M36" s="32">
        <v>95</v>
      </c>
      <c r="N36" s="32">
        <v>6312</v>
      </c>
      <c r="O36" s="32">
        <v>502.5</v>
      </c>
      <c r="P36" s="32">
        <v>5440</v>
      </c>
      <c r="Q36" s="32">
        <v>170</v>
      </c>
      <c r="R36" s="32">
        <v>4684</v>
      </c>
      <c r="S36" s="32">
        <v>953.8</v>
      </c>
      <c r="T36" s="32">
        <v>844</v>
      </c>
      <c r="U36" s="32">
        <v>0</v>
      </c>
      <c r="V36" s="32">
        <v>6518</v>
      </c>
      <c r="W36" s="32">
        <v>102.5</v>
      </c>
      <c r="X36" s="32">
        <v>5966</v>
      </c>
      <c r="Y36" s="22">
        <v>1550</v>
      </c>
      <c r="Z36" s="33">
        <f>M36+O36+Q36+S36+U36+W36+Y36</f>
        <v>3373.8</v>
      </c>
    </row>
    <row r="37" spans="1:26" ht="15" thickBot="1" x14ac:dyDescent="0.35">
      <c r="A37" s="34">
        <f>A35-A36</f>
        <v>0</v>
      </c>
      <c r="B37" s="35">
        <f>B35-B36</f>
        <v>0</v>
      </c>
      <c r="C37" s="35">
        <f t="shared" ref="C37:F37" si="9">C35-C36</f>
        <v>0</v>
      </c>
      <c r="D37" s="35">
        <f t="shared" si="9"/>
        <v>0</v>
      </c>
      <c r="E37" s="35">
        <f t="shared" si="9"/>
        <v>0</v>
      </c>
      <c r="F37" s="35">
        <f t="shared" si="9"/>
        <v>0</v>
      </c>
      <c r="G37" s="35">
        <f>G35-G36</f>
        <v>0</v>
      </c>
      <c r="H37" s="35"/>
      <c r="I37" s="36"/>
      <c r="L37" s="86">
        <f t="shared" ref="L37:V37" si="10">L35-L36</f>
        <v>0</v>
      </c>
      <c r="M37" s="86">
        <f t="shared" si="10"/>
        <v>0</v>
      </c>
      <c r="N37" s="86">
        <f t="shared" si="10"/>
        <v>0</v>
      </c>
      <c r="O37" s="86">
        <f t="shared" si="10"/>
        <v>0</v>
      </c>
      <c r="P37" s="86">
        <f t="shared" si="10"/>
        <v>0</v>
      </c>
      <c r="Q37" s="86">
        <f t="shared" si="10"/>
        <v>0</v>
      </c>
      <c r="R37" s="86">
        <f t="shared" si="10"/>
        <v>0</v>
      </c>
      <c r="S37" s="86">
        <f t="shared" si="10"/>
        <v>0</v>
      </c>
      <c r="T37" s="86">
        <f t="shared" si="10"/>
        <v>0</v>
      </c>
      <c r="U37" s="86">
        <f t="shared" si="10"/>
        <v>0</v>
      </c>
      <c r="V37" s="86">
        <f t="shared" si="10"/>
        <v>0</v>
      </c>
      <c r="W37" s="86">
        <f t="shared" ref="W37:Y37" si="11">W35-W36</f>
        <v>0</v>
      </c>
      <c r="X37" s="86">
        <f t="shared" si="11"/>
        <v>0</v>
      </c>
      <c r="Y37" s="86">
        <f t="shared" si="11"/>
        <v>0</v>
      </c>
      <c r="Z37" s="87"/>
    </row>
    <row r="38" spans="1:26" ht="15.6" thickTop="1" thickBot="1" x14ac:dyDescent="0.35"/>
    <row r="39" spans="1:26" x14ac:dyDescent="0.3">
      <c r="A39" s="17">
        <v>45280</v>
      </c>
      <c r="B39" s="17">
        <v>45281</v>
      </c>
      <c r="C39" s="17">
        <v>45282</v>
      </c>
      <c r="D39" s="17">
        <v>45283</v>
      </c>
      <c r="E39" s="17">
        <v>45284</v>
      </c>
      <c r="F39" s="17">
        <v>45285</v>
      </c>
      <c r="G39" s="17">
        <v>45286</v>
      </c>
      <c r="H39" s="39"/>
      <c r="I39" s="13" t="s">
        <v>8</v>
      </c>
      <c r="L39" s="119">
        <v>45280</v>
      </c>
      <c r="M39" s="59"/>
      <c r="N39" s="119">
        <v>45281</v>
      </c>
      <c r="O39" s="59"/>
      <c r="P39" s="119">
        <v>45282</v>
      </c>
      <c r="Q39" s="59"/>
      <c r="R39" s="119">
        <v>45283</v>
      </c>
      <c r="S39" s="59"/>
      <c r="T39" s="119">
        <v>45284</v>
      </c>
      <c r="U39" s="59"/>
      <c r="V39" s="119">
        <v>45285</v>
      </c>
      <c r="W39" s="59"/>
      <c r="X39" s="119">
        <v>45286</v>
      </c>
      <c r="Y39" s="59"/>
      <c r="Z39" s="13"/>
    </row>
    <row r="40" spans="1:26" ht="15" thickBot="1" x14ac:dyDescent="0.35">
      <c r="A40" s="21">
        <v>1715.59</v>
      </c>
      <c r="B40" s="22">
        <v>2158.66</v>
      </c>
      <c r="C40" s="22">
        <v>1923.6</v>
      </c>
      <c r="D40" s="22">
        <v>630</v>
      </c>
      <c r="E40" s="22">
        <v>1160</v>
      </c>
      <c r="F40" s="22">
        <v>1440</v>
      </c>
      <c r="G40" s="22">
        <v>2305</v>
      </c>
      <c r="H40" s="37"/>
      <c r="I40" s="14">
        <v>6712.45</v>
      </c>
      <c r="L40" s="66" t="s">
        <v>10</v>
      </c>
      <c r="M40" s="66" t="s">
        <v>11</v>
      </c>
      <c r="N40" s="67" t="s">
        <v>10</v>
      </c>
      <c r="O40" s="67" t="s">
        <v>11</v>
      </c>
      <c r="P40" s="67" t="s">
        <v>10</v>
      </c>
      <c r="Q40" s="67" t="s">
        <v>11</v>
      </c>
      <c r="R40" s="67" t="s">
        <v>10</v>
      </c>
      <c r="S40" s="67" t="s">
        <v>11</v>
      </c>
      <c r="T40" s="67" t="s">
        <v>10</v>
      </c>
      <c r="U40" s="67" t="s">
        <v>11</v>
      </c>
      <c r="V40" s="67" t="s">
        <v>10</v>
      </c>
      <c r="W40" s="67" t="s">
        <v>11</v>
      </c>
      <c r="X40" s="67" t="s">
        <v>10</v>
      </c>
      <c r="Y40" s="67" t="s">
        <v>11</v>
      </c>
      <c r="Z40" s="14"/>
    </row>
    <row r="41" spans="1:26" x14ac:dyDescent="0.3">
      <c r="A41" s="24">
        <v>2885</v>
      </c>
      <c r="B41" s="22">
        <v>2810</v>
      </c>
      <c r="C41" s="22">
        <v>2925</v>
      </c>
      <c r="D41" s="22">
        <v>1655</v>
      </c>
      <c r="E41" s="25"/>
      <c r="F41" s="22">
        <v>765</v>
      </c>
      <c r="G41" s="22">
        <v>930</v>
      </c>
      <c r="H41" s="37"/>
      <c r="I41" s="14">
        <v>2270</v>
      </c>
      <c r="L41" s="75">
        <v>370</v>
      </c>
      <c r="M41" s="76">
        <v>42.5</v>
      </c>
      <c r="N41" s="77">
        <v>540</v>
      </c>
      <c r="O41" s="77">
        <v>50</v>
      </c>
      <c r="P41" s="77">
        <v>815</v>
      </c>
      <c r="Q41" s="77">
        <v>50</v>
      </c>
      <c r="R41" s="77">
        <v>388</v>
      </c>
      <c r="S41" s="77">
        <v>50</v>
      </c>
      <c r="T41" s="78">
        <v>84</v>
      </c>
      <c r="U41" s="69"/>
      <c r="V41" s="63">
        <v>3600</v>
      </c>
      <c r="W41" s="63">
        <v>1592.4</v>
      </c>
      <c r="X41" s="63">
        <v>4360</v>
      </c>
      <c r="Y41" s="65">
        <v>50</v>
      </c>
      <c r="Z41" s="14"/>
    </row>
    <row r="42" spans="1:26" x14ac:dyDescent="0.3">
      <c r="A42" s="24">
        <v>1025</v>
      </c>
      <c r="B42" s="22">
        <v>880</v>
      </c>
      <c r="C42" s="22">
        <v>820</v>
      </c>
      <c r="D42" s="26">
        <v>3582.76</v>
      </c>
      <c r="E42" s="22"/>
      <c r="F42" s="22"/>
      <c r="G42" s="22"/>
      <c r="H42" s="37"/>
      <c r="I42" s="15">
        <v>390</v>
      </c>
      <c r="L42" s="21">
        <v>3595</v>
      </c>
      <c r="M42" s="79">
        <v>62.9</v>
      </c>
      <c r="N42" s="43">
        <v>4200</v>
      </c>
      <c r="O42" s="43">
        <v>45</v>
      </c>
      <c r="P42" s="43">
        <v>408</v>
      </c>
      <c r="Q42" s="43">
        <v>60</v>
      </c>
      <c r="R42" s="80">
        <v>336</v>
      </c>
      <c r="S42" s="80">
        <v>720</v>
      </c>
      <c r="T42" s="43"/>
      <c r="U42" s="22"/>
      <c r="V42" s="22">
        <v>156</v>
      </c>
      <c r="W42" s="22">
        <v>120</v>
      </c>
      <c r="X42" s="22">
        <v>420</v>
      </c>
      <c r="Y42" s="37"/>
      <c r="Z42" s="15"/>
    </row>
    <row r="43" spans="1:26" x14ac:dyDescent="0.3">
      <c r="A43" s="24"/>
      <c r="B43" s="22"/>
      <c r="C43" s="22"/>
      <c r="D43" s="25"/>
      <c r="E43" s="22"/>
      <c r="F43" s="22"/>
      <c r="G43" s="22"/>
      <c r="H43" s="37"/>
      <c r="I43" s="15">
        <v>6078.82</v>
      </c>
      <c r="L43" s="21">
        <v>270</v>
      </c>
      <c r="M43" s="79"/>
      <c r="N43" s="43">
        <v>432</v>
      </c>
      <c r="O43" s="43"/>
      <c r="P43" s="43">
        <v>4335</v>
      </c>
      <c r="Q43" s="43"/>
      <c r="R43" s="80">
        <v>2660</v>
      </c>
      <c r="S43" s="81">
        <v>1980</v>
      </c>
      <c r="T43" s="43"/>
      <c r="U43" s="22"/>
      <c r="V43" s="22">
        <v>570</v>
      </c>
      <c r="W43" s="22">
        <v>32.5</v>
      </c>
      <c r="X43" s="22">
        <v>680</v>
      </c>
      <c r="Y43" s="37"/>
      <c r="Z43" s="15"/>
    </row>
    <row r="44" spans="1:26" x14ac:dyDescent="0.3">
      <c r="A44" s="24"/>
      <c r="B44" s="22"/>
      <c r="C44" s="22"/>
      <c r="D44" s="22"/>
      <c r="E44" s="22"/>
      <c r="F44" s="22"/>
      <c r="G44" s="22"/>
      <c r="H44" s="37"/>
      <c r="I44" s="15">
        <v>3204.12</v>
      </c>
      <c r="L44" s="21">
        <v>605</v>
      </c>
      <c r="M44" s="79"/>
      <c r="N44" s="43">
        <v>650</v>
      </c>
      <c r="O44" s="43"/>
      <c r="P44" s="43">
        <v>610</v>
      </c>
      <c r="Q44" s="43"/>
      <c r="R44" s="43">
        <v>448</v>
      </c>
      <c r="S44" s="43"/>
      <c r="T44" s="43"/>
      <c r="U44" s="22"/>
      <c r="V44" s="22"/>
      <c r="W44" s="22"/>
      <c r="X44" s="22">
        <v>51</v>
      </c>
      <c r="Y44" s="37"/>
      <c r="Z44" s="15"/>
    </row>
    <row r="45" spans="1:26" x14ac:dyDescent="0.3">
      <c r="A45" s="24"/>
      <c r="B45" s="22"/>
      <c r="C45" s="22"/>
      <c r="D45" s="22"/>
      <c r="E45" s="22"/>
      <c r="F45" s="22"/>
      <c r="G45" s="22"/>
      <c r="H45" s="37"/>
      <c r="I45" s="15">
        <v>2069.2600000000002</v>
      </c>
      <c r="L45" s="21">
        <v>59</v>
      </c>
      <c r="M45" s="79"/>
      <c r="N45" s="43">
        <v>24</v>
      </c>
      <c r="O45" s="43"/>
      <c r="P45" s="43"/>
      <c r="Q45" s="43"/>
      <c r="R45" s="43"/>
      <c r="S45" s="43"/>
      <c r="T45" s="43"/>
      <c r="U45" s="22"/>
      <c r="V45" s="22"/>
      <c r="W45" s="22"/>
      <c r="X45" s="22"/>
      <c r="Y45" s="37"/>
      <c r="Z45" s="15"/>
    </row>
    <row r="46" spans="1:26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>SUM(I40:I45)+H400</f>
        <v>20724.650000000001</v>
      </c>
      <c r="L46" s="21"/>
      <c r="M46" s="79"/>
      <c r="N46" s="43"/>
      <c r="O46" s="43"/>
      <c r="P46" s="43"/>
      <c r="Q46" s="43"/>
      <c r="R46" s="43"/>
      <c r="S46" s="43"/>
      <c r="T46" s="43"/>
      <c r="U46" s="22"/>
      <c r="V46" s="22"/>
      <c r="W46" s="22"/>
      <c r="X46" s="22"/>
      <c r="Y46" s="37"/>
      <c r="Z46" s="83"/>
    </row>
    <row r="47" spans="1:26" ht="15.6" thickTop="1" thickBot="1" x14ac:dyDescent="0.35">
      <c r="A47" s="24"/>
      <c r="B47" s="22"/>
      <c r="C47" s="22"/>
      <c r="D47" s="22"/>
      <c r="E47" s="22"/>
      <c r="F47" s="22"/>
      <c r="G47" s="22"/>
      <c r="H47" s="22"/>
      <c r="I47" s="38"/>
      <c r="L47" s="24"/>
      <c r="M47" s="5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37"/>
      <c r="Z47" s="16">
        <f>SUM(Z40:Z45)</f>
        <v>0</v>
      </c>
    </row>
    <row r="48" spans="1:26" ht="15" thickTop="1" x14ac:dyDescent="0.3">
      <c r="A48" s="24"/>
      <c r="B48" s="22"/>
      <c r="C48" s="22"/>
      <c r="D48" s="22"/>
      <c r="E48" s="22"/>
      <c r="F48" s="22"/>
      <c r="G48" s="22"/>
      <c r="H48" s="22"/>
      <c r="I48" s="23"/>
      <c r="L48" s="24"/>
      <c r="M48" s="5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38"/>
    </row>
    <row r="49" spans="1:26" x14ac:dyDescent="0.3">
      <c r="A49" s="24"/>
      <c r="B49" s="22"/>
      <c r="C49" s="22"/>
      <c r="D49" s="22"/>
      <c r="E49" s="22"/>
      <c r="F49" s="22"/>
      <c r="G49" s="22"/>
      <c r="H49" s="22"/>
      <c r="I49" s="23"/>
      <c r="L49" s="24"/>
      <c r="M49" s="5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3"/>
    </row>
    <row r="50" spans="1:26" x14ac:dyDescent="0.3">
      <c r="A50" s="24"/>
      <c r="B50" s="22"/>
      <c r="C50" s="22"/>
      <c r="D50" s="22"/>
      <c r="E50" s="22"/>
      <c r="F50" s="22"/>
      <c r="G50" s="22"/>
      <c r="H50" s="22"/>
      <c r="I50" s="23"/>
      <c r="L50" s="24"/>
      <c r="M50" s="5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3"/>
    </row>
    <row r="51" spans="1:26" x14ac:dyDescent="0.3">
      <c r="A51" s="24"/>
      <c r="B51" s="22"/>
      <c r="C51" s="22"/>
      <c r="D51" s="22"/>
      <c r="E51" s="22"/>
      <c r="F51" s="22"/>
      <c r="G51" s="22"/>
      <c r="H51" s="22"/>
      <c r="I51" s="23"/>
      <c r="L51" s="24"/>
      <c r="M51" s="5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3"/>
    </row>
    <row r="52" spans="1:26" x14ac:dyDescent="0.3">
      <c r="A52" s="24"/>
      <c r="B52" s="22"/>
      <c r="C52" s="22"/>
      <c r="D52" s="22"/>
      <c r="E52" s="22"/>
      <c r="F52" s="22"/>
      <c r="G52" s="22"/>
      <c r="H52" s="22"/>
      <c r="I52" s="23"/>
      <c r="L52" s="24"/>
      <c r="M52" s="5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3"/>
    </row>
    <row r="53" spans="1:26" x14ac:dyDescent="0.3">
      <c r="A53" s="24"/>
      <c r="B53" s="22"/>
      <c r="C53" s="22"/>
      <c r="D53" s="22"/>
      <c r="E53" s="22"/>
      <c r="F53" s="28"/>
      <c r="G53" s="22"/>
      <c r="H53" s="22"/>
      <c r="I53" s="23"/>
      <c r="L53" s="24"/>
      <c r="M53" s="56"/>
      <c r="N53" s="22"/>
      <c r="O53" s="22"/>
      <c r="P53" s="22"/>
      <c r="Q53" s="22"/>
      <c r="R53" s="22"/>
      <c r="S53" s="22"/>
      <c r="T53" s="22"/>
      <c r="U53" s="22"/>
      <c r="V53" s="28"/>
      <c r="W53" s="28"/>
      <c r="X53" s="22"/>
      <c r="Y53" s="22"/>
      <c r="Z53" s="23"/>
    </row>
    <row r="54" spans="1:26" x14ac:dyDescent="0.3">
      <c r="A54" s="24">
        <f t="shared" ref="A54:G54" si="12">SUM(A40:A53)</f>
        <v>5625.59</v>
      </c>
      <c r="B54" s="22">
        <f t="shared" si="12"/>
        <v>5848.66</v>
      </c>
      <c r="C54" s="22">
        <f t="shared" si="12"/>
        <v>5668.6</v>
      </c>
      <c r="D54" s="22">
        <f t="shared" si="12"/>
        <v>5867.76</v>
      </c>
      <c r="E54" s="22">
        <f>SUM(E40:E53)</f>
        <v>1160</v>
      </c>
      <c r="F54" s="22">
        <f t="shared" si="12"/>
        <v>2205</v>
      </c>
      <c r="G54" s="22">
        <f t="shared" si="12"/>
        <v>3235</v>
      </c>
      <c r="H54" s="29">
        <f>SUM(A54:G54)+I46</f>
        <v>50335.26</v>
      </c>
      <c r="I54" s="30" t="s">
        <v>7</v>
      </c>
      <c r="L54" s="24">
        <f t="shared" ref="L54:R54" si="13">SUM(L41:L53)</f>
        <v>4899</v>
      </c>
      <c r="M54" s="22">
        <f t="shared" si="13"/>
        <v>105.4</v>
      </c>
      <c r="N54" s="22">
        <f t="shared" si="13"/>
        <v>5846</v>
      </c>
      <c r="O54" s="22">
        <f t="shared" si="13"/>
        <v>95</v>
      </c>
      <c r="P54" s="22">
        <f t="shared" si="13"/>
        <v>6168</v>
      </c>
      <c r="Q54" s="22">
        <f t="shared" si="13"/>
        <v>110</v>
      </c>
      <c r="R54" s="22">
        <f t="shared" si="13"/>
        <v>3832</v>
      </c>
      <c r="S54" s="22">
        <f>SUM(S41:S53)</f>
        <v>2750</v>
      </c>
      <c r="T54" s="22">
        <f t="shared" ref="T54:Y54" si="14">SUM(T41:T53)</f>
        <v>84</v>
      </c>
      <c r="U54" s="22">
        <f t="shared" si="14"/>
        <v>0</v>
      </c>
      <c r="V54" s="22">
        <f t="shared" si="14"/>
        <v>4326</v>
      </c>
      <c r="W54" s="22">
        <f t="shared" si="14"/>
        <v>1744.9</v>
      </c>
      <c r="X54" s="22">
        <f t="shared" si="14"/>
        <v>5511</v>
      </c>
      <c r="Y54" s="22">
        <f t="shared" si="14"/>
        <v>50</v>
      </c>
      <c r="Z54" s="33">
        <f>L55+N55+P55+R55+T55+V55+X55</f>
        <v>30666</v>
      </c>
    </row>
    <row r="55" spans="1:26" x14ac:dyDescent="0.3">
      <c r="A55" s="31">
        <v>5625.59</v>
      </c>
      <c r="B55" s="32">
        <v>5848.66</v>
      </c>
      <c r="C55" s="32">
        <v>5668.6</v>
      </c>
      <c r="D55" s="32">
        <v>5867.76</v>
      </c>
      <c r="E55" s="32">
        <v>1160</v>
      </c>
      <c r="F55" s="32">
        <v>2205</v>
      </c>
      <c r="G55" s="32">
        <v>3235</v>
      </c>
      <c r="H55" s="22">
        <f>SUM(A55:G55)+I46</f>
        <v>50335.26</v>
      </c>
      <c r="I55" s="33" t="s">
        <v>1</v>
      </c>
      <c r="L55" s="85">
        <v>4899</v>
      </c>
      <c r="M55" s="32">
        <v>105.4</v>
      </c>
      <c r="N55" s="32">
        <v>5846</v>
      </c>
      <c r="O55" s="32">
        <v>95</v>
      </c>
      <c r="P55" s="32">
        <v>6168</v>
      </c>
      <c r="Q55" s="32">
        <v>110</v>
      </c>
      <c r="R55" s="32">
        <v>3832</v>
      </c>
      <c r="S55" s="32">
        <v>2750</v>
      </c>
      <c r="T55" s="32">
        <v>84</v>
      </c>
      <c r="U55" s="32"/>
      <c r="V55" s="32">
        <v>4326</v>
      </c>
      <c r="W55" s="32">
        <v>1744.9</v>
      </c>
      <c r="X55" s="32">
        <v>5511</v>
      </c>
      <c r="Y55" s="22">
        <v>50</v>
      </c>
      <c r="Z55" s="33">
        <f>M55+O55+Q55+S55+U55+W55+Y55</f>
        <v>4855.3</v>
      </c>
    </row>
    <row r="56" spans="1:26" ht="15" thickBot="1" x14ac:dyDescent="0.35">
      <c r="A56" s="34">
        <f>A54-A55</f>
        <v>0</v>
      </c>
      <c r="B56" s="35">
        <f>B54-B55</f>
        <v>0</v>
      </c>
      <c r="C56" s="35">
        <f t="shared" ref="C56:F56" si="15">C54-C55</f>
        <v>0</v>
      </c>
      <c r="D56" s="35">
        <f t="shared" si="15"/>
        <v>0</v>
      </c>
      <c r="E56" s="35">
        <f t="shared" si="15"/>
        <v>0</v>
      </c>
      <c r="F56" s="35">
        <f t="shared" si="15"/>
        <v>0</v>
      </c>
      <c r="G56" s="35">
        <f>G54-G55</f>
        <v>0</v>
      </c>
      <c r="H56" s="35"/>
      <c r="I56" s="36"/>
      <c r="L56" s="86">
        <f t="shared" ref="L56:Y56" si="16">L54-L55</f>
        <v>0</v>
      </c>
      <c r="M56" s="86">
        <f t="shared" si="16"/>
        <v>0</v>
      </c>
      <c r="N56" s="86">
        <f t="shared" si="16"/>
        <v>0</v>
      </c>
      <c r="O56" s="86">
        <f t="shared" si="16"/>
        <v>0</v>
      </c>
      <c r="P56" s="86">
        <f t="shared" si="16"/>
        <v>0</v>
      </c>
      <c r="Q56" s="86">
        <f t="shared" si="16"/>
        <v>0</v>
      </c>
      <c r="R56" s="86">
        <f t="shared" si="16"/>
        <v>0</v>
      </c>
      <c r="S56" s="86">
        <f t="shared" si="16"/>
        <v>0</v>
      </c>
      <c r="T56" s="86">
        <f t="shared" si="16"/>
        <v>0</v>
      </c>
      <c r="U56" s="86">
        <f t="shared" si="16"/>
        <v>0</v>
      </c>
      <c r="V56" s="86">
        <f t="shared" si="16"/>
        <v>0</v>
      </c>
      <c r="W56" s="86">
        <f t="shared" si="16"/>
        <v>0</v>
      </c>
      <c r="X56" s="86">
        <f t="shared" si="16"/>
        <v>0</v>
      </c>
      <c r="Y56" s="86">
        <f t="shared" si="16"/>
        <v>0</v>
      </c>
      <c r="Z56" s="87"/>
    </row>
    <row r="57" spans="1:26" ht="15.6" thickTop="1" thickBot="1" x14ac:dyDescent="0.35"/>
    <row r="58" spans="1:26" x14ac:dyDescent="0.3">
      <c r="A58" s="17">
        <v>45287</v>
      </c>
      <c r="B58" s="18">
        <v>45288</v>
      </c>
      <c r="C58" s="18">
        <v>45289</v>
      </c>
      <c r="D58" s="18">
        <v>45290</v>
      </c>
      <c r="E58" s="18">
        <v>45291</v>
      </c>
      <c r="F58" s="18">
        <v>45292</v>
      </c>
      <c r="G58" s="18">
        <v>45293</v>
      </c>
      <c r="H58" s="39"/>
      <c r="I58" s="13" t="s">
        <v>8</v>
      </c>
      <c r="L58" s="119">
        <v>45287</v>
      </c>
      <c r="M58" s="59"/>
      <c r="N58" s="119">
        <v>45288</v>
      </c>
      <c r="O58" s="59"/>
      <c r="P58" s="119">
        <v>45289</v>
      </c>
      <c r="Q58" s="59"/>
      <c r="R58" s="119">
        <v>45290</v>
      </c>
      <c r="S58" s="59"/>
      <c r="T58" s="119">
        <v>45291</v>
      </c>
      <c r="U58" s="59"/>
      <c r="V58" s="119">
        <v>45292</v>
      </c>
      <c r="W58" s="59"/>
      <c r="X58" s="119">
        <v>45293</v>
      </c>
      <c r="Y58" s="59"/>
      <c r="Z58" s="13"/>
    </row>
    <row r="59" spans="1:26" ht="15" thickBot="1" x14ac:dyDescent="0.35">
      <c r="A59" s="21">
        <v>760</v>
      </c>
      <c r="B59" s="22">
        <v>1419.93</v>
      </c>
      <c r="C59" s="22">
        <v>635</v>
      </c>
      <c r="D59" s="22">
        <v>3565.15</v>
      </c>
      <c r="E59" s="22">
        <v>615</v>
      </c>
      <c r="F59" s="22">
        <v>2195</v>
      </c>
      <c r="G59" s="22">
        <v>1419.93</v>
      </c>
      <c r="H59" s="37"/>
      <c r="I59" s="14">
        <v>3204.12</v>
      </c>
      <c r="L59" s="66" t="s">
        <v>10</v>
      </c>
      <c r="M59" s="66" t="s">
        <v>11</v>
      </c>
      <c r="N59" s="67" t="s">
        <v>10</v>
      </c>
      <c r="O59" s="67" t="s">
        <v>11</v>
      </c>
      <c r="P59" s="67" t="s">
        <v>10</v>
      </c>
      <c r="Q59" s="67" t="s">
        <v>11</v>
      </c>
      <c r="R59" s="67" t="s">
        <v>10</v>
      </c>
      <c r="S59" s="67" t="s">
        <v>11</v>
      </c>
      <c r="T59" s="67" t="s">
        <v>10</v>
      </c>
      <c r="U59" s="67" t="s">
        <v>11</v>
      </c>
      <c r="V59" s="67" t="s">
        <v>10</v>
      </c>
      <c r="W59" s="67" t="s">
        <v>11</v>
      </c>
      <c r="X59" s="67" t="s">
        <v>10</v>
      </c>
      <c r="Y59" s="67" t="s">
        <v>11</v>
      </c>
      <c r="Z59" s="14"/>
    </row>
    <row r="60" spans="1:26" x14ac:dyDescent="0.3">
      <c r="A60" s="24">
        <v>2095</v>
      </c>
      <c r="B60" s="22">
        <v>3895</v>
      </c>
      <c r="C60" s="22">
        <v>2660</v>
      </c>
      <c r="D60" s="22">
        <v>1510</v>
      </c>
      <c r="E60" s="25"/>
      <c r="F60" s="22">
        <v>850</v>
      </c>
      <c r="G60" s="22">
        <v>2850</v>
      </c>
      <c r="H60" s="37"/>
      <c r="I60" s="14">
        <v>1577.7</v>
      </c>
      <c r="L60" s="75">
        <v>525</v>
      </c>
      <c r="M60" s="76">
        <v>17.5</v>
      </c>
      <c r="N60" s="77">
        <v>960</v>
      </c>
      <c r="O60" s="77">
        <v>382.5</v>
      </c>
      <c r="P60" s="77">
        <v>725</v>
      </c>
      <c r="Q60" s="77">
        <v>60</v>
      </c>
      <c r="R60" s="77">
        <v>1080</v>
      </c>
      <c r="S60" s="77">
        <v>35</v>
      </c>
      <c r="T60" s="78">
        <v>450</v>
      </c>
      <c r="U60" s="69">
        <v>15</v>
      </c>
      <c r="V60" s="63">
        <v>4995</v>
      </c>
      <c r="W60" s="63">
        <v>15</v>
      </c>
      <c r="X60" s="63">
        <v>790</v>
      </c>
      <c r="Y60" s="65">
        <v>430</v>
      </c>
      <c r="Z60" s="14"/>
    </row>
    <row r="61" spans="1:26" x14ac:dyDescent="0.3">
      <c r="A61" s="24">
        <v>1104.3900000000001</v>
      </c>
      <c r="B61" s="22">
        <v>717.5</v>
      </c>
      <c r="C61" s="22">
        <v>1557.46</v>
      </c>
      <c r="D61" s="26">
        <v>850</v>
      </c>
      <c r="E61" s="22"/>
      <c r="F61" s="22"/>
      <c r="G61" s="22">
        <v>865</v>
      </c>
      <c r="H61" s="37"/>
      <c r="I61" s="15">
        <v>7107.3</v>
      </c>
      <c r="L61" s="21">
        <v>4065</v>
      </c>
      <c r="M61" s="79">
        <v>60</v>
      </c>
      <c r="N61" s="43">
        <v>4355</v>
      </c>
      <c r="O61" s="43">
        <v>120</v>
      </c>
      <c r="P61" s="43">
        <v>3965</v>
      </c>
      <c r="Q61" s="43">
        <v>50</v>
      </c>
      <c r="R61" s="80">
        <v>140</v>
      </c>
      <c r="S61" s="80"/>
      <c r="T61" s="43">
        <v>84</v>
      </c>
      <c r="U61" s="22"/>
      <c r="V61" s="22">
        <v>306</v>
      </c>
      <c r="W61" s="22">
        <v>20</v>
      </c>
      <c r="X61" s="22">
        <v>4055</v>
      </c>
      <c r="Y61" s="37"/>
      <c r="Z61" s="15"/>
    </row>
    <row r="62" spans="1:26" x14ac:dyDescent="0.3">
      <c r="A62" s="24"/>
      <c r="B62" s="22"/>
      <c r="C62" s="22"/>
      <c r="D62" s="25"/>
      <c r="E62" s="22"/>
      <c r="F62" s="22"/>
      <c r="G62" s="22"/>
      <c r="H62" s="37"/>
      <c r="I62" s="15">
        <v>2742.5</v>
      </c>
      <c r="L62" s="21">
        <v>270</v>
      </c>
      <c r="M62" s="79"/>
      <c r="N62" s="43">
        <v>432</v>
      </c>
      <c r="O62" s="43">
        <v>79</v>
      </c>
      <c r="P62" s="43">
        <v>180</v>
      </c>
      <c r="Q62" s="43">
        <v>419.9</v>
      </c>
      <c r="R62" s="80">
        <v>2990</v>
      </c>
      <c r="S62" s="81"/>
      <c r="T62" s="43"/>
      <c r="U62" s="22"/>
      <c r="V62" s="22">
        <v>605</v>
      </c>
      <c r="W62" s="22">
        <v>7.5</v>
      </c>
      <c r="X62" s="22">
        <v>426</v>
      </c>
      <c r="Y62" s="37"/>
      <c r="Z62" s="15"/>
    </row>
    <row r="63" spans="1:26" x14ac:dyDescent="0.3">
      <c r="A63" s="24"/>
      <c r="B63" s="22"/>
      <c r="C63" s="22"/>
      <c r="D63" s="22"/>
      <c r="E63" s="22"/>
      <c r="F63" s="22"/>
      <c r="G63" s="22"/>
      <c r="H63" s="37"/>
      <c r="I63" s="15">
        <v>3948.5</v>
      </c>
      <c r="L63" s="21">
        <v>790</v>
      </c>
      <c r="M63" s="79"/>
      <c r="N63" s="43">
        <v>670</v>
      </c>
      <c r="O63" s="43">
        <v>210</v>
      </c>
      <c r="P63" s="43">
        <v>600</v>
      </c>
      <c r="Q63" s="43"/>
      <c r="R63" s="43">
        <v>336</v>
      </c>
      <c r="S63" s="43"/>
      <c r="T63" s="43"/>
      <c r="U63" s="22"/>
      <c r="V63" s="22">
        <v>30</v>
      </c>
      <c r="W63" s="22">
        <v>60</v>
      </c>
      <c r="X63" s="22">
        <v>695</v>
      </c>
      <c r="Y63" s="37"/>
      <c r="Z63" s="15"/>
    </row>
    <row r="64" spans="1:26" x14ac:dyDescent="0.3">
      <c r="A64" s="24"/>
      <c r="B64" s="22"/>
      <c r="C64" s="22"/>
      <c r="D64" s="22"/>
      <c r="E64" s="22"/>
      <c r="F64" s="22"/>
      <c r="G64" s="22"/>
      <c r="H64" s="37"/>
      <c r="I64" s="15">
        <v>1657.01</v>
      </c>
      <c r="L64" s="21"/>
      <c r="M64" s="79"/>
      <c r="N64" s="43"/>
      <c r="O64" s="43"/>
      <c r="P64" s="43"/>
      <c r="Q64" s="43"/>
      <c r="R64" s="43">
        <v>290</v>
      </c>
      <c r="S64" s="43"/>
      <c r="T64" s="43"/>
      <c r="U64" s="22"/>
      <c r="V64" s="22"/>
      <c r="W64" s="22"/>
      <c r="X64" s="22">
        <v>24</v>
      </c>
      <c r="Y64" s="37"/>
      <c r="Z64" s="15"/>
    </row>
    <row r="65" spans="1:26" ht="15" thickBot="1" x14ac:dyDescent="0.35">
      <c r="A65" s="24"/>
      <c r="B65" s="22"/>
      <c r="C65" s="22"/>
      <c r="D65" s="22"/>
      <c r="E65" s="22"/>
      <c r="F65" s="22"/>
      <c r="G65" s="22"/>
      <c r="H65" s="37"/>
      <c r="I65" s="16">
        <f>SUM(I59:I64)</f>
        <v>20237.129999999997</v>
      </c>
      <c r="L65" s="21"/>
      <c r="M65" s="79"/>
      <c r="N65" s="43"/>
      <c r="O65" s="43"/>
      <c r="P65" s="43"/>
      <c r="Q65" s="43"/>
      <c r="R65" s="43">
        <v>41</v>
      </c>
      <c r="S65" s="43"/>
      <c r="T65" s="43"/>
      <c r="U65" s="22"/>
      <c r="V65" s="22"/>
      <c r="W65" s="22"/>
      <c r="X65" s="22"/>
      <c r="Y65" s="37"/>
      <c r="Z65" s="83"/>
    </row>
    <row r="66" spans="1:26" ht="15.6" thickTop="1" thickBot="1" x14ac:dyDescent="0.35">
      <c r="A66" s="24"/>
      <c r="B66" s="22"/>
      <c r="C66" s="22"/>
      <c r="D66" s="22"/>
      <c r="E66" s="22"/>
      <c r="F66" s="22"/>
      <c r="G66" s="22"/>
      <c r="H66" s="22"/>
      <c r="I66" s="38"/>
      <c r="L66" s="24"/>
      <c r="M66" s="5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37"/>
      <c r="Z66" s="16">
        <f>SUM(Z59:Z64)</f>
        <v>0</v>
      </c>
    </row>
    <row r="67" spans="1:26" ht="15" thickTop="1" x14ac:dyDescent="0.3">
      <c r="A67" s="24"/>
      <c r="B67" s="22"/>
      <c r="C67" s="22"/>
      <c r="D67" s="22"/>
      <c r="E67" s="22"/>
      <c r="F67" s="22"/>
      <c r="G67" s="22"/>
      <c r="H67" s="22"/>
      <c r="I67" s="23"/>
      <c r="L67" s="24"/>
      <c r="M67" s="5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38"/>
    </row>
    <row r="68" spans="1:26" x14ac:dyDescent="0.3">
      <c r="A68" s="24"/>
      <c r="B68" s="22"/>
      <c r="C68" s="22"/>
      <c r="D68" s="22"/>
      <c r="E68" s="22"/>
      <c r="F68" s="22"/>
      <c r="G68" s="22"/>
      <c r="H68" s="22"/>
      <c r="I68" s="23"/>
      <c r="L68" s="24"/>
      <c r="M68" s="5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</row>
    <row r="69" spans="1:26" x14ac:dyDescent="0.3">
      <c r="A69" s="24"/>
      <c r="B69" s="22"/>
      <c r="C69" s="22"/>
      <c r="D69" s="22"/>
      <c r="E69" s="22"/>
      <c r="F69" s="22"/>
      <c r="G69" s="22"/>
      <c r="H69" s="22"/>
      <c r="I69" s="23"/>
      <c r="L69" s="24"/>
      <c r="M69" s="5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</row>
    <row r="70" spans="1:26" x14ac:dyDescent="0.3">
      <c r="A70" s="24"/>
      <c r="B70" s="22"/>
      <c r="C70" s="22"/>
      <c r="D70" s="22"/>
      <c r="E70" s="22"/>
      <c r="F70" s="22"/>
      <c r="G70" s="22"/>
      <c r="H70" s="22"/>
      <c r="I70" s="23"/>
      <c r="L70" s="24"/>
      <c r="M70" s="5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3"/>
    </row>
    <row r="71" spans="1:26" x14ac:dyDescent="0.3">
      <c r="A71" s="24"/>
      <c r="B71" s="22"/>
      <c r="C71" s="22"/>
      <c r="D71" s="22"/>
      <c r="E71" s="22"/>
      <c r="F71" s="22"/>
      <c r="G71" s="22"/>
      <c r="H71" s="22"/>
      <c r="I71" s="23"/>
      <c r="L71" s="24"/>
      <c r="M71" s="5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3"/>
    </row>
    <row r="72" spans="1:26" x14ac:dyDescent="0.3">
      <c r="A72" s="24"/>
      <c r="B72" s="22"/>
      <c r="C72" s="22"/>
      <c r="D72" s="22"/>
      <c r="E72" s="22"/>
      <c r="F72" s="28"/>
      <c r="G72" s="22"/>
      <c r="H72" s="22"/>
      <c r="I72" s="23"/>
      <c r="L72" s="24"/>
      <c r="M72" s="56"/>
      <c r="N72" s="22"/>
      <c r="O72" s="22"/>
      <c r="P72" s="22"/>
      <c r="Q72" s="22"/>
      <c r="R72" s="22"/>
      <c r="S72" s="22"/>
      <c r="T72" s="22"/>
      <c r="U72" s="22"/>
      <c r="V72" s="28"/>
      <c r="W72" s="28"/>
      <c r="X72" s="22"/>
      <c r="Y72" s="22"/>
      <c r="Z72" s="23"/>
    </row>
    <row r="73" spans="1:26" x14ac:dyDescent="0.3">
      <c r="A73" s="24">
        <f t="shared" ref="A73:G73" si="17">SUM(A59:A72)</f>
        <v>3959.3900000000003</v>
      </c>
      <c r="B73" s="22">
        <f t="shared" si="17"/>
        <v>6032.43</v>
      </c>
      <c r="C73" s="22">
        <f t="shared" si="17"/>
        <v>4852.46</v>
      </c>
      <c r="D73" s="22">
        <f t="shared" si="17"/>
        <v>5925.15</v>
      </c>
      <c r="E73" s="22">
        <f t="shared" si="17"/>
        <v>615</v>
      </c>
      <c r="F73" s="22">
        <f t="shared" si="17"/>
        <v>3045</v>
      </c>
      <c r="G73" s="22">
        <f t="shared" si="17"/>
        <v>5134.93</v>
      </c>
      <c r="H73" s="29">
        <f>SUM(A73:G73)+I65</f>
        <v>49801.49</v>
      </c>
      <c r="I73" s="30" t="s">
        <v>7</v>
      </c>
      <c r="L73" s="24">
        <f t="shared" ref="L73:R73" si="18">SUM(L60:L72)</f>
        <v>5650</v>
      </c>
      <c r="M73" s="22">
        <f t="shared" si="18"/>
        <v>77.5</v>
      </c>
      <c r="N73" s="22">
        <f t="shared" si="18"/>
        <v>6417</v>
      </c>
      <c r="O73" s="22">
        <f t="shared" si="18"/>
        <v>791.5</v>
      </c>
      <c r="P73" s="22">
        <f t="shared" si="18"/>
        <v>5470</v>
      </c>
      <c r="Q73" s="22">
        <f t="shared" si="18"/>
        <v>529.9</v>
      </c>
      <c r="R73" s="22">
        <f t="shared" si="18"/>
        <v>4877</v>
      </c>
      <c r="S73" s="22">
        <f>SUM(S60:S72)</f>
        <v>35</v>
      </c>
      <c r="T73" s="22">
        <f t="shared" ref="T73:Y73" si="19">SUM(T60:T72)</f>
        <v>534</v>
      </c>
      <c r="U73" s="22">
        <f t="shared" si="19"/>
        <v>15</v>
      </c>
      <c r="V73" s="22">
        <f t="shared" si="19"/>
        <v>5936</v>
      </c>
      <c r="W73" s="22">
        <f t="shared" si="19"/>
        <v>102.5</v>
      </c>
      <c r="X73" s="22">
        <f t="shared" si="19"/>
        <v>5990</v>
      </c>
      <c r="Y73" s="22">
        <f t="shared" si="19"/>
        <v>430</v>
      </c>
      <c r="Z73" s="33">
        <f>L74+N74+P74+R74+T74+V74+X74</f>
        <v>34874</v>
      </c>
    </row>
    <row r="74" spans="1:26" x14ac:dyDescent="0.3">
      <c r="A74" s="31">
        <v>3959.39</v>
      </c>
      <c r="B74" s="32">
        <v>6032.43</v>
      </c>
      <c r="C74" s="32">
        <v>4852.46</v>
      </c>
      <c r="D74" s="32">
        <v>5925.15</v>
      </c>
      <c r="E74" s="32">
        <v>615</v>
      </c>
      <c r="F74" s="32">
        <v>3045</v>
      </c>
      <c r="G74" s="32">
        <v>5134.93</v>
      </c>
      <c r="H74" s="22">
        <f>SUM(A74:G74)+I65</f>
        <v>49801.49</v>
      </c>
      <c r="I74" s="33" t="s">
        <v>1</v>
      </c>
      <c r="L74" s="85">
        <v>5650</v>
      </c>
      <c r="M74" s="32">
        <v>77.5</v>
      </c>
      <c r="N74" s="32">
        <v>6417</v>
      </c>
      <c r="O74" s="32">
        <v>791.5</v>
      </c>
      <c r="P74" s="32">
        <v>5470</v>
      </c>
      <c r="Q74" s="32">
        <v>529.9</v>
      </c>
      <c r="R74" s="32">
        <v>4877</v>
      </c>
      <c r="S74" s="32">
        <v>35</v>
      </c>
      <c r="T74" s="32">
        <v>534</v>
      </c>
      <c r="U74" s="32">
        <v>15</v>
      </c>
      <c r="V74" s="32">
        <v>5936</v>
      </c>
      <c r="W74" s="32">
        <v>102.5</v>
      </c>
      <c r="X74" s="32">
        <v>5990</v>
      </c>
      <c r="Y74" s="22">
        <v>430</v>
      </c>
      <c r="Z74" s="33">
        <f>M74+O74+Q74+S74+U74+W74+Y74</f>
        <v>1981.4</v>
      </c>
    </row>
    <row r="75" spans="1:26" ht="15" thickBot="1" x14ac:dyDescent="0.35">
      <c r="A75" s="34">
        <f>A73-A74</f>
        <v>0</v>
      </c>
      <c r="B75" s="35">
        <f>B73-B74</f>
        <v>0</v>
      </c>
      <c r="C75" s="35">
        <f t="shared" ref="C75:F75" si="20">C73-C74</f>
        <v>0</v>
      </c>
      <c r="D75" s="35">
        <f>D73-D74</f>
        <v>0</v>
      </c>
      <c r="E75" s="35">
        <f t="shared" si="20"/>
        <v>0</v>
      </c>
      <c r="F75" s="35">
        <f t="shared" si="20"/>
        <v>0</v>
      </c>
      <c r="G75" s="35">
        <f>G73-G74</f>
        <v>0</v>
      </c>
      <c r="H75" s="35"/>
      <c r="I75" s="36"/>
      <c r="L75" s="86">
        <f t="shared" ref="L75:Y75" si="21">L73-L74</f>
        <v>0</v>
      </c>
      <c r="M75" s="86">
        <f t="shared" si="21"/>
        <v>0</v>
      </c>
      <c r="N75" s="86">
        <f t="shared" si="21"/>
        <v>0</v>
      </c>
      <c r="O75" s="86">
        <f t="shared" si="21"/>
        <v>0</v>
      </c>
      <c r="P75" s="86">
        <f t="shared" si="21"/>
        <v>0</v>
      </c>
      <c r="Q75" s="86">
        <f t="shared" si="21"/>
        <v>0</v>
      </c>
      <c r="R75" s="86">
        <f t="shared" si="21"/>
        <v>0</v>
      </c>
      <c r="S75" s="86">
        <f t="shared" si="21"/>
        <v>0</v>
      </c>
      <c r="T75" s="86">
        <f t="shared" si="21"/>
        <v>0</v>
      </c>
      <c r="U75" s="86">
        <f t="shared" si="21"/>
        <v>0</v>
      </c>
      <c r="V75" s="86">
        <f t="shared" si="21"/>
        <v>0</v>
      </c>
      <c r="W75" s="86">
        <f t="shared" si="21"/>
        <v>0</v>
      </c>
      <c r="X75" s="86">
        <f t="shared" si="21"/>
        <v>0</v>
      </c>
      <c r="Y75" s="86">
        <f t="shared" si="21"/>
        <v>0</v>
      </c>
      <c r="Z75" s="87"/>
    </row>
    <row r="76" spans="1:26" ht="15.6" thickTop="1" thickBot="1" x14ac:dyDescent="0.35"/>
    <row r="77" spans="1:26" x14ac:dyDescent="0.3">
      <c r="A77" s="17">
        <v>44951</v>
      </c>
      <c r="B77" s="18">
        <v>44952</v>
      </c>
      <c r="C77" s="18">
        <v>44953</v>
      </c>
      <c r="D77" s="18">
        <v>44954</v>
      </c>
      <c r="E77" s="18">
        <v>44955</v>
      </c>
      <c r="F77" s="18">
        <v>44956</v>
      </c>
      <c r="G77" s="18">
        <v>44957</v>
      </c>
      <c r="H77" s="39"/>
      <c r="I77" s="13" t="s">
        <v>8</v>
      </c>
    </row>
    <row r="78" spans="1:26" x14ac:dyDescent="0.3">
      <c r="A78" s="21"/>
      <c r="B78" s="22"/>
      <c r="C78" s="22"/>
      <c r="D78" s="22"/>
      <c r="E78" s="22"/>
      <c r="F78" s="22"/>
      <c r="G78" s="22"/>
      <c r="H78" s="37"/>
      <c r="I78" s="14"/>
    </row>
    <row r="79" spans="1:26" x14ac:dyDescent="0.3">
      <c r="A79" s="24"/>
      <c r="B79" s="22"/>
      <c r="C79" s="22"/>
      <c r="D79" s="22"/>
      <c r="E79" s="25"/>
      <c r="F79" s="22"/>
      <c r="G79" s="22"/>
      <c r="H79" s="37"/>
      <c r="I79" s="14"/>
    </row>
    <row r="80" spans="1:26" x14ac:dyDescent="0.3">
      <c r="A80" s="24"/>
      <c r="B80" s="22"/>
      <c r="C80" s="22"/>
      <c r="D80" s="26"/>
      <c r="E80" s="22"/>
      <c r="F80" s="22"/>
      <c r="G80" s="22"/>
      <c r="H80" s="37"/>
      <c r="I80" s="15"/>
    </row>
    <row r="81" spans="1:9" x14ac:dyDescent="0.3">
      <c r="A81" s="24"/>
      <c r="B81" s="22"/>
      <c r="C81" s="22"/>
      <c r="D81" s="25"/>
      <c r="E81" s="22"/>
      <c r="F81" s="22"/>
      <c r="G81" s="22"/>
      <c r="H81" s="37"/>
      <c r="I81" s="15"/>
    </row>
    <row r="82" spans="1:9" x14ac:dyDescent="0.3">
      <c r="A82" s="24"/>
      <c r="B82" s="22"/>
      <c r="C82" s="22"/>
      <c r="D82" s="22"/>
      <c r="E82" s="22"/>
      <c r="F82" s="22"/>
      <c r="G82" s="22"/>
      <c r="H82" s="37"/>
      <c r="I82" s="15"/>
    </row>
    <row r="83" spans="1:9" x14ac:dyDescent="0.3">
      <c r="A83" s="24"/>
      <c r="B83" s="22"/>
      <c r="C83" s="22"/>
      <c r="D83" s="22"/>
      <c r="E83" s="22"/>
      <c r="F83" s="22"/>
      <c r="G83" s="22"/>
      <c r="H83" s="37"/>
      <c r="I83" s="15"/>
    </row>
    <row r="84" spans="1:9" ht="15" thickBot="1" x14ac:dyDescent="0.35">
      <c r="A84" s="24"/>
      <c r="B84" s="22"/>
      <c r="C84" s="22"/>
      <c r="D84" s="22"/>
      <c r="E84" s="22"/>
      <c r="F84" s="22"/>
      <c r="G84" s="22"/>
      <c r="H84" s="37"/>
      <c r="I84" s="16">
        <f>SUM(I78:I83)</f>
        <v>0</v>
      </c>
    </row>
    <row r="85" spans="1:9" ht="15" thickTop="1" x14ac:dyDescent="0.3">
      <c r="A85" s="24"/>
      <c r="B85" s="22"/>
      <c r="C85" s="22"/>
      <c r="D85" s="22"/>
      <c r="E85" s="22"/>
      <c r="F85" s="22"/>
      <c r="G85" s="22"/>
      <c r="H85" s="22"/>
      <c r="I85" s="40"/>
    </row>
    <row r="86" spans="1:9" x14ac:dyDescent="0.3">
      <c r="A86" s="24"/>
      <c r="B86" s="22"/>
      <c r="C86" s="22"/>
      <c r="D86" s="22"/>
      <c r="E86" s="22"/>
      <c r="F86" s="22"/>
      <c r="G86" s="22"/>
      <c r="H86" s="22"/>
      <c r="I86" s="27"/>
    </row>
    <row r="87" spans="1:9" x14ac:dyDescent="0.3">
      <c r="A87" s="24"/>
      <c r="B87" s="22"/>
      <c r="C87" s="22"/>
      <c r="D87" s="22"/>
      <c r="E87" s="22"/>
      <c r="F87" s="22"/>
      <c r="G87" s="22"/>
      <c r="H87" s="22"/>
      <c r="I87" s="27"/>
    </row>
    <row r="88" spans="1:9" x14ac:dyDescent="0.3">
      <c r="A88" s="24"/>
      <c r="B88" s="22"/>
      <c r="C88" s="22"/>
      <c r="D88" s="22"/>
      <c r="E88" s="22"/>
      <c r="F88" s="22"/>
      <c r="G88" s="22"/>
      <c r="H88" s="22"/>
      <c r="I88" s="23"/>
    </row>
    <row r="89" spans="1:9" x14ac:dyDescent="0.3">
      <c r="A89" s="24"/>
      <c r="B89" s="22"/>
      <c r="C89" s="22"/>
      <c r="D89" s="22"/>
      <c r="E89" s="22"/>
      <c r="F89" s="22"/>
      <c r="G89" s="22"/>
      <c r="H89" s="22"/>
      <c r="I89" s="23"/>
    </row>
    <row r="90" spans="1:9" x14ac:dyDescent="0.3">
      <c r="A90" s="24"/>
      <c r="B90" s="22"/>
      <c r="C90" s="22"/>
      <c r="D90" s="22"/>
      <c r="E90" s="22"/>
      <c r="F90" s="22"/>
      <c r="G90" s="22"/>
      <c r="H90" s="22"/>
      <c r="I90" s="23"/>
    </row>
    <row r="91" spans="1:9" x14ac:dyDescent="0.3">
      <c r="A91" s="24"/>
      <c r="B91" s="22"/>
      <c r="C91" s="22"/>
      <c r="D91" s="22"/>
      <c r="E91" s="22"/>
      <c r="F91" s="28"/>
      <c r="G91" s="22"/>
      <c r="H91" s="22"/>
      <c r="I91" s="23"/>
    </row>
    <row r="92" spans="1:9" x14ac:dyDescent="0.3">
      <c r="A92" s="24">
        <f t="shared" ref="A92:G92" si="22">SUM(A78:A91)</f>
        <v>0</v>
      </c>
      <c r="B92" s="22">
        <f t="shared" si="22"/>
        <v>0</v>
      </c>
      <c r="C92" s="22">
        <f t="shared" si="22"/>
        <v>0</v>
      </c>
      <c r="D92" s="22">
        <f t="shared" si="22"/>
        <v>0</v>
      </c>
      <c r="E92" s="22">
        <f t="shared" si="22"/>
        <v>0</v>
      </c>
      <c r="F92" s="22">
        <f t="shared" si="22"/>
        <v>0</v>
      </c>
      <c r="G92" s="22">
        <f t="shared" si="22"/>
        <v>0</v>
      </c>
      <c r="H92" s="29">
        <f>SUM(A92:G92)+I84</f>
        <v>0</v>
      </c>
      <c r="I92" s="30" t="s">
        <v>7</v>
      </c>
    </row>
    <row r="93" spans="1:9" x14ac:dyDescent="0.3">
      <c r="A93" s="31"/>
      <c r="B93" s="32"/>
      <c r="C93" s="32"/>
      <c r="D93" s="32"/>
      <c r="E93" s="32"/>
      <c r="F93" s="32"/>
      <c r="G93" s="32"/>
      <c r="H93" s="22">
        <f>SUM(A93:G93)</f>
        <v>0</v>
      </c>
      <c r="I93" s="33" t="s">
        <v>1</v>
      </c>
    </row>
    <row r="94" spans="1:9" ht="15" thickBot="1" x14ac:dyDescent="0.35">
      <c r="A94" s="34">
        <f>A92-A93</f>
        <v>0</v>
      </c>
      <c r="B94" s="35">
        <f>B92-B93</f>
        <v>0</v>
      </c>
      <c r="C94" s="35">
        <f t="shared" ref="C94:F94" si="23">C92-C93</f>
        <v>0</v>
      </c>
      <c r="D94" s="35">
        <f t="shared" si="23"/>
        <v>0</v>
      </c>
      <c r="E94" s="35">
        <f t="shared" si="23"/>
        <v>0</v>
      </c>
      <c r="F94" s="35">
        <f t="shared" si="23"/>
        <v>0</v>
      </c>
      <c r="G94" s="35">
        <f>G92-G93</f>
        <v>0</v>
      </c>
      <c r="H94" s="35"/>
      <c r="I94" s="36"/>
    </row>
    <row r="95" spans="1:9" ht="15" thickTop="1" x14ac:dyDescent="0.3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DBBD-FF98-4ED3-804B-ED418F4AC230}">
  <dimension ref="A1:Y97"/>
  <sheetViews>
    <sheetView topLeftCell="A61" workbookViewId="0">
      <selection activeCell="U81" sqref="U81:U96"/>
    </sheetView>
  </sheetViews>
  <sheetFormatPr defaultRowHeight="14.4" x14ac:dyDescent="0.3"/>
  <cols>
    <col min="1" max="7" width="10.33203125" bestFit="1" customWidth="1"/>
    <col min="8" max="8" width="9.88671875" customWidth="1"/>
    <col min="9" max="9" width="12.109375" customWidth="1"/>
    <col min="11" max="11" width="11.88671875" customWidth="1"/>
    <col min="12" max="12" width="10.6640625" bestFit="1" customWidth="1"/>
    <col min="13" max="13" width="11.6640625" customWidth="1"/>
    <col min="14" max="14" width="10.6640625" bestFit="1" customWidth="1"/>
    <col min="15" max="15" width="12.33203125" customWidth="1"/>
    <col min="16" max="16" width="10.6640625" bestFit="1" customWidth="1"/>
    <col min="17" max="17" width="11.44140625" customWidth="1"/>
    <col min="18" max="18" width="10.6640625" bestFit="1" customWidth="1"/>
    <col min="19" max="19" width="12.33203125" customWidth="1"/>
    <col min="20" max="20" width="10.6640625" bestFit="1" customWidth="1"/>
    <col min="21" max="21" width="10.109375" customWidth="1"/>
    <col min="22" max="22" width="10.6640625" bestFit="1" customWidth="1"/>
    <col min="23" max="23" width="11.88671875" customWidth="1"/>
    <col min="24" max="24" width="12" customWidth="1"/>
    <col min="25" max="25" width="11.33203125" customWidth="1"/>
  </cols>
  <sheetData>
    <row r="1" spans="1:25" ht="15" thickBot="1" x14ac:dyDescent="0.35"/>
    <row r="2" spans="1:25" x14ac:dyDescent="0.3">
      <c r="A2" s="17">
        <v>45294</v>
      </c>
      <c r="B2" s="17">
        <v>45295</v>
      </c>
      <c r="C2" s="17">
        <v>45296</v>
      </c>
      <c r="D2" s="17">
        <v>45297</v>
      </c>
      <c r="E2" s="17">
        <v>45298</v>
      </c>
      <c r="F2" s="17">
        <v>45299</v>
      </c>
      <c r="G2" s="17">
        <v>45300</v>
      </c>
      <c r="H2" s="39"/>
      <c r="I2" s="13" t="s">
        <v>8</v>
      </c>
      <c r="K2" s="59">
        <v>45294</v>
      </c>
      <c r="L2" s="123"/>
      <c r="M2" s="123">
        <v>45295</v>
      </c>
      <c r="N2" s="123"/>
      <c r="O2" s="123">
        <v>45296</v>
      </c>
      <c r="P2" s="123"/>
      <c r="Q2" s="123">
        <v>45297</v>
      </c>
      <c r="R2" s="123"/>
      <c r="S2" s="123">
        <v>45298</v>
      </c>
      <c r="T2" s="123"/>
      <c r="U2" s="123">
        <v>45299</v>
      </c>
      <c r="V2" s="123"/>
      <c r="W2" s="123">
        <v>45300</v>
      </c>
      <c r="X2" s="123"/>
      <c r="Y2" s="20"/>
    </row>
    <row r="3" spans="1:25" ht="15" thickBot="1" x14ac:dyDescent="0.35">
      <c r="A3" s="21">
        <v>2008.54</v>
      </c>
      <c r="B3" s="22">
        <v>600</v>
      </c>
      <c r="C3" s="22">
        <v>1966.13</v>
      </c>
      <c r="D3" s="22">
        <v>4238.82</v>
      </c>
      <c r="E3" s="22">
        <v>240</v>
      </c>
      <c r="F3" s="22">
        <v>775</v>
      </c>
      <c r="G3" s="22">
        <v>1976.19</v>
      </c>
      <c r="H3" s="37"/>
      <c r="I3" s="14">
        <v>4005.15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/>
      <c r="V3" s="126" t="s">
        <v>11</v>
      </c>
      <c r="W3" s="126" t="s">
        <v>10</v>
      </c>
      <c r="X3" s="126" t="s">
        <v>11</v>
      </c>
      <c r="Y3" s="87"/>
    </row>
    <row r="4" spans="1:25" x14ac:dyDescent="0.3">
      <c r="A4" s="24">
        <v>2340</v>
      </c>
      <c r="B4" s="22">
        <v>4435</v>
      </c>
      <c r="C4" s="22">
        <v>2845</v>
      </c>
      <c r="D4" s="22">
        <v>1495</v>
      </c>
      <c r="E4" s="25"/>
      <c r="F4" s="22">
        <v>3290</v>
      </c>
      <c r="G4" s="22">
        <v>2985</v>
      </c>
      <c r="H4" s="37"/>
      <c r="I4" s="14">
        <v>3615</v>
      </c>
      <c r="K4" s="75">
        <v>940</v>
      </c>
      <c r="L4" s="76">
        <v>180</v>
      </c>
      <c r="M4" s="77">
        <v>4440</v>
      </c>
      <c r="N4" s="77">
        <v>110</v>
      </c>
      <c r="O4" s="77">
        <v>540</v>
      </c>
      <c r="P4" s="77">
        <v>120</v>
      </c>
      <c r="Q4" s="77">
        <v>800</v>
      </c>
      <c r="R4" s="77">
        <v>240</v>
      </c>
      <c r="S4" s="78">
        <v>750</v>
      </c>
      <c r="T4" s="69">
        <v>0</v>
      </c>
      <c r="U4" s="63">
        <v>595</v>
      </c>
      <c r="V4" s="63">
        <v>109.5</v>
      </c>
      <c r="W4" s="63">
        <v>480</v>
      </c>
      <c r="X4" s="65">
        <v>382.5</v>
      </c>
      <c r="Y4" s="122"/>
    </row>
    <row r="5" spans="1:25" x14ac:dyDescent="0.3">
      <c r="A5" s="24">
        <v>1010</v>
      </c>
      <c r="B5" s="22">
        <v>1693.06</v>
      </c>
      <c r="C5" s="22">
        <v>900</v>
      </c>
      <c r="D5" s="26">
        <v>815</v>
      </c>
      <c r="E5" s="22"/>
      <c r="F5" s="22">
        <v>1923.6</v>
      </c>
      <c r="G5" s="22">
        <v>1095</v>
      </c>
      <c r="H5" s="37"/>
      <c r="I5" s="15">
        <v>3948.5</v>
      </c>
      <c r="K5" s="21">
        <v>4065</v>
      </c>
      <c r="L5" s="79">
        <v>35</v>
      </c>
      <c r="M5" s="43">
        <v>432</v>
      </c>
      <c r="N5" s="43">
        <v>20</v>
      </c>
      <c r="O5" s="43">
        <v>4045</v>
      </c>
      <c r="P5" s="43">
        <v>42.5</v>
      </c>
      <c r="Q5" s="44">
        <v>56</v>
      </c>
      <c r="R5" s="80">
        <v>50</v>
      </c>
      <c r="S5" s="43">
        <v>84</v>
      </c>
      <c r="T5" s="22"/>
      <c r="U5" s="22">
        <v>4825</v>
      </c>
      <c r="V5" s="22">
        <v>1080</v>
      </c>
      <c r="W5" s="22">
        <v>4745</v>
      </c>
      <c r="X5" s="37">
        <v>3240</v>
      </c>
      <c r="Y5" s="15"/>
    </row>
    <row r="6" spans="1:25" x14ac:dyDescent="0.3">
      <c r="A6" s="24"/>
      <c r="B6" s="22"/>
      <c r="C6" s="22"/>
      <c r="D6" s="25"/>
      <c r="E6" s="22"/>
      <c r="F6" s="22"/>
      <c r="G6" s="22"/>
      <c r="H6" s="37"/>
      <c r="I6" s="15">
        <v>5922.75</v>
      </c>
      <c r="K6" s="21">
        <v>270</v>
      </c>
      <c r="L6" s="79"/>
      <c r="M6" s="43">
        <v>720</v>
      </c>
      <c r="N6" s="43">
        <v>60</v>
      </c>
      <c r="O6" s="43">
        <v>180</v>
      </c>
      <c r="P6" s="43"/>
      <c r="Q6" s="44">
        <v>2530</v>
      </c>
      <c r="R6" s="81">
        <v>240</v>
      </c>
      <c r="S6" s="43"/>
      <c r="T6" s="22"/>
      <c r="U6" s="22">
        <v>360</v>
      </c>
      <c r="V6" s="22"/>
      <c r="W6" s="22">
        <v>444</v>
      </c>
      <c r="X6" s="37">
        <v>109</v>
      </c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37"/>
      <c r="I7" s="15">
        <v>1341.47</v>
      </c>
      <c r="K7" s="21">
        <v>515</v>
      </c>
      <c r="L7" s="79"/>
      <c r="M7" s="43">
        <v>815</v>
      </c>
      <c r="N7" s="43"/>
      <c r="O7" s="43">
        <v>775</v>
      </c>
      <c r="P7" s="43"/>
      <c r="Q7" s="43">
        <v>296</v>
      </c>
      <c r="R7" s="43"/>
      <c r="S7" s="43"/>
      <c r="T7" s="22"/>
      <c r="U7" s="22">
        <v>480</v>
      </c>
      <c r="V7" s="22"/>
      <c r="W7" s="22">
        <v>525</v>
      </c>
      <c r="X7" s="37">
        <v>37.9</v>
      </c>
      <c r="Y7" s="15"/>
    </row>
    <row r="8" spans="1:25" x14ac:dyDescent="0.3">
      <c r="A8" s="24"/>
      <c r="B8" s="22"/>
      <c r="C8" s="22"/>
      <c r="D8" s="22"/>
      <c r="E8" s="22"/>
      <c r="F8" s="22"/>
      <c r="G8" s="22"/>
      <c r="H8" s="37"/>
      <c r="I8" s="15"/>
      <c r="K8" s="21">
        <v>30</v>
      </c>
      <c r="L8" s="79"/>
      <c r="M8" s="43"/>
      <c r="N8" s="43"/>
      <c r="O8" s="43"/>
      <c r="P8" s="43"/>
      <c r="Q8" s="43">
        <v>240</v>
      </c>
      <c r="R8" s="43"/>
      <c r="S8" s="43"/>
      <c r="T8" s="22"/>
      <c r="U8" s="22"/>
      <c r="V8" s="22"/>
      <c r="W8" s="22">
        <v>24</v>
      </c>
      <c r="X8" s="37"/>
      <c r="Y8" s="15"/>
    </row>
    <row r="9" spans="1:25" ht="15" thickBot="1" x14ac:dyDescent="0.35">
      <c r="A9" s="24"/>
      <c r="B9" s="22"/>
      <c r="C9" s="22"/>
      <c r="D9" s="22"/>
      <c r="E9" s="22"/>
      <c r="F9" s="22"/>
      <c r="G9" s="22"/>
      <c r="H9" s="37"/>
      <c r="I9" s="16">
        <f>SUM(I3:I8)</f>
        <v>18832.870000000003</v>
      </c>
      <c r="K9" s="21"/>
      <c r="L9" s="79"/>
      <c r="M9" s="43"/>
      <c r="N9" s="43"/>
      <c r="O9" s="43"/>
      <c r="P9" s="43"/>
      <c r="Q9" s="43">
        <v>28</v>
      </c>
      <c r="R9" s="43"/>
      <c r="S9" s="43"/>
      <c r="T9" s="22"/>
      <c r="U9" s="22"/>
      <c r="V9" s="22"/>
      <c r="W9" s="22"/>
      <c r="X9" s="37"/>
      <c r="Y9" s="83"/>
    </row>
    <row r="10" spans="1:25" ht="15.6" thickTop="1" thickBot="1" x14ac:dyDescent="0.35">
      <c r="A10" s="24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37"/>
      <c r="Y10" s="16">
        <f>SUM(Y3:Y8)</f>
        <v>0</v>
      </c>
    </row>
    <row r="11" spans="1:25" ht="15" thickTop="1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8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</row>
    <row r="16" spans="1:25" x14ac:dyDescent="0.3">
      <c r="A16" s="24"/>
      <c r="B16" s="22"/>
      <c r="C16" s="22"/>
      <c r="D16" s="22"/>
      <c r="E16" s="22"/>
      <c r="F16" s="28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8"/>
      <c r="V16" s="28"/>
      <c r="W16" s="22"/>
      <c r="X16" s="22"/>
      <c r="Y16" s="23"/>
    </row>
    <row r="17" spans="1:25" x14ac:dyDescent="0.3">
      <c r="A17" s="24">
        <f t="shared" ref="A17:G17" si="0">SUM(A3:A16)</f>
        <v>5358.54</v>
      </c>
      <c r="B17" s="22">
        <f t="shared" si="0"/>
        <v>6728.0599999999995</v>
      </c>
      <c r="C17" s="22">
        <f t="shared" si="0"/>
        <v>5711.13</v>
      </c>
      <c r="D17" s="22">
        <f t="shared" si="0"/>
        <v>6548.82</v>
      </c>
      <c r="E17" s="22">
        <f t="shared" si="0"/>
        <v>240</v>
      </c>
      <c r="F17" s="22">
        <f t="shared" si="0"/>
        <v>5988.6</v>
      </c>
      <c r="G17" s="22">
        <f t="shared" si="0"/>
        <v>6056.1900000000005</v>
      </c>
      <c r="H17" s="29">
        <f>SUM(A17:G17)+I9</f>
        <v>55464.210000000006</v>
      </c>
      <c r="I17" s="30" t="s">
        <v>7</v>
      </c>
      <c r="K17" s="24">
        <f t="shared" ref="K17:Q17" si="1">SUM(K4:K16)</f>
        <v>5820</v>
      </c>
      <c r="L17" s="22">
        <f t="shared" si="1"/>
        <v>215</v>
      </c>
      <c r="M17" s="22">
        <f t="shared" si="1"/>
        <v>6407</v>
      </c>
      <c r="N17" s="22">
        <f t="shared" si="1"/>
        <v>190</v>
      </c>
      <c r="O17" s="22">
        <f t="shared" si="1"/>
        <v>5540</v>
      </c>
      <c r="P17" s="22">
        <f t="shared" si="1"/>
        <v>162.5</v>
      </c>
      <c r="Q17" s="22">
        <f t="shared" si="1"/>
        <v>3950</v>
      </c>
      <c r="R17" s="22">
        <f>SUM(R4:R16)</f>
        <v>530</v>
      </c>
      <c r="S17" s="22">
        <f t="shared" ref="S17:X17" si="2">SUM(S4:S16)</f>
        <v>834</v>
      </c>
      <c r="T17" s="22">
        <f t="shared" si="2"/>
        <v>0</v>
      </c>
      <c r="U17" s="22">
        <f t="shared" si="2"/>
        <v>6260</v>
      </c>
      <c r="V17" s="22">
        <f t="shared" si="2"/>
        <v>1189.5</v>
      </c>
      <c r="W17" s="22">
        <f t="shared" si="2"/>
        <v>6218</v>
      </c>
      <c r="X17" s="22">
        <f t="shared" si="2"/>
        <v>3769.4</v>
      </c>
      <c r="Y17" s="33">
        <f>K18+M18+O18+Q18+S18+U18+W18</f>
        <v>35029</v>
      </c>
    </row>
    <row r="18" spans="1:25" x14ac:dyDescent="0.3">
      <c r="A18" s="31">
        <v>5358.54</v>
      </c>
      <c r="B18" s="32">
        <v>6728.06</v>
      </c>
      <c r="C18" s="32">
        <v>5711.13</v>
      </c>
      <c r="D18" s="32">
        <v>6548.82</v>
      </c>
      <c r="E18" s="32">
        <v>240</v>
      </c>
      <c r="F18" s="32">
        <v>5988.6</v>
      </c>
      <c r="G18" s="32">
        <v>6056.19</v>
      </c>
      <c r="H18" s="22">
        <f>SUM(A18:G18)+I9</f>
        <v>55464.210000000006</v>
      </c>
      <c r="I18" s="33" t="s">
        <v>1</v>
      </c>
      <c r="K18" s="85">
        <v>5820</v>
      </c>
      <c r="L18" s="32">
        <v>215</v>
      </c>
      <c r="M18" s="32">
        <v>6407</v>
      </c>
      <c r="N18" s="32">
        <v>190</v>
      </c>
      <c r="O18" s="32">
        <v>5540</v>
      </c>
      <c r="P18" s="32">
        <v>162.5</v>
      </c>
      <c r="Q18" s="32">
        <v>3950</v>
      </c>
      <c r="R18" s="32">
        <v>530</v>
      </c>
      <c r="S18" s="32">
        <v>834</v>
      </c>
      <c r="T18" s="32">
        <v>0</v>
      </c>
      <c r="U18" s="22">
        <v>6260</v>
      </c>
      <c r="V18" s="22">
        <v>1189.5</v>
      </c>
      <c r="W18" s="22">
        <v>6218</v>
      </c>
      <c r="X18" s="22">
        <v>3769.4</v>
      </c>
      <c r="Y18" s="33">
        <f>L18+N18+P18+R18+T18+V18+X18</f>
        <v>6056.4</v>
      </c>
    </row>
    <row r="19" spans="1:25" ht="15" thickBot="1" x14ac:dyDescent="0.35">
      <c r="A19" s="34">
        <f>A17-A18</f>
        <v>0</v>
      </c>
      <c r="B19" s="35">
        <f>B17-B18</f>
        <v>0</v>
      </c>
      <c r="C19" s="35">
        <f t="shared" ref="C19:F19" si="3">C17-C18</f>
        <v>0</v>
      </c>
      <c r="D19" s="35">
        <f t="shared" si="3"/>
        <v>0</v>
      </c>
      <c r="E19" s="35">
        <f t="shared" si="3"/>
        <v>0</v>
      </c>
      <c r="F19" s="35">
        <f t="shared" si="3"/>
        <v>0</v>
      </c>
      <c r="G19" s="35">
        <f>G17-G18</f>
        <v>0</v>
      </c>
      <c r="H19" s="35"/>
      <c r="I19" s="36"/>
      <c r="K19" s="86">
        <f t="shared" ref="K19:X19" si="4">K17-K18</f>
        <v>0</v>
      </c>
      <c r="L19" s="86">
        <f t="shared" si="4"/>
        <v>0</v>
      </c>
      <c r="M19" s="86">
        <f t="shared" si="4"/>
        <v>0</v>
      </c>
      <c r="N19" s="86">
        <f t="shared" si="4"/>
        <v>0</v>
      </c>
      <c r="O19" s="86">
        <f t="shared" si="4"/>
        <v>0</v>
      </c>
      <c r="P19" s="86">
        <f t="shared" si="4"/>
        <v>0</v>
      </c>
      <c r="Q19" s="86">
        <f t="shared" si="4"/>
        <v>0</v>
      </c>
      <c r="R19" s="86">
        <f t="shared" si="4"/>
        <v>0</v>
      </c>
      <c r="S19" s="86">
        <f t="shared" si="4"/>
        <v>0</v>
      </c>
      <c r="T19" s="86">
        <f t="shared" si="4"/>
        <v>0</v>
      </c>
      <c r="U19" s="86">
        <f t="shared" si="4"/>
        <v>0</v>
      </c>
      <c r="V19" s="86">
        <f t="shared" si="4"/>
        <v>0</v>
      </c>
      <c r="W19" s="86">
        <f t="shared" si="4"/>
        <v>0</v>
      </c>
      <c r="X19" s="86">
        <f t="shared" si="4"/>
        <v>0</v>
      </c>
      <c r="Y19" s="87"/>
    </row>
    <row r="20" spans="1:25" ht="15.6" thickTop="1" thickBot="1" x14ac:dyDescent="0.35"/>
    <row r="21" spans="1:25" x14ac:dyDescent="0.3">
      <c r="A21" s="17">
        <v>45301</v>
      </c>
      <c r="B21" s="17">
        <v>45302</v>
      </c>
      <c r="C21" s="17">
        <v>45303</v>
      </c>
      <c r="D21" s="17">
        <v>45304</v>
      </c>
      <c r="E21" s="17">
        <v>45305</v>
      </c>
      <c r="F21" s="17">
        <v>45306</v>
      </c>
      <c r="G21" s="17">
        <v>45307</v>
      </c>
      <c r="H21" s="39"/>
      <c r="I21" s="13" t="s">
        <v>8</v>
      </c>
      <c r="K21" s="59">
        <v>45301</v>
      </c>
      <c r="L21" s="123"/>
      <c r="M21" s="123">
        <v>45302</v>
      </c>
      <c r="N21" s="123"/>
      <c r="O21" s="123">
        <v>45303</v>
      </c>
      <c r="P21" s="123"/>
      <c r="Q21" s="123">
        <v>45304</v>
      </c>
      <c r="R21" s="123"/>
      <c r="S21" s="123">
        <v>45305</v>
      </c>
      <c r="T21" s="123"/>
      <c r="U21" s="123">
        <v>45306</v>
      </c>
      <c r="V21" s="123"/>
      <c r="W21" s="123">
        <v>45307</v>
      </c>
      <c r="X21" s="123"/>
      <c r="Y21" s="20"/>
    </row>
    <row r="22" spans="1:25" ht="15" thickBot="1" x14ac:dyDescent="0.35">
      <c r="A22" s="21">
        <v>790</v>
      </c>
      <c r="B22" s="22">
        <v>2093.6</v>
      </c>
      <c r="C22" s="22">
        <v>740</v>
      </c>
      <c r="D22" s="22">
        <v>780</v>
      </c>
      <c r="E22" s="22">
        <v>240</v>
      </c>
      <c r="F22" s="22">
        <v>995</v>
      </c>
      <c r="G22" s="22">
        <v>1715.59</v>
      </c>
      <c r="H22" s="37"/>
      <c r="I22" s="14">
        <v>3132.5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  <c r="Y22" s="87"/>
    </row>
    <row r="23" spans="1:25" x14ac:dyDescent="0.3">
      <c r="A23" s="24">
        <v>2280</v>
      </c>
      <c r="B23" s="22">
        <v>2650</v>
      </c>
      <c r="C23" s="22">
        <v>3325</v>
      </c>
      <c r="D23" s="22">
        <v>1820</v>
      </c>
      <c r="E23" s="25"/>
      <c r="F23" s="22">
        <v>2875</v>
      </c>
      <c r="G23" s="22">
        <v>2840</v>
      </c>
      <c r="H23" s="37"/>
      <c r="I23" s="14">
        <v>5922.75</v>
      </c>
      <c r="K23" s="75">
        <v>537</v>
      </c>
      <c r="L23" s="76">
        <v>120</v>
      </c>
      <c r="M23" s="77">
        <v>600</v>
      </c>
      <c r="N23" s="77">
        <v>180</v>
      </c>
      <c r="O23" s="77">
        <v>840</v>
      </c>
      <c r="P23" s="77">
        <v>110</v>
      </c>
      <c r="Q23" s="77">
        <v>358</v>
      </c>
      <c r="R23" s="77">
        <v>50</v>
      </c>
      <c r="S23" s="78">
        <v>760</v>
      </c>
      <c r="T23" s="69"/>
      <c r="U23" s="63">
        <v>480</v>
      </c>
      <c r="V23" s="63">
        <v>42.5</v>
      </c>
      <c r="W23" s="63">
        <v>550</v>
      </c>
      <c r="X23" s="65">
        <v>60</v>
      </c>
      <c r="Y23" s="122"/>
    </row>
    <row r="24" spans="1:25" x14ac:dyDescent="0.3">
      <c r="A24" s="24">
        <v>1377.46</v>
      </c>
      <c r="B24" s="22">
        <v>705</v>
      </c>
      <c r="C24" s="22">
        <v>1608.06</v>
      </c>
      <c r="D24" s="26">
        <v>3631.29</v>
      </c>
      <c r="E24" s="22"/>
      <c r="F24" s="22">
        <v>2073.6</v>
      </c>
      <c r="G24" s="22">
        <v>880</v>
      </c>
      <c r="H24" s="37"/>
      <c r="I24" s="15">
        <v>740</v>
      </c>
      <c r="K24" s="21">
        <v>270</v>
      </c>
      <c r="L24" s="79">
        <v>22.5</v>
      </c>
      <c r="M24" s="43">
        <v>5260</v>
      </c>
      <c r="N24" s="43">
        <v>30</v>
      </c>
      <c r="O24" s="43">
        <v>264</v>
      </c>
      <c r="P24" s="43"/>
      <c r="Q24" s="80">
        <v>312</v>
      </c>
      <c r="R24" s="80">
        <v>120</v>
      </c>
      <c r="S24" s="43">
        <v>84</v>
      </c>
      <c r="T24" s="22"/>
      <c r="U24" s="22">
        <v>5490</v>
      </c>
      <c r="V24" s="22"/>
      <c r="W24" s="22">
        <v>4850</v>
      </c>
      <c r="X24" s="37">
        <v>50</v>
      </c>
      <c r="Y24" s="15"/>
    </row>
    <row r="25" spans="1:25" x14ac:dyDescent="0.3">
      <c r="A25" s="24"/>
      <c r="B25" s="22"/>
      <c r="C25" s="22"/>
      <c r="D25" s="25"/>
      <c r="E25" s="22"/>
      <c r="F25" s="22"/>
      <c r="G25" s="22"/>
      <c r="H25" s="37"/>
      <c r="I25" s="15">
        <v>5605.51</v>
      </c>
      <c r="K25" s="21">
        <v>5060</v>
      </c>
      <c r="L25" s="79">
        <v>1416.5</v>
      </c>
      <c r="M25" s="43">
        <v>432</v>
      </c>
      <c r="N25" s="43">
        <v>30</v>
      </c>
      <c r="O25" s="43">
        <v>5100</v>
      </c>
      <c r="P25" s="43"/>
      <c r="Q25" s="80">
        <v>2400</v>
      </c>
      <c r="R25" s="81"/>
      <c r="S25" s="43"/>
      <c r="T25" s="22"/>
      <c r="U25" s="22">
        <v>330</v>
      </c>
      <c r="V25" s="22"/>
      <c r="W25" s="22">
        <v>438</v>
      </c>
      <c r="X25" s="37">
        <v>500</v>
      </c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861.68</v>
      </c>
      <c r="K26" s="21">
        <v>720</v>
      </c>
      <c r="L26" s="79"/>
      <c r="M26" s="43">
        <v>740</v>
      </c>
      <c r="N26" s="43">
        <v>167.1</v>
      </c>
      <c r="O26" s="43">
        <v>600</v>
      </c>
      <c r="P26" s="43"/>
      <c r="Q26" s="43">
        <v>956</v>
      </c>
      <c r="R26" s="43"/>
      <c r="S26" s="43"/>
      <c r="T26" s="22"/>
      <c r="U26" s="22">
        <v>500</v>
      </c>
      <c r="V26" s="22"/>
      <c r="W26" s="22">
        <v>640</v>
      </c>
      <c r="X26" s="37"/>
      <c r="Y26" s="15"/>
    </row>
    <row r="27" spans="1:25" x14ac:dyDescent="0.3">
      <c r="A27" s="24"/>
      <c r="B27" s="22"/>
      <c r="C27" s="22"/>
      <c r="D27" s="22"/>
      <c r="E27" s="22"/>
      <c r="F27" s="22"/>
      <c r="G27" s="22"/>
      <c r="H27" s="37"/>
      <c r="I27" s="15">
        <v>4005.15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>
        <v>24</v>
      </c>
      <c r="X27" s="37"/>
      <c r="Y27" s="15"/>
    </row>
    <row r="28" spans="1:25" ht="15" thickBot="1" x14ac:dyDescent="0.35">
      <c r="A28" s="24"/>
      <c r="B28" s="22"/>
      <c r="C28" s="22"/>
      <c r="D28" s="22"/>
      <c r="E28" s="22"/>
      <c r="F28" s="22"/>
      <c r="G28" s="22"/>
      <c r="H28" s="37"/>
      <c r="I28" s="16">
        <f>SUM(I22:I27)</f>
        <v>20267.59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37"/>
      <c r="Y28" s="83"/>
    </row>
    <row r="29" spans="1:25" ht="15.6" thickTop="1" thickBot="1" x14ac:dyDescent="0.35">
      <c r="A29" s="24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7"/>
      <c r="Y29" s="16">
        <f>SUM(Y22:Y27)</f>
        <v>0</v>
      </c>
    </row>
    <row r="30" spans="1:25" ht="15" thickTop="1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38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3"/>
    </row>
    <row r="35" spans="1:25" x14ac:dyDescent="0.3">
      <c r="A35" s="24"/>
      <c r="B35" s="22"/>
      <c r="C35" s="22"/>
      <c r="D35" s="22"/>
      <c r="E35" s="22"/>
      <c r="F35" s="28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8"/>
      <c r="V35" s="28"/>
      <c r="W35" s="22"/>
      <c r="X35" s="22"/>
      <c r="Y35" s="23"/>
    </row>
    <row r="36" spans="1:25" x14ac:dyDescent="0.3">
      <c r="A36" s="24">
        <f t="shared" ref="A36:G36" si="5">SUM(A22:A35)</f>
        <v>4447.46</v>
      </c>
      <c r="B36" s="22">
        <f t="shared" si="5"/>
        <v>5448.6</v>
      </c>
      <c r="C36" s="22">
        <f t="shared" si="5"/>
        <v>5673.0599999999995</v>
      </c>
      <c r="D36" s="22">
        <f t="shared" si="5"/>
        <v>6231.29</v>
      </c>
      <c r="E36" s="22">
        <f t="shared" si="5"/>
        <v>240</v>
      </c>
      <c r="F36" s="22">
        <f t="shared" si="5"/>
        <v>5943.6</v>
      </c>
      <c r="G36" s="22">
        <f t="shared" si="5"/>
        <v>5435.59</v>
      </c>
      <c r="H36" s="29">
        <f>SUM(A36:G36)+I28</f>
        <v>53687.19</v>
      </c>
      <c r="I36" s="30" t="s">
        <v>7</v>
      </c>
      <c r="K36" s="24">
        <f t="shared" ref="K36:Q36" si="6">SUM(K23:K35)</f>
        <v>6587</v>
      </c>
      <c r="L36" s="22">
        <f t="shared" si="6"/>
        <v>1559</v>
      </c>
      <c r="M36" s="22">
        <f t="shared" si="6"/>
        <v>7032</v>
      </c>
      <c r="N36" s="22">
        <f t="shared" si="6"/>
        <v>407.1</v>
      </c>
      <c r="O36" s="22">
        <f t="shared" si="6"/>
        <v>6804</v>
      </c>
      <c r="P36" s="22">
        <f t="shared" si="6"/>
        <v>110</v>
      </c>
      <c r="Q36" s="22">
        <f t="shared" si="6"/>
        <v>4026</v>
      </c>
      <c r="R36" s="22">
        <f>SUM(R23:R35)</f>
        <v>170</v>
      </c>
      <c r="S36" s="22">
        <f t="shared" ref="S36:X36" si="7">SUM(S23:S35)</f>
        <v>844</v>
      </c>
      <c r="T36" s="22">
        <f t="shared" si="7"/>
        <v>0</v>
      </c>
      <c r="U36" s="22">
        <f t="shared" si="7"/>
        <v>6800</v>
      </c>
      <c r="V36" s="22">
        <f t="shared" si="7"/>
        <v>42.5</v>
      </c>
      <c r="W36" s="22">
        <f t="shared" si="7"/>
        <v>6502</v>
      </c>
      <c r="X36" s="22">
        <f t="shared" si="7"/>
        <v>610</v>
      </c>
      <c r="Y36" s="33">
        <f>K37+M37+O37+Q37+S37+U37+W37</f>
        <v>38595</v>
      </c>
    </row>
    <row r="37" spans="1:25" x14ac:dyDescent="0.3">
      <c r="A37" s="31">
        <v>4447.46</v>
      </c>
      <c r="B37" s="32">
        <v>5448.6</v>
      </c>
      <c r="C37" s="32">
        <v>5673.06</v>
      </c>
      <c r="D37" s="32">
        <v>6231.29</v>
      </c>
      <c r="E37" s="32">
        <v>240</v>
      </c>
      <c r="F37" s="32">
        <v>5943.6</v>
      </c>
      <c r="G37" s="32">
        <v>5435.59</v>
      </c>
      <c r="H37" s="22">
        <f>SUM(A37:G37)+I28</f>
        <v>53687.19</v>
      </c>
      <c r="I37" s="33" t="s">
        <v>1</v>
      </c>
      <c r="K37" s="24">
        <v>6587</v>
      </c>
      <c r="L37" s="22">
        <v>1559</v>
      </c>
      <c r="M37" s="22">
        <v>7032</v>
      </c>
      <c r="N37" s="22">
        <v>407.1</v>
      </c>
      <c r="O37" s="22">
        <v>6804</v>
      </c>
      <c r="P37" s="22">
        <v>110</v>
      </c>
      <c r="Q37" s="22">
        <v>4026</v>
      </c>
      <c r="R37" s="22">
        <v>170</v>
      </c>
      <c r="S37" s="32">
        <v>844</v>
      </c>
      <c r="T37" s="32"/>
      <c r="U37" s="32">
        <v>6800</v>
      </c>
      <c r="V37" s="32">
        <v>42.5</v>
      </c>
      <c r="W37" s="32">
        <v>6502</v>
      </c>
      <c r="X37" s="22">
        <v>610</v>
      </c>
      <c r="Y37" s="33">
        <f>L37+N37+P37+R37+T37+V37+X37</f>
        <v>2898.6</v>
      </c>
    </row>
    <row r="38" spans="1:25" ht="15" thickBot="1" x14ac:dyDescent="0.35">
      <c r="A38" s="34">
        <f>A36-A37</f>
        <v>0</v>
      </c>
      <c r="B38" s="35">
        <f>B36-B37</f>
        <v>0</v>
      </c>
      <c r="C38" s="35">
        <f t="shared" ref="C38:F38" si="8">C36-C37</f>
        <v>0</v>
      </c>
      <c r="D38" s="35">
        <f t="shared" si="8"/>
        <v>0</v>
      </c>
      <c r="E38" s="35">
        <f t="shared" si="8"/>
        <v>0</v>
      </c>
      <c r="F38" s="35">
        <f t="shared" si="8"/>
        <v>0</v>
      </c>
      <c r="G38" s="35">
        <f>G36-G37</f>
        <v>0</v>
      </c>
      <c r="H38" s="35">
        <v>0</v>
      </c>
      <c r="I38" s="36"/>
      <c r="K38" s="86">
        <f t="shared" ref="K38:X38" si="9">K36-K37</f>
        <v>0</v>
      </c>
      <c r="L38" s="86">
        <f t="shared" si="9"/>
        <v>0</v>
      </c>
      <c r="M38" s="86">
        <f t="shared" si="9"/>
        <v>0</v>
      </c>
      <c r="N38" s="86">
        <f t="shared" si="9"/>
        <v>0</v>
      </c>
      <c r="O38" s="86">
        <f t="shared" si="9"/>
        <v>0</v>
      </c>
      <c r="P38" s="86">
        <f t="shared" si="9"/>
        <v>0</v>
      </c>
      <c r="Q38" s="86">
        <f t="shared" si="9"/>
        <v>0</v>
      </c>
      <c r="R38" s="86">
        <f t="shared" si="9"/>
        <v>0</v>
      </c>
      <c r="S38" s="86">
        <f t="shared" si="9"/>
        <v>0</v>
      </c>
      <c r="T38" s="86">
        <f t="shared" si="9"/>
        <v>0</v>
      </c>
      <c r="U38" s="86">
        <f t="shared" si="9"/>
        <v>0</v>
      </c>
      <c r="V38" s="86">
        <f t="shared" si="9"/>
        <v>0</v>
      </c>
      <c r="W38" s="86">
        <f t="shared" si="9"/>
        <v>0</v>
      </c>
      <c r="X38" s="86">
        <f t="shared" si="9"/>
        <v>0</v>
      </c>
      <c r="Y38" s="87"/>
    </row>
    <row r="39" spans="1:25" ht="15.6" thickTop="1" thickBot="1" x14ac:dyDescent="0.35"/>
    <row r="40" spans="1:25" x14ac:dyDescent="0.3">
      <c r="A40" s="17">
        <v>45308</v>
      </c>
      <c r="B40" s="17">
        <v>45309</v>
      </c>
      <c r="C40" s="17">
        <v>45310</v>
      </c>
      <c r="D40" s="17">
        <v>45311</v>
      </c>
      <c r="E40" s="17">
        <v>45312</v>
      </c>
      <c r="F40" s="17">
        <v>45313</v>
      </c>
      <c r="G40" s="17">
        <v>45314</v>
      </c>
      <c r="H40" s="39"/>
      <c r="I40" s="13" t="s">
        <v>8</v>
      </c>
      <c r="K40" s="59">
        <v>45308</v>
      </c>
      <c r="L40" s="123"/>
      <c r="M40" s="123">
        <v>45309</v>
      </c>
      <c r="N40" s="123"/>
      <c r="O40" s="123">
        <v>45310</v>
      </c>
      <c r="P40" s="123">
        <v>45310</v>
      </c>
      <c r="Q40" s="123">
        <v>45311</v>
      </c>
      <c r="R40" s="123"/>
      <c r="S40" s="123">
        <v>45312</v>
      </c>
      <c r="T40" s="123"/>
      <c r="U40" s="123">
        <v>45313</v>
      </c>
      <c r="V40" s="123"/>
      <c r="W40" s="123">
        <v>45314</v>
      </c>
      <c r="X40" s="123"/>
      <c r="Y40" s="20"/>
    </row>
    <row r="41" spans="1:25" ht="15" thickBot="1" x14ac:dyDescent="0.35">
      <c r="A41" s="21">
        <v>1600.29</v>
      </c>
      <c r="B41" s="22">
        <v>687.5</v>
      </c>
      <c r="C41" s="22">
        <v>980</v>
      </c>
      <c r="D41" s="22">
        <v>3951.81</v>
      </c>
      <c r="E41" s="22">
        <v>1075</v>
      </c>
      <c r="F41" s="22">
        <v>1000</v>
      </c>
      <c r="G41" s="22">
        <v>1145</v>
      </c>
      <c r="H41" s="37"/>
      <c r="I41" s="14">
        <v>5922.75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  <c r="Y41" s="87"/>
    </row>
    <row r="42" spans="1:25" x14ac:dyDescent="0.3">
      <c r="A42" s="24">
        <v>2875</v>
      </c>
      <c r="B42" s="22">
        <v>2155</v>
      </c>
      <c r="C42" s="22">
        <v>2555</v>
      </c>
      <c r="D42" s="22">
        <v>1750</v>
      </c>
      <c r="E42" s="25"/>
      <c r="F42" s="22">
        <v>2880</v>
      </c>
      <c r="G42" s="22">
        <v>2705</v>
      </c>
      <c r="H42" s="37"/>
      <c r="I42" s="14">
        <v>3225</v>
      </c>
      <c r="K42" s="75">
        <v>540</v>
      </c>
      <c r="L42" s="76">
        <v>42.5</v>
      </c>
      <c r="M42" s="77">
        <v>580</v>
      </c>
      <c r="N42" s="77">
        <v>22.5</v>
      </c>
      <c r="O42" s="77">
        <v>620</v>
      </c>
      <c r="P42" s="77">
        <v>50</v>
      </c>
      <c r="Q42" s="77">
        <v>900</v>
      </c>
      <c r="R42" s="77">
        <v>382.5</v>
      </c>
      <c r="S42" s="78">
        <v>70</v>
      </c>
      <c r="T42" s="69">
        <v>15</v>
      </c>
      <c r="U42" s="63">
        <v>575</v>
      </c>
      <c r="V42" s="63">
        <v>161.6</v>
      </c>
      <c r="W42" s="63">
        <v>475</v>
      </c>
      <c r="X42" s="65">
        <v>42.5</v>
      </c>
      <c r="Y42" s="122"/>
    </row>
    <row r="43" spans="1:25" x14ac:dyDescent="0.3">
      <c r="A43" s="24">
        <v>1030</v>
      </c>
      <c r="B43" s="22">
        <v>2065.83</v>
      </c>
      <c r="C43" s="22">
        <v>1908.06</v>
      </c>
      <c r="D43" s="26">
        <v>935</v>
      </c>
      <c r="E43" s="22"/>
      <c r="F43" s="22">
        <v>1988.66</v>
      </c>
      <c r="G43" s="22">
        <v>1988.66</v>
      </c>
      <c r="H43" s="37"/>
      <c r="I43" s="15">
        <v>5289.97</v>
      </c>
      <c r="K43" s="21">
        <v>4300</v>
      </c>
      <c r="L43" s="79"/>
      <c r="M43" s="43">
        <v>432</v>
      </c>
      <c r="N43" s="43">
        <v>80</v>
      </c>
      <c r="O43" s="43">
        <v>180</v>
      </c>
      <c r="P43" s="43">
        <v>180</v>
      </c>
      <c r="Q43" s="80">
        <v>2510</v>
      </c>
      <c r="R43" s="80">
        <v>2700</v>
      </c>
      <c r="S43" s="43">
        <v>84</v>
      </c>
      <c r="T43" s="22"/>
      <c r="U43" s="22">
        <v>330</v>
      </c>
      <c r="V43" s="22">
        <v>60</v>
      </c>
      <c r="W43" s="22">
        <v>438</v>
      </c>
      <c r="X43" s="37">
        <v>60</v>
      </c>
      <c r="Y43" s="15"/>
    </row>
    <row r="44" spans="1:25" x14ac:dyDescent="0.3">
      <c r="A44" s="24"/>
      <c r="B44" s="22" t="s">
        <v>9</v>
      </c>
      <c r="C44" s="22"/>
      <c r="D44" s="25"/>
      <c r="E44" s="22"/>
      <c r="F44" s="22"/>
      <c r="G44" s="22"/>
      <c r="H44" s="37"/>
      <c r="I44" s="15">
        <v>4005.15</v>
      </c>
      <c r="K44" s="21">
        <v>270</v>
      </c>
      <c r="L44" s="79"/>
      <c r="M44" s="43">
        <v>4920</v>
      </c>
      <c r="N44" s="43">
        <v>60</v>
      </c>
      <c r="O44" s="43">
        <v>4440</v>
      </c>
      <c r="P44" s="43"/>
      <c r="Q44" s="80">
        <v>336</v>
      </c>
      <c r="R44" s="81">
        <v>42.5</v>
      </c>
      <c r="S44" s="43"/>
      <c r="T44" s="22"/>
      <c r="U44" s="22">
        <v>5255</v>
      </c>
      <c r="V44" s="22"/>
      <c r="W44" s="22">
        <v>4555</v>
      </c>
      <c r="X44" s="37"/>
      <c r="Y44" s="15"/>
    </row>
    <row r="45" spans="1:25" x14ac:dyDescent="0.3">
      <c r="A45" s="24"/>
      <c r="B45" s="22"/>
      <c r="C45" s="22"/>
      <c r="D45" s="22"/>
      <c r="E45" s="22"/>
      <c r="F45" s="22"/>
      <c r="G45" s="22"/>
      <c r="H45" s="37"/>
      <c r="I45" s="15">
        <v>703.91</v>
      </c>
      <c r="K45" s="21">
        <v>510</v>
      </c>
      <c r="L45" s="79"/>
      <c r="M45" s="43">
        <v>860</v>
      </c>
      <c r="N45" s="43"/>
      <c r="O45" s="43">
        <v>610</v>
      </c>
      <c r="P45" s="43"/>
      <c r="Q45" s="43">
        <v>200</v>
      </c>
      <c r="R45" s="43"/>
      <c r="S45" s="43"/>
      <c r="T45" s="22"/>
      <c r="U45" s="22">
        <v>480</v>
      </c>
      <c r="V45" s="22"/>
      <c r="W45" s="22">
        <v>480</v>
      </c>
      <c r="X45" s="37"/>
      <c r="Y45" s="15"/>
    </row>
    <row r="46" spans="1:25" x14ac:dyDescent="0.3">
      <c r="A46" s="24"/>
      <c r="B46" s="22"/>
      <c r="C46" s="22"/>
      <c r="D46" s="22"/>
      <c r="E46" s="22"/>
      <c r="F46" s="22"/>
      <c r="G46" s="22"/>
      <c r="H46" s="37"/>
      <c r="I46" s="15"/>
      <c r="K46" s="21">
        <v>31</v>
      </c>
      <c r="L46" s="79"/>
      <c r="M46" s="43"/>
      <c r="N46" s="43"/>
      <c r="O46" s="43"/>
      <c r="P46" s="43"/>
      <c r="Q46" s="43">
        <v>28</v>
      </c>
      <c r="R46" s="43"/>
      <c r="S46" s="43"/>
      <c r="T46" s="22"/>
      <c r="U46" s="22"/>
      <c r="V46" s="22"/>
      <c r="W46" s="22"/>
      <c r="X46" s="37"/>
      <c r="Y46" s="15"/>
    </row>
    <row r="47" spans="1:25" ht="15" thickBot="1" x14ac:dyDescent="0.35">
      <c r="A47" s="24"/>
      <c r="B47" s="22"/>
      <c r="C47" s="22"/>
      <c r="D47" s="22"/>
      <c r="E47" s="22"/>
      <c r="F47" s="22"/>
      <c r="G47" s="22"/>
      <c r="H47" s="37"/>
      <c r="I47" s="16">
        <f>SUM(I41:I46)</f>
        <v>19146.780000000002</v>
      </c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/>
      <c r="X47" s="37"/>
      <c r="Y47" s="83"/>
    </row>
    <row r="48" spans="1:25" ht="15.6" thickTop="1" thickBot="1" x14ac:dyDescent="0.35">
      <c r="A48" s="24"/>
      <c r="B48" s="22"/>
      <c r="C48" s="22"/>
      <c r="D48" s="22"/>
      <c r="E48" s="22"/>
      <c r="F48" s="22"/>
      <c r="G48" s="22"/>
      <c r="H48" s="22"/>
      <c r="I48" s="40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7"/>
      <c r="Y48" s="16">
        <f>SUM(Y41:Y46)</f>
        <v>0</v>
      </c>
    </row>
    <row r="49" spans="1:25" ht="15" thickTop="1" x14ac:dyDescent="0.3">
      <c r="A49" s="24"/>
      <c r="B49" s="22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38"/>
    </row>
    <row r="50" spans="1:25" x14ac:dyDescent="0.3">
      <c r="A50" s="24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</row>
    <row r="54" spans="1:25" x14ac:dyDescent="0.3">
      <c r="A54" s="24"/>
      <c r="B54" s="22"/>
      <c r="C54" s="22"/>
      <c r="D54" s="22"/>
      <c r="E54" s="22"/>
      <c r="F54" s="28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8"/>
      <c r="V54" s="28"/>
      <c r="W54" s="22"/>
      <c r="X54" s="22"/>
      <c r="Y54" s="23"/>
    </row>
    <row r="55" spans="1:25" x14ac:dyDescent="0.3">
      <c r="A55" s="24">
        <f t="shared" ref="A55:G55" si="10">SUM(A41:A54)</f>
        <v>5505.29</v>
      </c>
      <c r="B55" s="22">
        <f t="shared" si="10"/>
        <v>4908.33</v>
      </c>
      <c r="C55" s="22">
        <f t="shared" si="10"/>
        <v>5443.0599999999995</v>
      </c>
      <c r="D55" s="22">
        <f t="shared" si="10"/>
        <v>6636.8099999999995</v>
      </c>
      <c r="E55" s="22">
        <f t="shared" si="10"/>
        <v>1075</v>
      </c>
      <c r="F55" s="22">
        <f t="shared" si="10"/>
        <v>5868.66</v>
      </c>
      <c r="G55" s="22">
        <f t="shared" si="10"/>
        <v>5838.66</v>
      </c>
      <c r="H55" s="29">
        <f>SUM(A55:G55)+I47</f>
        <v>54422.59</v>
      </c>
      <c r="I55" s="30" t="s">
        <v>7</v>
      </c>
      <c r="K55" s="24">
        <f t="shared" ref="K55:Q55" si="11">SUM(K42:K54)</f>
        <v>5651</v>
      </c>
      <c r="L55" s="22">
        <f t="shared" si="11"/>
        <v>42.5</v>
      </c>
      <c r="M55" s="22">
        <f t="shared" si="11"/>
        <v>6792</v>
      </c>
      <c r="N55" s="22">
        <f t="shared" si="11"/>
        <v>162.5</v>
      </c>
      <c r="O55" s="22">
        <f t="shared" si="11"/>
        <v>5850</v>
      </c>
      <c r="P55" s="22">
        <f t="shared" si="11"/>
        <v>230</v>
      </c>
      <c r="Q55" s="22">
        <f t="shared" si="11"/>
        <v>3974</v>
      </c>
      <c r="R55" s="22">
        <f>SUM(R42:R54)</f>
        <v>3125</v>
      </c>
      <c r="S55" s="22">
        <f t="shared" ref="S55:X55" si="12">SUM(S42:S54)</f>
        <v>154</v>
      </c>
      <c r="T55" s="22">
        <f t="shared" si="12"/>
        <v>15</v>
      </c>
      <c r="U55" s="22">
        <f t="shared" si="12"/>
        <v>6640</v>
      </c>
      <c r="V55" s="22">
        <f t="shared" si="12"/>
        <v>221.6</v>
      </c>
      <c r="W55" s="22">
        <f t="shared" si="12"/>
        <v>5948</v>
      </c>
      <c r="X55" s="22">
        <f t="shared" si="12"/>
        <v>102.5</v>
      </c>
      <c r="Y55" s="33">
        <f>K56+M56+O56+Q56+S56+U56+W56</f>
        <v>35009</v>
      </c>
    </row>
    <row r="56" spans="1:25" x14ac:dyDescent="0.3">
      <c r="A56" s="31">
        <v>5505.29</v>
      </c>
      <c r="B56" s="32">
        <v>4908.33</v>
      </c>
      <c r="C56" s="32">
        <v>5443.06</v>
      </c>
      <c r="D56" s="32">
        <v>6636.81</v>
      </c>
      <c r="E56" s="32">
        <v>1075</v>
      </c>
      <c r="F56" s="32">
        <v>5868.66</v>
      </c>
      <c r="G56" s="32">
        <v>5838.66</v>
      </c>
      <c r="H56" s="22">
        <f>SUM(A56:G56)+I47</f>
        <v>54422.59</v>
      </c>
      <c r="I56" s="33" t="s">
        <v>1</v>
      </c>
      <c r="K56" s="85">
        <v>5651</v>
      </c>
      <c r="L56" s="32">
        <v>42.5</v>
      </c>
      <c r="M56" s="32">
        <v>6792</v>
      </c>
      <c r="N56" s="32">
        <v>162.5</v>
      </c>
      <c r="O56" s="32">
        <v>5850</v>
      </c>
      <c r="P56" s="32">
        <v>230</v>
      </c>
      <c r="Q56" s="32">
        <v>3974</v>
      </c>
      <c r="R56" s="32">
        <v>3125</v>
      </c>
      <c r="S56" s="32">
        <v>154</v>
      </c>
      <c r="T56" s="32">
        <v>15</v>
      </c>
      <c r="U56" s="32">
        <v>6640</v>
      </c>
      <c r="V56" s="32">
        <v>221.6</v>
      </c>
      <c r="W56" s="32">
        <v>5948</v>
      </c>
      <c r="X56" s="22">
        <v>102.5</v>
      </c>
      <c r="Y56" s="33">
        <f>L56+N56+P56+R56+T56+V56+X56</f>
        <v>3899.1</v>
      </c>
    </row>
    <row r="57" spans="1:25" ht="15" thickBot="1" x14ac:dyDescent="0.35">
      <c r="A57" s="34">
        <f>A55-A56</f>
        <v>0</v>
      </c>
      <c r="B57" s="35">
        <f>B55-B56</f>
        <v>0</v>
      </c>
      <c r="C57" s="35">
        <f t="shared" ref="C57:F57" si="13">C55-C56</f>
        <v>0</v>
      </c>
      <c r="D57" s="35">
        <f t="shared" si="13"/>
        <v>0</v>
      </c>
      <c r="E57" s="35">
        <f t="shared" si="13"/>
        <v>0</v>
      </c>
      <c r="F57" s="35">
        <f t="shared" si="13"/>
        <v>0</v>
      </c>
      <c r="G57" s="35">
        <f>G55-G56</f>
        <v>0</v>
      </c>
      <c r="H57" s="35"/>
      <c r="I57" s="36"/>
      <c r="K57" s="86">
        <f t="shared" ref="K57:X57" si="14">K55-K56</f>
        <v>0</v>
      </c>
      <c r="L57" s="86">
        <f t="shared" si="14"/>
        <v>0</v>
      </c>
      <c r="M57" s="86">
        <f t="shared" si="14"/>
        <v>0</v>
      </c>
      <c r="N57" s="86">
        <f t="shared" si="14"/>
        <v>0</v>
      </c>
      <c r="O57" s="86">
        <f t="shared" si="14"/>
        <v>0</v>
      </c>
      <c r="P57" s="86">
        <f t="shared" si="14"/>
        <v>0</v>
      </c>
      <c r="Q57" s="86">
        <f t="shared" si="14"/>
        <v>0</v>
      </c>
      <c r="R57" s="86">
        <f t="shared" si="14"/>
        <v>0</v>
      </c>
      <c r="S57" s="86">
        <f t="shared" si="14"/>
        <v>0</v>
      </c>
      <c r="T57" s="86">
        <f t="shared" si="14"/>
        <v>0</v>
      </c>
      <c r="U57" s="86">
        <f t="shared" si="14"/>
        <v>0</v>
      </c>
      <c r="V57" s="86">
        <f t="shared" si="14"/>
        <v>0</v>
      </c>
      <c r="W57" s="86">
        <f t="shared" si="14"/>
        <v>0</v>
      </c>
      <c r="X57" s="86">
        <f t="shared" si="14"/>
        <v>0</v>
      </c>
      <c r="Y57" s="87"/>
    </row>
    <row r="58" spans="1:25" ht="15.6" thickTop="1" thickBot="1" x14ac:dyDescent="0.35"/>
    <row r="59" spans="1:25" x14ac:dyDescent="0.3">
      <c r="A59" s="17">
        <v>45315</v>
      </c>
      <c r="B59" s="17">
        <v>45316</v>
      </c>
      <c r="C59" s="17">
        <v>45317</v>
      </c>
      <c r="D59" s="17">
        <v>45318</v>
      </c>
      <c r="E59" s="17">
        <v>45319</v>
      </c>
      <c r="F59" s="17">
        <v>45320</v>
      </c>
      <c r="G59" s="17">
        <v>45321</v>
      </c>
      <c r="H59" s="39"/>
      <c r="I59" s="13" t="s">
        <v>8</v>
      </c>
      <c r="K59" s="59">
        <v>45315</v>
      </c>
      <c r="L59" s="123"/>
      <c r="M59" s="123">
        <v>45316</v>
      </c>
      <c r="N59" s="123"/>
      <c r="O59" s="123">
        <v>45317</v>
      </c>
      <c r="P59" s="123"/>
      <c r="Q59" s="123">
        <v>45318</v>
      </c>
      <c r="R59" s="123"/>
      <c r="S59" s="123">
        <v>45319</v>
      </c>
      <c r="T59" s="123"/>
      <c r="U59" s="123">
        <v>45320</v>
      </c>
      <c r="V59" s="123"/>
      <c r="W59" s="123">
        <v>45321</v>
      </c>
      <c r="X59" s="123"/>
      <c r="Y59" s="20"/>
    </row>
    <row r="60" spans="1:25" ht="15" thickBot="1" x14ac:dyDescent="0.35">
      <c r="A60" s="21">
        <v>1988.66</v>
      </c>
      <c r="B60" s="22">
        <v>2073.6</v>
      </c>
      <c r="C60" s="22">
        <v>1673.12</v>
      </c>
      <c r="D60" s="22">
        <v>855</v>
      </c>
      <c r="E60" s="22">
        <v>240</v>
      </c>
      <c r="F60" s="22">
        <v>1100</v>
      </c>
      <c r="G60" s="22">
        <v>1988.66</v>
      </c>
      <c r="H60" s="37"/>
      <c r="I60" s="14">
        <v>546.14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  <c r="Y60" s="87"/>
    </row>
    <row r="61" spans="1:25" x14ac:dyDescent="0.3">
      <c r="A61" s="24">
        <v>2355</v>
      </c>
      <c r="B61" s="22">
        <v>2850</v>
      </c>
      <c r="C61" s="22">
        <v>2520</v>
      </c>
      <c r="D61" s="22">
        <v>1725</v>
      </c>
      <c r="E61" s="25"/>
      <c r="F61" s="22">
        <v>3015</v>
      </c>
      <c r="G61" s="22">
        <v>2715</v>
      </c>
      <c r="H61" s="37"/>
      <c r="I61" s="15">
        <v>1110</v>
      </c>
      <c r="K61" s="75">
        <v>600</v>
      </c>
      <c r="L61" s="76">
        <v>60</v>
      </c>
      <c r="M61" s="77">
        <v>480</v>
      </c>
      <c r="N61" s="77">
        <v>35</v>
      </c>
      <c r="O61" s="77">
        <v>595</v>
      </c>
      <c r="P61" s="77">
        <v>50</v>
      </c>
      <c r="Q61" s="77">
        <v>112</v>
      </c>
      <c r="R61" s="77">
        <v>50</v>
      </c>
      <c r="S61" s="78">
        <v>84</v>
      </c>
      <c r="T61" s="69">
        <v>0</v>
      </c>
      <c r="U61" s="63">
        <v>445</v>
      </c>
      <c r="V61" s="63">
        <v>42.5</v>
      </c>
      <c r="W61" s="63">
        <v>600</v>
      </c>
      <c r="X61" s="65">
        <v>1599</v>
      </c>
      <c r="Y61" s="122"/>
    </row>
    <row r="62" spans="1:25" x14ac:dyDescent="0.3">
      <c r="A62" s="24">
        <v>1045</v>
      </c>
      <c r="B62" s="22">
        <v>657.5</v>
      </c>
      <c r="C62" s="22">
        <v>1045</v>
      </c>
      <c r="D62" s="26">
        <v>3721.21</v>
      </c>
      <c r="E62" s="22"/>
      <c r="F62" s="22">
        <v>1673.12</v>
      </c>
      <c r="G62" s="22">
        <v>995</v>
      </c>
      <c r="H62" s="37"/>
      <c r="I62" s="15">
        <v>2660</v>
      </c>
      <c r="K62" s="21">
        <v>4625</v>
      </c>
      <c r="L62" s="79">
        <v>27.5</v>
      </c>
      <c r="M62" s="43">
        <v>4910</v>
      </c>
      <c r="N62" s="43"/>
      <c r="O62" s="43">
        <v>28</v>
      </c>
      <c r="P62" s="43">
        <v>60</v>
      </c>
      <c r="Q62" s="80">
        <v>270</v>
      </c>
      <c r="R62" s="80"/>
      <c r="S62" s="43">
        <v>760</v>
      </c>
      <c r="T62" s="22"/>
      <c r="U62" s="22">
        <v>360</v>
      </c>
      <c r="V62" s="22">
        <v>60</v>
      </c>
      <c r="W62" s="22">
        <v>4650</v>
      </c>
      <c r="X62" s="37">
        <v>120</v>
      </c>
      <c r="Y62" s="15"/>
    </row>
    <row r="63" spans="1:25" x14ac:dyDescent="0.3">
      <c r="A63" s="24"/>
      <c r="B63" s="22"/>
      <c r="C63" s="22"/>
      <c r="D63" s="25"/>
      <c r="E63" s="22"/>
      <c r="F63" s="22"/>
      <c r="G63" s="22"/>
      <c r="H63" s="37"/>
      <c r="I63" s="15">
        <v>5133.05</v>
      </c>
      <c r="K63" s="21">
        <v>270</v>
      </c>
      <c r="L63" s="79"/>
      <c r="M63" s="43">
        <v>432</v>
      </c>
      <c r="N63" s="43"/>
      <c r="O63" s="43">
        <v>180</v>
      </c>
      <c r="P63" s="43"/>
      <c r="Q63" s="80">
        <v>336</v>
      </c>
      <c r="R63" s="81"/>
      <c r="S63" s="43"/>
      <c r="T63" s="22"/>
      <c r="U63" s="22">
        <v>5285</v>
      </c>
      <c r="V63" s="22"/>
      <c r="W63" s="22">
        <v>432</v>
      </c>
      <c r="X63" s="37">
        <v>100</v>
      </c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>
        <v>4005.15</v>
      </c>
      <c r="K64" s="21">
        <v>535</v>
      </c>
      <c r="L64" s="79"/>
      <c r="M64" s="43">
        <v>700</v>
      </c>
      <c r="N64" s="43"/>
      <c r="O64" s="43">
        <v>4395</v>
      </c>
      <c r="P64" s="43"/>
      <c r="Q64" s="43">
        <v>2570</v>
      </c>
      <c r="R64" s="43"/>
      <c r="S64" s="43"/>
      <c r="T64" s="22"/>
      <c r="U64" s="22">
        <v>360</v>
      </c>
      <c r="V64" s="22"/>
      <c r="W64" s="22">
        <v>630</v>
      </c>
      <c r="X64" s="37"/>
      <c r="Y64" s="15"/>
    </row>
    <row r="65" spans="1:25" x14ac:dyDescent="0.3">
      <c r="A65" s="24"/>
      <c r="B65" s="22"/>
      <c r="C65" s="22"/>
      <c r="D65" s="22"/>
      <c r="E65" s="22"/>
      <c r="F65" s="22"/>
      <c r="G65" s="22"/>
      <c r="H65" s="37"/>
      <c r="I65" s="15">
        <v>5289.97</v>
      </c>
      <c r="K65" s="21">
        <v>31</v>
      </c>
      <c r="L65" s="79"/>
      <c r="M65" s="43"/>
      <c r="N65" s="43"/>
      <c r="O65" s="43">
        <v>480</v>
      </c>
      <c r="P65" s="43"/>
      <c r="Q65" s="43">
        <v>900</v>
      </c>
      <c r="R65" s="43"/>
      <c r="S65" s="43"/>
      <c r="T65" s="22"/>
      <c r="U65" s="22"/>
      <c r="V65" s="22"/>
      <c r="W65" s="22">
        <v>28</v>
      </c>
      <c r="X65" s="37"/>
      <c r="Y65" s="15"/>
    </row>
    <row r="66" spans="1:25" ht="15" thickBot="1" x14ac:dyDescent="0.35">
      <c r="A66" s="24"/>
      <c r="B66" s="22"/>
      <c r="C66" s="22"/>
      <c r="D66" s="22"/>
      <c r="E66" s="22"/>
      <c r="F66" s="22"/>
      <c r="G66" s="22"/>
      <c r="H66" s="37"/>
      <c r="I66" s="16">
        <f>SUM(I60:I65)</f>
        <v>18744.309999999998</v>
      </c>
      <c r="K66" s="21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37"/>
      <c r="Y66" s="83"/>
    </row>
    <row r="67" spans="1:25" ht="15.6" thickTop="1" thickBot="1" x14ac:dyDescent="0.35">
      <c r="A67" s="24"/>
      <c r="B67" s="22"/>
      <c r="C67" s="22"/>
      <c r="D67" s="22"/>
      <c r="E67" s="22"/>
      <c r="F67" s="22"/>
      <c r="G67" s="22"/>
      <c r="H67" s="22"/>
      <c r="I67" s="40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7"/>
      <c r="Y67" s="16">
        <f>SUM(Y60:Y65)</f>
        <v>0</v>
      </c>
    </row>
    <row r="68" spans="1:25" ht="15" thickTop="1" x14ac:dyDescent="0.3">
      <c r="A68" s="24"/>
      <c r="B68" s="22"/>
      <c r="C68" s="22"/>
      <c r="D68" s="22"/>
      <c r="E68" s="22"/>
      <c r="F68" s="22"/>
      <c r="G68" s="22"/>
      <c r="H68" s="22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38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</row>
    <row r="73" spans="1:25" x14ac:dyDescent="0.3">
      <c r="A73" s="24"/>
      <c r="B73" s="22"/>
      <c r="C73" s="22"/>
      <c r="D73" s="22"/>
      <c r="E73" s="22"/>
      <c r="F73" s="28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8"/>
      <c r="V73" s="28"/>
      <c r="W73" s="22"/>
      <c r="X73" s="22"/>
      <c r="Y73" s="23"/>
    </row>
    <row r="74" spans="1:25" x14ac:dyDescent="0.3">
      <c r="A74" s="24">
        <f t="shared" ref="A74:G74" si="15">SUM(A60:A73)</f>
        <v>5388.66</v>
      </c>
      <c r="B74" s="22">
        <f t="shared" si="15"/>
        <v>5581.1</v>
      </c>
      <c r="C74" s="22">
        <f>SUM(C60:C73)</f>
        <v>5238.12</v>
      </c>
      <c r="D74" s="22">
        <f t="shared" si="15"/>
        <v>6301.21</v>
      </c>
      <c r="E74" s="22">
        <f t="shared" si="15"/>
        <v>240</v>
      </c>
      <c r="F74" s="22">
        <f t="shared" si="15"/>
        <v>5788.12</v>
      </c>
      <c r="G74" s="22">
        <f t="shared" si="15"/>
        <v>5698.66</v>
      </c>
      <c r="H74" s="29">
        <f>SUM(A74:G74)+I66</f>
        <v>52980.179999999993</v>
      </c>
      <c r="I74" s="30" t="s">
        <v>7</v>
      </c>
      <c r="K74" s="24">
        <f t="shared" ref="K74:Q74" si="16">SUM(K61:K73)</f>
        <v>6061</v>
      </c>
      <c r="L74" s="22">
        <f t="shared" si="16"/>
        <v>87.5</v>
      </c>
      <c r="M74" s="22">
        <f t="shared" si="16"/>
        <v>6522</v>
      </c>
      <c r="N74" s="22">
        <f t="shared" si="16"/>
        <v>35</v>
      </c>
      <c r="O74" s="22">
        <f t="shared" si="16"/>
        <v>5678</v>
      </c>
      <c r="P74" s="22">
        <f t="shared" si="16"/>
        <v>110</v>
      </c>
      <c r="Q74" s="22">
        <f t="shared" si="16"/>
        <v>4188</v>
      </c>
      <c r="R74" s="22">
        <f>SUM(R61:R73)</f>
        <v>50</v>
      </c>
      <c r="S74" s="22">
        <f t="shared" ref="S74:X74" si="17">SUM(S61:S73)</f>
        <v>844</v>
      </c>
      <c r="T74" s="22">
        <f t="shared" si="17"/>
        <v>0</v>
      </c>
      <c r="U74" s="22">
        <f t="shared" si="17"/>
        <v>6450</v>
      </c>
      <c r="V74" s="22">
        <f t="shared" si="17"/>
        <v>102.5</v>
      </c>
      <c r="W74" s="22">
        <f t="shared" si="17"/>
        <v>6340</v>
      </c>
      <c r="X74" s="22">
        <f t="shared" si="17"/>
        <v>1819</v>
      </c>
      <c r="Y74" s="33">
        <f>K75+M75+O75+Q75+S75+U75+W75</f>
        <v>36083</v>
      </c>
    </row>
    <row r="75" spans="1:25" x14ac:dyDescent="0.3">
      <c r="A75" s="31">
        <v>5388.66</v>
      </c>
      <c r="B75" s="32">
        <v>5581.1</v>
      </c>
      <c r="C75" s="32">
        <v>5238.12</v>
      </c>
      <c r="D75" s="32">
        <v>6301.21</v>
      </c>
      <c r="E75" s="32">
        <v>240</v>
      </c>
      <c r="F75" s="32">
        <v>5788.12</v>
      </c>
      <c r="G75" s="32">
        <v>5698.66</v>
      </c>
      <c r="H75" s="22">
        <f>SUM(A75:G75)+I66</f>
        <v>52980.179999999993</v>
      </c>
      <c r="I75" s="33" t="s">
        <v>1</v>
      </c>
      <c r="K75" s="85">
        <v>6061</v>
      </c>
      <c r="L75" s="32">
        <v>87.5</v>
      </c>
      <c r="M75" s="32">
        <v>6522</v>
      </c>
      <c r="N75" s="32">
        <v>35</v>
      </c>
      <c r="O75" s="32">
        <v>5678</v>
      </c>
      <c r="P75" s="32">
        <v>110</v>
      </c>
      <c r="Q75" s="32">
        <v>4188</v>
      </c>
      <c r="R75" s="32">
        <v>50</v>
      </c>
      <c r="S75" s="32">
        <v>844</v>
      </c>
      <c r="T75" s="32">
        <v>0</v>
      </c>
      <c r="U75" s="32">
        <v>6450</v>
      </c>
      <c r="V75" s="32">
        <v>102.5</v>
      </c>
      <c r="W75" s="32">
        <v>6340</v>
      </c>
      <c r="X75" s="22">
        <v>1819</v>
      </c>
      <c r="Y75" s="33">
        <f>L75+N75+P75+R75+T75+V75+X75</f>
        <v>2204</v>
      </c>
    </row>
    <row r="76" spans="1:25" ht="15" thickBot="1" x14ac:dyDescent="0.35">
      <c r="A76" s="34">
        <f>A74-A75</f>
        <v>0</v>
      </c>
      <c r="B76" s="35">
        <f>B74-B75</f>
        <v>0</v>
      </c>
      <c r="C76" s="35">
        <f t="shared" ref="C76:F76" si="18">C74-C75</f>
        <v>0</v>
      </c>
      <c r="D76" s="35">
        <f t="shared" si="18"/>
        <v>0</v>
      </c>
      <c r="E76" s="35">
        <f t="shared" si="18"/>
        <v>0</v>
      </c>
      <c r="F76" s="35">
        <f t="shared" si="18"/>
        <v>0</v>
      </c>
      <c r="G76" s="35">
        <f>G74-G75</f>
        <v>0</v>
      </c>
      <c r="H76" s="35"/>
      <c r="I76" s="36"/>
      <c r="K76" s="86">
        <f t="shared" ref="K76:X76" si="19">K74-K75</f>
        <v>0</v>
      </c>
      <c r="L76" s="86">
        <f t="shared" si="19"/>
        <v>0</v>
      </c>
      <c r="M76" s="86">
        <f t="shared" si="19"/>
        <v>0</v>
      </c>
      <c r="N76" s="86">
        <f t="shared" si="19"/>
        <v>0</v>
      </c>
      <c r="O76" s="86">
        <f t="shared" si="19"/>
        <v>0</v>
      </c>
      <c r="P76" s="86">
        <f t="shared" si="19"/>
        <v>0</v>
      </c>
      <c r="Q76" s="86">
        <f t="shared" si="19"/>
        <v>0</v>
      </c>
      <c r="R76" s="86">
        <f t="shared" si="19"/>
        <v>0</v>
      </c>
      <c r="S76" s="86">
        <f t="shared" si="19"/>
        <v>0</v>
      </c>
      <c r="T76" s="86">
        <f t="shared" si="19"/>
        <v>0</v>
      </c>
      <c r="U76" s="86">
        <f t="shared" si="19"/>
        <v>0</v>
      </c>
      <c r="V76" s="86">
        <f t="shared" si="19"/>
        <v>0</v>
      </c>
      <c r="W76" s="86">
        <f t="shared" si="19"/>
        <v>0</v>
      </c>
      <c r="X76" s="86">
        <f t="shared" si="19"/>
        <v>0</v>
      </c>
      <c r="Y76" s="87"/>
    </row>
    <row r="77" spans="1:25" ht="15" thickTop="1" x14ac:dyDescent="0.3"/>
    <row r="78" spans="1:25" ht="15" thickBot="1" x14ac:dyDescent="0.35"/>
    <row r="79" spans="1:25" x14ac:dyDescent="0.3">
      <c r="A79" s="17">
        <v>45322</v>
      </c>
      <c r="B79" s="17">
        <v>45323</v>
      </c>
      <c r="C79" s="17">
        <v>45324</v>
      </c>
      <c r="D79" s="17">
        <v>45325</v>
      </c>
      <c r="E79" s="17">
        <v>45326</v>
      </c>
      <c r="F79" s="17">
        <v>45327</v>
      </c>
      <c r="G79" s="17">
        <v>45328</v>
      </c>
      <c r="H79" s="39"/>
      <c r="I79" s="13" t="s">
        <v>8</v>
      </c>
      <c r="K79" s="59">
        <v>45322</v>
      </c>
      <c r="L79" s="123"/>
      <c r="M79" s="59">
        <v>45323</v>
      </c>
      <c r="N79" s="123"/>
      <c r="O79" s="59">
        <v>45324</v>
      </c>
      <c r="P79" s="123"/>
      <c r="Q79" s="59">
        <v>45325</v>
      </c>
      <c r="R79" s="123"/>
      <c r="S79" s="59">
        <v>45326</v>
      </c>
      <c r="T79" s="123"/>
      <c r="U79" s="59">
        <v>45327</v>
      </c>
      <c r="V79" s="123"/>
      <c r="W79" s="59">
        <v>45328</v>
      </c>
      <c r="X79" s="123"/>
      <c r="Y79" s="20"/>
    </row>
    <row r="80" spans="1:25" ht="15" thickBot="1" x14ac:dyDescent="0.35">
      <c r="A80" s="21">
        <v>1673.12</v>
      </c>
      <c r="B80" s="22"/>
      <c r="C80" s="22"/>
      <c r="D80" s="22"/>
      <c r="E80" s="22"/>
      <c r="F80" s="22"/>
      <c r="G80" s="22"/>
      <c r="H80" s="37"/>
      <c r="I80" s="14"/>
      <c r="K80" s="124" t="s">
        <v>10</v>
      </c>
      <c r="L80" s="125" t="s">
        <v>11</v>
      </c>
      <c r="M80" s="126" t="s">
        <v>10</v>
      </c>
      <c r="N80" s="126" t="s">
        <v>11</v>
      </c>
      <c r="O80" s="126" t="s">
        <v>10</v>
      </c>
      <c r="P80" s="126" t="s">
        <v>11</v>
      </c>
      <c r="Q80" s="126" t="s">
        <v>10</v>
      </c>
      <c r="R80" s="126" t="s">
        <v>11</v>
      </c>
      <c r="S80" s="126" t="s">
        <v>10</v>
      </c>
      <c r="T80" s="126" t="s">
        <v>11</v>
      </c>
      <c r="U80" s="126" t="s">
        <v>10</v>
      </c>
      <c r="V80" s="126" t="s">
        <v>11</v>
      </c>
      <c r="W80" s="126" t="s">
        <v>10</v>
      </c>
      <c r="X80" s="126" t="s">
        <v>11</v>
      </c>
      <c r="Y80" s="87"/>
    </row>
    <row r="81" spans="1:25" x14ac:dyDescent="0.3">
      <c r="A81" s="24">
        <v>2065</v>
      </c>
      <c r="B81" s="22"/>
      <c r="C81" s="22"/>
      <c r="D81" s="22"/>
      <c r="E81" s="25"/>
      <c r="F81" s="22"/>
      <c r="G81" s="22"/>
      <c r="H81" s="37"/>
      <c r="I81" s="15"/>
      <c r="K81" s="75">
        <v>360</v>
      </c>
      <c r="L81" s="76">
        <v>120</v>
      </c>
      <c r="M81" s="77"/>
      <c r="N81" s="77"/>
      <c r="O81" s="77"/>
      <c r="P81" s="77"/>
      <c r="Q81" s="77"/>
      <c r="R81" s="77"/>
      <c r="S81" s="78"/>
      <c r="T81" s="69"/>
      <c r="U81" s="63"/>
      <c r="V81" s="63"/>
      <c r="W81" s="63"/>
      <c r="X81" s="65"/>
      <c r="Y81" s="122"/>
    </row>
    <row r="82" spans="1:25" x14ac:dyDescent="0.3">
      <c r="A82" s="24">
        <v>1120</v>
      </c>
      <c r="B82" s="22"/>
      <c r="C82" s="22"/>
      <c r="D82" s="26"/>
      <c r="E82" s="22"/>
      <c r="F82" s="22"/>
      <c r="G82" s="22"/>
      <c r="H82" s="37"/>
      <c r="I82" s="15"/>
      <c r="K82" s="21">
        <v>4405</v>
      </c>
      <c r="L82" s="79">
        <v>27.5</v>
      </c>
      <c r="M82" s="43"/>
      <c r="N82" s="43"/>
      <c r="O82" s="43"/>
      <c r="P82" s="43"/>
      <c r="Q82" s="80"/>
      <c r="R82" s="80"/>
      <c r="S82" s="43"/>
      <c r="T82" s="22"/>
      <c r="U82" s="22"/>
      <c r="V82" s="22"/>
      <c r="W82" s="22"/>
      <c r="X82" s="37"/>
      <c r="Y82" s="15"/>
    </row>
    <row r="83" spans="1:25" x14ac:dyDescent="0.3">
      <c r="A83" s="24"/>
      <c r="B83" s="22"/>
      <c r="C83" s="22"/>
      <c r="D83" s="25"/>
      <c r="E83" s="22"/>
      <c r="F83" s="22"/>
      <c r="G83" s="22"/>
      <c r="H83" s="37"/>
      <c r="I83" s="15"/>
      <c r="K83" s="21">
        <v>256.5</v>
      </c>
      <c r="L83" s="79"/>
      <c r="M83" s="43"/>
      <c r="N83" s="43"/>
      <c r="O83" s="43"/>
      <c r="P83" s="43"/>
      <c r="Q83" s="80"/>
      <c r="R83" s="81"/>
      <c r="S83" s="43"/>
      <c r="T83" s="22"/>
      <c r="U83" s="22"/>
      <c r="V83" s="22"/>
      <c r="W83" s="22"/>
      <c r="X83" s="37"/>
      <c r="Y83" s="15"/>
    </row>
    <row r="84" spans="1:25" x14ac:dyDescent="0.3">
      <c r="A84" s="24"/>
      <c r="B84" s="22"/>
      <c r="C84" s="22"/>
      <c r="D84" s="22"/>
      <c r="E84" s="22"/>
      <c r="F84" s="22"/>
      <c r="G84" s="22"/>
      <c r="H84" s="37"/>
      <c r="I84" s="15"/>
      <c r="K84" s="21">
        <v>415</v>
      </c>
      <c r="L84" s="79"/>
      <c r="M84" s="43"/>
      <c r="N84" s="43"/>
      <c r="O84" s="43"/>
      <c r="P84" s="43"/>
      <c r="Q84" s="43"/>
      <c r="R84" s="43"/>
      <c r="S84" s="43"/>
      <c r="T84" s="22"/>
      <c r="U84" s="22"/>
      <c r="V84" s="22"/>
      <c r="W84" s="22"/>
      <c r="X84" s="37"/>
      <c r="Y84" s="15"/>
    </row>
    <row r="85" spans="1:25" x14ac:dyDescent="0.3">
      <c r="A85" s="24"/>
      <c r="B85" s="22"/>
      <c r="C85" s="22"/>
      <c r="D85" s="22"/>
      <c r="E85" s="22"/>
      <c r="F85" s="22"/>
      <c r="G85" s="22"/>
      <c r="H85" s="37"/>
      <c r="I85" s="15"/>
      <c r="K85" s="21">
        <v>31</v>
      </c>
      <c r="L85" s="79"/>
      <c r="M85" s="43"/>
      <c r="N85" s="43"/>
      <c r="O85" s="43"/>
      <c r="P85" s="43"/>
      <c r="Q85" s="43"/>
      <c r="R85" s="43"/>
      <c r="S85" s="43"/>
      <c r="T85" s="22"/>
      <c r="U85" s="22"/>
      <c r="V85" s="22"/>
      <c r="W85" s="22"/>
      <c r="X85" s="37"/>
      <c r="Y85" s="15"/>
    </row>
    <row r="86" spans="1:25" ht="15" thickBot="1" x14ac:dyDescent="0.35">
      <c r="A86" s="24"/>
      <c r="B86" s="22"/>
      <c r="C86" s="22"/>
      <c r="D86" s="22"/>
      <c r="E86" s="22"/>
      <c r="F86" s="22"/>
      <c r="G86" s="22"/>
      <c r="H86" s="37"/>
      <c r="I86" s="16">
        <f>SUM(I80:I85)</f>
        <v>0</v>
      </c>
      <c r="K86" s="21"/>
      <c r="L86" s="79"/>
      <c r="M86" s="43"/>
      <c r="N86" s="43"/>
      <c r="O86" s="43"/>
      <c r="P86" s="43"/>
      <c r="Q86" s="43"/>
      <c r="R86" s="43"/>
      <c r="S86" s="43"/>
      <c r="T86" s="22"/>
      <c r="U86" s="22"/>
      <c r="V86" s="22"/>
      <c r="W86" s="22"/>
      <c r="X86" s="37"/>
      <c r="Y86" s="83"/>
    </row>
    <row r="87" spans="1:25" ht="15.6" thickTop="1" thickBot="1" x14ac:dyDescent="0.35">
      <c r="A87" s="24"/>
      <c r="B87" s="22"/>
      <c r="C87" s="22"/>
      <c r="D87" s="22"/>
      <c r="E87" s="22"/>
      <c r="F87" s="22"/>
      <c r="G87" s="22"/>
      <c r="H87" s="22"/>
      <c r="I87" s="40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37"/>
      <c r="Y87" s="16">
        <f>SUM(Y80:Y85)</f>
        <v>0</v>
      </c>
    </row>
    <row r="88" spans="1:25" ht="15" thickTop="1" x14ac:dyDescent="0.3">
      <c r="A88" s="24"/>
      <c r="B88" s="22"/>
      <c r="C88" s="22"/>
      <c r="D88" s="22"/>
      <c r="E88" s="22"/>
      <c r="F88" s="22"/>
      <c r="G88" s="22"/>
      <c r="H88" s="22"/>
      <c r="I88" s="27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38"/>
    </row>
    <row r="89" spans="1:25" x14ac:dyDescent="0.3">
      <c r="A89" s="24"/>
      <c r="B89" s="22"/>
      <c r="C89" s="22"/>
      <c r="D89" s="22"/>
      <c r="E89" s="22"/>
      <c r="F89" s="22"/>
      <c r="G89" s="22"/>
      <c r="H89" s="22"/>
      <c r="I89" s="27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</row>
    <row r="90" spans="1:25" x14ac:dyDescent="0.3">
      <c r="A90" s="24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3"/>
    </row>
    <row r="91" spans="1:25" x14ac:dyDescent="0.3">
      <c r="A91" s="24"/>
      <c r="B91" s="22"/>
      <c r="C91" s="22"/>
      <c r="D91" s="22"/>
      <c r="E91" s="22"/>
      <c r="F91" s="22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3"/>
    </row>
    <row r="92" spans="1:25" x14ac:dyDescent="0.3">
      <c r="A92" s="24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3"/>
    </row>
    <row r="93" spans="1:25" x14ac:dyDescent="0.3">
      <c r="A93" s="24"/>
      <c r="B93" s="22"/>
      <c r="C93" s="22"/>
      <c r="D93" s="22"/>
      <c r="E93" s="22"/>
      <c r="F93" s="28"/>
      <c r="G93" s="22"/>
      <c r="H93" s="22"/>
      <c r="I93" s="23"/>
      <c r="K93" s="24"/>
      <c r="L93" s="56"/>
      <c r="M93" s="22"/>
      <c r="N93" s="22"/>
      <c r="O93" s="22"/>
      <c r="P93" s="22"/>
      <c r="Q93" s="22"/>
      <c r="R93" s="22"/>
      <c r="S93" s="22"/>
      <c r="T93" s="22"/>
      <c r="U93" s="28"/>
      <c r="V93" s="28"/>
      <c r="W93" s="22"/>
      <c r="X93" s="22"/>
      <c r="Y93" s="23"/>
    </row>
    <row r="94" spans="1:25" x14ac:dyDescent="0.3">
      <c r="A94" s="24">
        <f t="shared" ref="A94:B94" si="20">SUM(A80:A93)</f>
        <v>4858.12</v>
      </c>
      <c r="B94" s="22">
        <f t="shared" si="20"/>
        <v>0</v>
      </c>
      <c r="C94" s="22">
        <f>SUM(C80:C93)</f>
        <v>0</v>
      </c>
      <c r="D94" s="22">
        <f t="shared" ref="D94:G94" si="21">SUM(D80:D93)</f>
        <v>0</v>
      </c>
      <c r="E94" s="22">
        <f t="shared" si="21"/>
        <v>0</v>
      </c>
      <c r="F94" s="22">
        <f t="shared" si="21"/>
        <v>0</v>
      </c>
      <c r="G94" s="22">
        <f t="shared" si="21"/>
        <v>0</v>
      </c>
      <c r="H94" s="29">
        <f>SUM(A94:G94)+I86</f>
        <v>4858.12</v>
      </c>
      <c r="I94" s="30" t="s">
        <v>7</v>
      </c>
      <c r="K94" s="24">
        <f t="shared" ref="K94:Q94" si="22">SUM(K81:K93)</f>
        <v>5467.5</v>
      </c>
      <c r="L94" s="22">
        <f t="shared" si="22"/>
        <v>147.5</v>
      </c>
      <c r="M94" s="22">
        <f t="shared" si="22"/>
        <v>0</v>
      </c>
      <c r="N94" s="22">
        <f t="shared" si="22"/>
        <v>0</v>
      </c>
      <c r="O94" s="22">
        <f t="shared" si="22"/>
        <v>0</v>
      </c>
      <c r="P94" s="22">
        <f t="shared" si="22"/>
        <v>0</v>
      </c>
      <c r="Q94" s="22">
        <f t="shared" si="22"/>
        <v>0</v>
      </c>
      <c r="R94" s="22">
        <f>SUM(R81:R93)</f>
        <v>0</v>
      </c>
      <c r="S94" s="22">
        <f t="shared" ref="S94:X94" si="23">SUM(S81:S93)</f>
        <v>0</v>
      </c>
      <c r="T94" s="22">
        <f t="shared" si="23"/>
        <v>0</v>
      </c>
      <c r="U94" s="22">
        <f t="shared" si="23"/>
        <v>0</v>
      </c>
      <c r="V94" s="22">
        <f t="shared" si="23"/>
        <v>0</v>
      </c>
      <c r="W94" s="22">
        <f t="shared" si="23"/>
        <v>0</v>
      </c>
      <c r="X94" s="22">
        <f t="shared" si="23"/>
        <v>0</v>
      </c>
      <c r="Y94" s="33">
        <f>K95+M95+O95+Q95+S95+U95+W95</f>
        <v>5467.5</v>
      </c>
    </row>
    <row r="95" spans="1:25" x14ac:dyDescent="0.3">
      <c r="A95" s="31">
        <v>4858.12</v>
      </c>
      <c r="B95" s="32"/>
      <c r="C95" s="32"/>
      <c r="D95" s="32"/>
      <c r="E95" s="32"/>
      <c r="F95" s="32"/>
      <c r="G95" s="32"/>
      <c r="H95" s="22">
        <f>SUM(A95:G95)+I86</f>
        <v>4858.12</v>
      </c>
      <c r="I95" s="33" t="s">
        <v>1</v>
      </c>
      <c r="K95" s="85">
        <v>5467.5</v>
      </c>
      <c r="L95" s="32">
        <v>147.5</v>
      </c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22"/>
      <c r="Y95" s="33">
        <f>L95+N95+P95+R95+T95+V95+X95</f>
        <v>147.5</v>
      </c>
    </row>
    <row r="96" spans="1:25" ht="15" thickBot="1" x14ac:dyDescent="0.35">
      <c r="A96" s="34">
        <f>A94-A95</f>
        <v>0</v>
      </c>
      <c r="B96" s="35">
        <f>B94-B95</f>
        <v>0</v>
      </c>
      <c r="C96" s="35">
        <f t="shared" ref="C96:F96" si="24">C94-C95</f>
        <v>0</v>
      </c>
      <c r="D96" s="35">
        <f t="shared" si="24"/>
        <v>0</v>
      </c>
      <c r="E96" s="35">
        <f t="shared" si="24"/>
        <v>0</v>
      </c>
      <c r="F96" s="35">
        <f t="shared" si="24"/>
        <v>0</v>
      </c>
      <c r="G96" s="35">
        <f>G94-G95</f>
        <v>0</v>
      </c>
      <c r="H96" s="35"/>
      <c r="I96" s="36"/>
      <c r="K96" s="86">
        <f t="shared" ref="K96:X96" si="25">K94-K95</f>
        <v>0</v>
      </c>
      <c r="L96" s="86">
        <f t="shared" si="25"/>
        <v>0</v>
      </c>
      <c r="M96" s="86">
        <f t="shared" si="25"/>
        <v>0</v>
      </c>
      <c r="N96" s="86">
        <f t="shared" si="25"/>
        <v>0</v>
      </c>
      <c r="O96" s="86">
        <f t="shared" si="25"/>
        <v>0</v>
      </c>
      <c r="P96" s="86">
        <f t="shared" si="25"/>
        <v>0</v>
      </c>
      <c r="Q96" s="86">
        <f t="shared" si="25"/>
        <v>0</v>
      </c>
      <c r="R96" s="86">
        <f t="shared" si="25"/>
        <v>0</v>
      </c>
      <c r="S96" s="86">
        <f t="shared" si="25"/>
        <v>0</v>
      </c>
      <c r="T96" s="86">
        <f t="shared" si="25"/>
        <v>0</v>
      </c>
      <c r="U96" s="86">
        <f t="shared" si="25"/>
        <v>0</v>
      </c>
      <c r="V96" s="86">
        <f t="shared" si="25"/>
        <v>0</v>
      </c>
      <c r="W96" s="86">
        <f t="shared" si="25"/>
        <v>0</v>
      </c>
      <c r="X96" s="86">
        <f t="shared" si="25"/>
        <v>0</v>
      </c>
      <c r="Y96" s="87"/>
    </row>
    <row r="97" ht="15" thickTop="1" x14ac:dyDescent="0.3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8EF7-B577-4B28-AA5D-54CAFF947AFD}">
  <dimension ref="A1:Y77"/>
  <sheetViews>
    <sheetView topLeftCell="A40" workbookViewId="0">
      <selection activeCell="E57" sqref="E57"/>
    </sheetView>
  </sheetViews>
  <sheetFormatPr defaultRowHeight="14.4" x14ac:dyDescent="0.3"/>
  <cols>
    <col min="1" max="1" width="12.6640625" customWidth="1"/>
    <col min="2" max="2" width="12.5546875" customWidth="1"/>
    <col min="3" max="3" width="12.6640625" customWidth="1"/>
    <col min="4" max="4" width="11.33203125" customWidth="1"/>
    <col min="5" max="5" width="12.44140625" customWidth="1"/>
    <col min="6" max="6" width="14" customWidth="1"/>
    <col min="7" max="7" width="13.44140625" customWidth="1"/>
    <col min="8" max="8" width="12.5546875" customWidth="1"/>
    <col min="9" max="9" width="12.109375" customWidth="1"/>
    <col min="11" max="11" width="11.6640625" customWidth="1"/>
    <col min="12" max="12" width="11.109375" customWidth="1"/>
    <col min="13" max="13" width="10.6640625" customWidth="1"/>
    <col min="15" max="18" width="10.88671875" customWidth="1"/>
    <col min="19" max="19" width="12.44140625" customWidth="1"/>
    <col min="20" max="20" width="11.33203125" customWidth="1"/>
    <col min="21" max="21" width="10.5546875" customWidth="1"/>
    <col min="22" max="22" width="11.5546875" customWidth="1"/>
    <col min="23" max="23" width="10.5546875" customWidth="1"/>
    <col min="24" max="25" width="10.33203125" customWidth="1"/>
  </cols>
  <sheetData>
    <row r="1" spans="1:25" ht="15" thickBot="1" x14ac:dyDescent="0.35"/>
    <row r="2" spans="1:25" x14ac:dyDescent="0.3">
      <c r="A2" s="17">
        <v>45322</v>
      </c>
      <c r="B2" s="17">
        <v>45323</v>
      </c>
      <c r="C2" s="17">
        <v>45324</v>
      </c>
      <c r="D2" s="17">
        <v>45325</v>
      </c>
      <c r="E2" s="17">
        <v>45326</v>
      </c>
      <c r="F2" s="17">
        <v>45327</v>
      </c>
      <c r="G2" s="17">
        <v>45328</v>
      </c>
      <c r="H2" s="39"/>
      <c r="I2" s="13" t="s">
        <v>8</v>
      </c>
      <c r="K2" s="59">
        <v>45322</v>
      </c>
      <c r="L2" s="123"/>
      <c r="M2" s="59">
        <v>45323</v>
      </c>
      <c r="N2" s="123"/>
      <c r="O2" s="59">
        <v>45324</v>
      </c>
      <c r="P2" s="123"/>
      <c r="Q2" s="59">
        <v>45325</v>
      </c>
      <c r="R2" s="123"/>
      <c r="S2" s="59">
        <v>45326</v>
      </c>
      <c r="T2" s="123"/>
      <c r="U2" s="59">
        <v>45327</v>
      </c>
      <c r="V2" s="123"/>
      <c r="W2" s="59">
        <v>45328</v>
      </c>
      <c r="X2" s="123"/>
      <c r="Y2" s="20"/>
    </row>
    <row r="3" spans="1:25" ht="15" thickBot="1" x14ac:dyDescent="0.35">
      <c r="A3" s="21">
        <v>1673.12</v>
      </c>
      <c r="B3" s="22">
        <v>970</v>
      </c>
      <c r="C3" s="22">
        <v>1948.36</v>
      </c>
      <c r="D3" s="22">
        <v>3974.39</v>
      </c>
      <c r="E3" s="22">
        <v>580</v>
      </c>
      <c r="F3" s="22">
        <v>840</v>
      </c>
      <c r="G3" s="22">
        <v>997.5</v>
      </c>
      <c r="H3" s="37"/>
      <c r="I3" s="14">
        <v>2947.5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  <c r="Y3" s="87"/>
    </row>
    <row r="4" spans="1:25" x14ac:dyDescent="0.3">
      <c r="A4" s="24">
        <v>2065</v>
      </c>
      <c r="B4" s="22">
        <v>3325</v>
      </c>
      <c r="C4" s="22">
        <v>2520</v>
      </c>
      <c r="D4" s="22">
        <v>1520</v>
      </c>
      <c r="E4" s="25"/>
      <c r="F4" s="22">
        <v>2535</v>
      </c>
      <c r="G4" s="22">
        <v>2640</v>
      </c>
      <c r="H4" s="37"/>
      <c r="I4" s="15">
        <v>5922.75</v>
      </c>
      <c r="K4" s="75">
        <v>360</v>
      </c>
      <c r="L4" s="76">
        <v>120</v>
      </c>
      <c r="M4" s="77">
        <v>580</v>
      </c>
      <c r="N4" s="77">
        <v>461</v>
      </c>
      <c r="O4" s="77">
        <v>660</v>
      </c>
      <c r="P4" s="77">
        <v>865</v>
      </c>
      <c r="Q4" s="77">
        <v>480</v>
      </c>
      <c r="R4" s="77">
        <v>900</v>
      </c>
      <c r="S4" s="78">
        <v>84</v>
      </c>
      <c r="T4" s="69">
        <v>30</v>
      </c>
      <c r="U4" s="63">
        <v>30</v>
      </c>
      <c r="V4" s="63">
        <v>42.5</v>
      </c>
      <c r="W4" s="63">
        <v>675</v>
      </c>
      <c r="X4" s="65">
        <v>70</v>
      </c>
      <c r="Y4" s="122"/>
    </row>
    <row r="5" spans="1:25" x14ac:dyDescent="0.3">
      <c r="A5" s="24">
        <v>1120</v>
      </c>
      <c r="B5" s="22">
        <v>2063.66</v>
      </c>
      <c r="C5" s="22">
        <v>800</v>
      </c>
      <c r="D5" s="26">
        <v>885</v>
      </c>
      <c r="E5" s="22"/>
      <c r="F5" s="22">
        <v>2073.6</v>
      </c>
      <c r="G5" s="22">
        <v>1798.36</v>
      </c>
      <c r="H5" s="37"/>
      <c r="I5" s="15">
        <v>5289.97</v>
      </c>
      <c r="K5" s="21">
        <v>4405</v>
      </c>
      <c r="L5" s="79">
        <v>27.5</v>
      </c>
      <c r="M5" s="43">
        <v>432</v>
      </c>
      <c r="N5" s="43">
        <v>130</v>
      </c>
      <c r="O5" s="43">
        <v>4215</v>
      </c>
      <c r="P5" s="43">
        <v>42.5</v>
      </c>
      <c r="Q5" s="80">
        <v>2555</v>
      </c>
      <c r="R5" s="80">
        <v>110</v>
      </c>
      <c r="S5" s="43">
        <v>480</v>
      </c>
      <c r="T5" s="22">
        <v>42.5</v>
      </c>
      <c r="U5" s="22">
        <v>715</v>
      </c>
      <c r="V5" s="22">
        <v>30</v>
      </c>
      <c r="W5" s="22">
        <v>444</v>
      </c>
      <c r="X5" s="37">
        <v>1740</v>
      </c>
      <c r="Y5" s="15"/>
    </row>
    <row r="6" spans="1:25" x14ac:dyDescent="0.3">
      <c r="A6" s="24"/>
      <c r="B6" s="22"/>
      <c r="C6" s="22"/>
      <c r="D6" s="25"/>
      <c r="E6" s="22"/>
      <c r="F6" s="22"/>
      <c r="G6" s="22"/>
      <c r="H6" s="37"/>
      <c r="I6" s="15">
        <v>4005.15</v>
      </c>
      <c r="K6" s="21">
        <v>256.5</v>
      </c>
      <c r="L6" s="79"/>
      <c r="M6" s="43">
        <v>5045</v>
      </c>
      <c r="N6" s="43">
        <v>382.5</v>
      </c>
      <c r="O6" s="43">
        <v>180</v>
      </c>
      <c r="P6" s="43"/>
      <c r="Q6" s="80">
        <v>336</v>
      </c>
      <c r="R6" s="81"/>
      <c r="S6" s="43"/>
      <c r="T6" s="22"/>
      <c r="U6" s="22">
        <v>360</v>
      </c>
      <c r="V6" s="22"/>
      <c r="W6" s="22">
        <v>4685</v>
      </c>
      <c r="X6" s="37"/>
      <c r="Y6" s="15"/>
    </row>
    <row r="7" spans="1:25" x14ac:dyDescent="0.3">
      <c r="A7" s="24"/>
      <c r="B7" s="22"/>
      <c r="C7" s="22"/>
      <c r="D7" s="22"/>
      <c r="E7" s="22"/>
      <c r="F7" s="22"/>
      <c r="G7" s="22"/>
      <c r="H7" s="37"/>
      <c r="I7" s="15">
        <v>115.3</v>
      </c>
      <c r="K7" s="21">
        <v>415</v>
      </c>
      <c r="L7" s="79"/>
      <c r="M7" s="43">
        <v>660</v>
      </c>
      <c r="N7" s="43">
        <v>20</v>
      </c>
      <c r="O7" s="43">
        <v>545</v>
      </c>
      <c r="P7" s="43"/>
      <c r="Q7" s="43">
        <v>245</v>
      </c>
      <c r="R7" s="43"/>
      <c r="S7" s="43"/>
      <c r="T7" s="22"/>
      <c r="U7" s="22">
        <v>5215</v>
      </c>
      <c r="V7" s="22"/>
      <c r="W7" s="22">
        <v>660</v>
      </c>
      <c r="X7" s="37"/>
      <c r="Y7" s="15"/>
    </row>
    <row r="8" spans="1:25" x14ac:dyDescent="0.3">
      <c r="A8" s="24"/>
      <c r="B8" s="22"/>
      <c r="C8" s="22"/>
      <c r="D8" s="22"/>
      <c r="E8" s="22"/>
      <c r="F8" s="22"/>
      <c r="G8" s="22"/>
      <c r="H8" s="37"/>
      <c r="I8" s="15"/>
      <c r="K8" s="21">
        <v>31</v>
      </c>
      <c r="L8" s="79"/>
      <c r="M8" s="43"/>
      <c r="N8" s="43"/>
      <c r="O8" s="43"/>
      <c r="P8" s="43"/>
      <c r="Q8" s="43">
        <v>24</v>
      </c>
      <c r="R8" s="43"/>
      <c r="S8" s="43"/>
      <c r="T8" s="22"/>
      <c r="U8" s="22">
        <v>480</v>
      </c>
      <c r="V8" s="22"/>
      <c r="W8" s="22"/>
      <c r="X8" s="37"/>
      <c r="Y8" s="15"/>
    </row>
    <row r="9" spans="1:25" ht="15" thickBot="1" x14ac:dyDescent="0.35">
      <c r="A9" s="24"/>
      <c r="B9" s="22"/>
      <c r="C9" s="22"/>
      <c r="D9" s="22"/>
      <c r="E9" s="22"/>
      <c r="F9" s="22"/>
      <c r="G9" s="22"/>
      <c r="H9" s="37"/>
      <c r="I9" s="16">
        <f>SUM(I3:I8)</f>
        <v>18280.670000000002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37"/>
      <c r="Y9" s="83"/>
    </row>
    <row r="10" spans="1:25" ht="15.6" thickTop="1" thickBot="1" x14ac:dyDescent="0.35">
      <c r="A10" s="24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37"/>
      <c r="Y10" s="16">
        <f>SUM(Y3:Y8)</f>
        <v>0</v>
      </c>
    </row>
    <row r="11" spans="1:25" ht="15" thickTop="1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8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</row>
    <row r="16" spans="1:25" x14ac:dyDescent="0.3">
      <c r="A16" s="24"/>
      <c r="B16" s="22"/>
      <c r="C16" s="22"/>
      <c r="D16" s="22"/>
      <c r="E16" s="22"/>
      <c r="F16" s="28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8"/>
      <c r="V16" s="28"/>
      <c r="W16" s="22"/>
      <c r="X16" s="22"/>
      <c r="Y16" s="23"/>
    </row>
    <row r="17" spans="1:25" x14ac:dyDescent="0.3">
      <c r="A17" s="24">
        <f t="shared" ref="A17:B17" si="0">SUM(A3:A16)</f>
        <v>4858.12</v>
      </c>
      <c r="B17" s="22">
        <f t="shared" si="0"/>
        <v>6358.66</v>
      </c>
      <c r="C17" s="22">
        <f>SUM(C3:C16)</f>
        <v>5268.36</v>
      </c>
      <c r="D17" s="22">
        <f t="shared" ref="D17:G17" si="1">SUM(D3:D16)</f>
        <v>6379.3899999999994</v>
      </c>
      <c r="E17" s="22">
        <f t="shared" si="1"/>
        <v>580</v>
      </c>
      <c r="F17" s="22">
        <f t="shared" si="1"/>
        <v>5448.6</v>
      </c>
      <c r="G17" s="22">
        <f t="shared" si="1"/>
        <v>5435.86</v>
      </c>
      <c r="H17" s="29">
        <f>SUM(A17:G17)+I9</f>
        <v>52609.66</v>
      </c>
      <c r="I17" s="30" t="s">
        <v>7</v>
      </c>
      <c r="K17" s="24">
        <f t="shared" ref="K17:Q17" si="2">SUM(K4:K16)</f>
        <v>5467.5</v>
      </c>
      <c r="L17" s="22">
        <f t="shared" si="2"/>
        <v>147.5</v>
      </c>
      <c r="M17" s="22">
        <f t="shared" si="2"/>
        <v>6717</v>
      </c>
      <c r="N17" s="22">
        <f t="shared" si="2"/>
        <v>993.5</v>
      </c>
      <c r="O17" s="22">
        <f t="shared" si="2"/>
        <v>5600</v>
      </c>
      <c r="P17" s="22">
        <f t="shared" si="2"/>
        <v>907.5</v>
      </c>
      <c r="Q17" s="22">
        <f t="shared" si="2"/>
        <v>3640</v>
      </c>
      <c r="R17" s="22">
        <f>SUM(R4:R16)</f>
        <v>1010</v>
      </c>
      <c r="S17" s="22">
        <f t="shared" ref="S17:X17" si="3">SUM(S4:S16)</f>
        <v>564</v>
      </c>
      <c r="T17" s="22">
        <f t="shared" si="3"/>
        <v>72.5</v>
      </c>
      <c r="U17" s="22">
        <f t="shared" si="3"/>
        <v>6800</v>
      </c>
      <c r="V17" s="22">
        <f t="shared" si="3"/>
        <v>72.5</v>
      </c>
      <c r="W17" s="22">
        <f t="shared" si="3"/>
        <v>6464</v>
      </c>
      <c r="X17" s="22">
        <f t="shared" si="3"/>
        <v>1810</v>
      </c>
      <c r="Y17" s="33">
        <f>K18+M18+O18+Q18+S18+U18+W18</f>
        <v>35252.5</v>
      </c>
    </row>
    <row r="18" spans="1:25" x14ac:dyDescent="0.3">
      <c r="A18" s="31">
        <v>4858.12</v>
      </c>
      <c r="B18" s="32">
        <v>6358.66</v>
      </c>
      <c r="C18" s="32">
        <v>5268.36</v>
      </c>
      <c r="D18" s="32">
        <v>6379.39</v>
      </c>
      <c r="E18" s="32">
        <v>580</v>
      </c>
      <c r="F18" s="32">
        <v>5448.6</v>
      </c>
      <c r="G18" s="32">
        <v>5435.86</v>
      </c>
      <c r="H18" s="22">
        <f>SUM(A18:G18)+I9</f>
        <v>52609.66</v>
      </c>
      <c r="I18" s="33" t="s">
        <v>1</v>
      </c>
      <c r="K18" s="85">
        <v>5467.5</v>
      </c>
      <c r="L18" s="32">
        <v>147.5</v>
      </c>
      <c r="M18" s="32">
        <v>6717</v>
      </c>
      <c r="N18" s="32">
        <v>993.5</v>
      </c>
      <c r="O18" s="32">
        <v>5600</v>
      </c>
      <c r="P18" s="32">
        <v>907.5</v>
      </c>
      <c r="Q18" s="32">
        <v>3640</v>
      </c>
      <c r="R18" s="32">
        <v>1010</v>
      </c>
      <c r="S18" s="32">
        <v>564</v>
      </c>
      <c r="T18" s="32">
        <v>72.5</v>
      </c>
      <c r="U18" s="32">
        <v>6800</v>
      </c>
      <c r="V18" s="32">
        <v>72.5</v>
      </c>
      <c r="W18" s="32">
        <v>6464</v>
      </c>
      <c r="X18" s="22">
        <v>1810</v>
      </c>
      <c r="Y18" s="33">
        <f>L18+N18+P18+R18+T18+V18+X18</f>
        <v>5013.5</v>
      </c>
    </row>
    <row r="19" spans="1:25" ht="15" thickBot="1" x14ac:dyDescent="0.35">
      <c r="A19" s="34">
        <f>A17-A18</f>
        <v>0</v>
      </c>
      <c r="B19" s="35">
        <f>B17-B18</f>
        <v>0</v>
      </c>
      <c r="C19" s="35">
        <f t="shared" ref="C19:F19" si="4">C17-C18</f>
        <v>0</v>
      </c>
      <c r="D19" s="35">
        <f t="shared" si="4"/>
        <v>0</v>
      </c>
      <c r="E19" s="35">
        <f t="shared" si="4"/>
        <v>0</v>
      </c>
      <c r="F19" s="35">
        <f t="shared" si="4"/>
        <v>0</v>
      </c>
      <c r="G19" s="35">
        <f>G17-G18</f>
        <v>0</v>
      </c>
      <c r="H19" s="35"/>
      <c r="I19" s="36"/>
      <c r="K19" s="86">
        <f t="shared" ref="K19:X19" si="5">K17-K18</f>
        <v>0</v>
      </c>
      <c r="L19" s="86">
        <f t="shared" si="5"/>
        <v>0</v>
      </c>
      <c r="M19" s="86">
        <f t="shared" si="5"/>
        <v>0</v>
      </c>
      <c r="N19" s="86">
        <f t="shared" si="5"/>
        <v>0</v>
      </c>
      <c r="O19" s="86">
        <f t="shared" si="5"/>
        <v>0</v>
      </c>
      <c r="P19" s="86">
        <f t="shared" si="5"/>
        <v>0</v>
      </c>
      <c r="Q19" s="86">
        <f t="shared" si="5"/>
        <v>0</v>
      </c>
      <c r="R19" s="86">
        <f t="shared" si="5"/>
        <v>0</v>
      </c>
      <c r="S19" s="86">
        <f t="shared" si="5"/>
        <v>0</v>
      </c>
      <c r="T19" s="86">
        <f t="shared" si="5"/>
        <v>0</v>
      </c>
      <c r="U19" s="86">
        <f t="shared" si="5"/>
        <v>0</v>
      </c>
      <c r="V19" s="86">
        <f t="shared" si="5"/>
        <v>0</v>
      </c>
      <c r="W19" s="86">
        <f t="shared" si="5"/>
        <v>0</v>
      </c>
      <c r="X19" s="86">
        <f t="shared" si="5"/>
        <v>0</v>
      </c>
      <c r="Y19" s="87"/>
    </row>
    <row r="20" spans="1:25" ht="15.6" thickTop="1" thickBot="1" x14ac:dyDescent="0.35"/>
    <row r="21" spans="1:25" x14ac:dyDescent="0.3">
      <c r="A21" s="17">
        <v>45329</v>
      </c>
      <c r="B21" s="17">
        <v>45330</v>
      </c>
      <c r="C21" s="17">
        <v>45331</v>
      </c>
      <c r="D21" s="17">
        <v>45332</v>
      </c>
      <c r="E21" s="17">
        <v>45333</v>
      </c>
      <c r="F21" s="17">
        <v>45334</v>
      </c>
      <c r="G21" s="17">
        <v>45335</v>
      </c>
      <c r="H21" s="39"/>
      <c r="I21" s="13" t="s">
        <v>8</v>
      </c>
      <c r="K21" s="59">
        <v>45329</v>
      </c>
      <c r="L21" s="123"/>
      <c r="M21" s="59">
        <v>45330</v>
      </c>
      <c r="N21" s="123"/>
      <c r="O21" s="59">
        <v>45331</v>
      </c>
      <c r="P21" s="123"/>
      <c r="Q21" s="59">
        <v>45332</v>
      </c>
      <c r="R21" s="123"/>
      <c r="S21" s="59">
        <v>45333</v>
      </c>
      <c r="T21" s="123"/>
      <c r="U21" s="59">
        <v>45334</v>
      </c>
      <c r="V21" s="123"/>
      <c r="W21" s="59">
        <v>45335</v>
      </c>
      <c r="X21" s="123"/>
      <c r="Y21" s="20"/>
    </row>
    <row r="22" spans="1:25" ht="15" thickBot="1" x14ac:dyDescent="0.35">
      <c r="A22" s="21">
        <v>745</v>
      </c>
      <c r="B22" s="22">
        <v>905</v>
      </c>
      <c r="C22" s="22">
        <v>835</v>
      </c>
      <c r="D22" s="22">
        <v>755</v>
      </c>
      <c r="E22" s="22">
        <v>615</v>
      </c>
      <c r="F22" s="22">
        <v>1170</v>
      </c>
      <c r="G22" s="22">
        <v>1988.66</v>
      </c>
      <c r="H22" s="37"/>
      <c r="I22" s="14">
        <v>5605.51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  <c r="Y22" s="87"/>
    </row>
    <row r="23" spans="1:25" x14ac:dyDescent="0.3">
      <c r="A23" s="24">
        <v>2575</v>
      </c>
      <c r="B23" s="22">
        <v>3095</v>
      </c>
      <c r="C23" s="22">
        <v>3050</v>
      </c>
      <c r="D23" s="22">
        <v>2110</v>
      </c>
      <c r="E23" s="25"/>
      <c r="F23" s="22">
        <v>3175</v>
      </c>
      <c r="G23" s="22">
        <v>2410</v>
      </c>
      <c r="H23" s="37"/>
      <c r="I23" s="14">
        <v>3132.5</v>
      </c>
      <c r="K23" s="75">
        <v>665</v>
      </c>
      <c r="L23" s="76">
        <v>27.5</v>
      </c>
      <c r="M23" s="77">
        <v>28</v>
      </c>
      <c r="N23" s="77">
        <v>50</v>
      </c>
      <c r="O23" s="77">
        <v>180</v>
      </c>
      <c r="P23" s="77">
        <v>50</v>
      </c>
      <c r="Q23" s="77">
        <v>294</v>
      </c>
      <c r="R23" s="77">
        <v>50</v>
      </c>
      <c r="S23" s="78">
        <v>84</v>
      </c>
      <c r="T23" s="69"/>
      <c r="U23" s="63">
        <v>400</v>
      </c>
      <c r="V23" s="63">
        <v>35</v>
      </c>
      <c r="W23" s="63">
        <v>480</v>
      </c>
      <c r="X23" s="65">
        <v>35</v>
      </c>
      <c r="Y23" s="122"/>
    </row>
    <row r="24" spans="1:25" x14ac:dyDescent="0.3">
      <c r="A24" s="24">
        <v>1608.06</v>
      </c>
      <c r="B24" s="22">
        <v>1727.7</v>
      </c>
      <c r="C24" s="22">
        <v>1567.76</v>
      </c>
      <c r="D24" s="26">
        <v>1988.66</v>
      </c>
      <c r="E24" s="22"/>
      <c r="F24" s="22">
        <v>1608.06</v>
      </c>
      <c r="G24" s="22">
        <v>1380</v>
      </c>
      <c r="H24" s="37"/>
      <c r="I24" s="15">
        <v>6613.74</v>
      </c>
      <c r="K24" s="21">
        <v>55</v>
      </c>
      <c r="L24" s="79"/>
      <c r="M24" s="43">
        <v>645</v>
      </c>
      <c r="N24" s="43">
        <v>120</v>
      </c>
      <c r="O24" s="43">
        <v>710</v>
      </c>
      <c r="P24" s="43">
        <v>180</v>
      </c>
      <c r="Q24" s="80">
        <v>348</v>
      </c>
      <c r="R24" s="80"/>
      <c r="S24" s="43">
        <v>440</v>
      </c>
      <c r="T24" s="22"/>
      <c r="U24" s="22">
        <v>360</v>
      </c>
      <c r="V24" s="22">
        <v>60</v>
      </c>
      <c r="W24" s="22">
        <v>4590</v>
      </c>
      <c r="X24" s="37">
        <v>1740</v>
      </c>
      <c r="Y24" s="15"/>
    </row>
    <row r="25" spans="1:25" x14ac:dyDescent="0.3">
      <c r="A25" s="24"/>
      <c r="B25" s="22"/>
      <c r="C25" s="22"/>
      <c r="D25" s="25"/>
      <c r="E25" s="22"/>
      <c r="F25" s="22"/>
      <c r="G25" s="22"/>
      <c r="H25" s="37"/>
      <c r="I25" s="15">
        <v>3471.13</v>
      </c>
      <c r="K25" s="21">
        <v>410</v>
      </c>
      <c r="L25" s="79"/>
      <c r="M25" s="43">
        <v>432</v>
      </c>
      <c r="N25" s="43"/>
      <c r="O25" s="43">
        <v>4240</v>
      </c>
      <c r="P25" s="43">
        <v>60</v>
      </c>
      <c r="Q25" s="80">
        <v>2590</v>
      </c>
      <c r="R25" s="81"/>
      <c r="S25" s="43"/>
      <c r="T25" s="22"/>
      <c r="U25" s="22">
        <v>4660</v>
      </c>
      <c r="V25" s="22"/>
      <c r="W25" s="22">
        <v>432</v>
      </c>
      <c r="X25" s="37">
        <v>382.5</v>
      </c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15">
        <v>631.08000000000004</v>
      </c>
      <c r="K26" s="21">
        <v>4165</v>
      </c>
      <c r="L26" s="79"/>
      <c r="M26" s="43">
        <v>4595</v>
      </c>
      <c r="N26" s="43"/>
      <c r="O26" s="43">
        <v>840</v>
      </c>
      <c r="P26" s="43"/>
      <c r="Q26" s="43">
        <v>660</v>
      </c>
      <c r="R26" s="43"/>
      <c r="S26" s="43"/>
      <c r="T26" s="22"/>
      <c r="U26" s="22">
        <v>480</v>
      </c>
      <c r="V26" s="22"/>
      <c r="W26" s="22">
        <v>310</v>
      </c>
      <c r="X26" s="37"/>
      <c r="Y26" s="15"/>
    </row>
    <row r="27" spans="1:25" x14ac:dyDescent="0.3">
      <c r="A27" s="24"/>
      <c r="B27" s="22"/>
      <c r="C27" s="22"/>
      <c r="D27" s="22"/>
      <c r="E27" s="22"/>
      <c r="F27" s="22"/>
      <c r="G27" s="22"/>
      <c r="H27" s="37"/>
      <c r="I27" s="15"/>
      <c r="K27" s="21">
        <v>600</v>
      </c>
      <c r="L27" s="79"/>
      <c r="M27" s="43">
        <v>780</v>
      </c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15"/>
    </row>
    <row r="28" spans="1:25" ht="15" thickBot="1" x14ac:dyDescent="0.35">
      <c r="A28" s="24"/>
      <c r="B28" s="22"/>
      <c r="C28" s="22"/>
      <c r="D28" s="22"/>
      <c r="E28" s="22"/>
      <c r="F28" s="22"/>
      <c r="G28" s="22"/>
      <c r="H28" s="37"/>
      <c r="I28" s="16">
        <f>SUM(I22:I27)</f>
        <v>19453.960000000003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37"/>
      <c r="Y28" s="83"/>
    </row>
    <row r="29" spans="1:25" ht="15.6" thickTop="1" thickBot="1" x14ac:dyDescent="0.35">
      <c r="A29" s="24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7"/>
      <c r="Y29" s="16">
        <f>SUM(Y22:Y27)</f>
        <v>0</v>
      </c>
    </row>
    <row r="30" spans="1:25" ht="15" thickTop="1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38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3"/>
    </row>
    <row r="35" spans="1:25" x14ac:dyDescent="0.3">
      <c r="A35" s="24"/>
      <c r="B35" s="22"/>
      <c r="C35" s="22"/>
      <c r="D35" s="22"/>
      <c r="E35" s="22"/>
      <c r="F35" s="28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8"/>
      <c r="V35" s="28"/>
      <c r="W35" s="22"/>
      <c r="X35" s="22"/>
      <c r="Y35" s="23"/>
    </row>
    <row r="36" spans="1:25" x14ac:dyDescent="0.3">
      <c r="A36" s="24">
        <f t="shared" ref="A36:G36" si="6">SUM(A22:A35)</f>
        <v>4928.0599999999995</v>
      </c>
      <c r="B36" s="22">
        <f t="shared" si="6"/>
        <v>5727.7</v>
      </c>
      <c r="C36" s="22">
        <f t="shared" si="6"/>
        <v>5452.76</v>
      </c>
      <c r="D36" s="22">
        <f t="shared" si="6"/>
        <v>4853.66</v>
      </c>
      <c r="E36" s="22">
        <f t="shared" si="6"/>
        <v>615</v>
      </c>
      <c r="F36" s="22">
        <f t="shared" si="6"/>
        <v>5953.0599999999995</v>
      </c>
      <c r="G36" s="22">
        <f t="shared" si="6"/>
        <v>5778.66</v>
      </c>
      <c r="H36" s="29">
        <f>SUM(A36:G36)+I28</f>
        <v>52762.86</v>
      </c>
      <c r="I36" s="30" t="s">
        <v>7</v>
      </c>
      <c r="K36" s="24">
        <f t="shared" ref="K36:Q36" si="7">SUM(K23:K35)</f>
        <v>5895</v>
      </c>
      <c r="L36" s="22">
        <f t="shared" si="7"/>
        <v>27.5</v>
      </c>
      <c r="M36" s="22">
        <f t="shared" si="7"/>
        <v>6480</v>
      </c>
      <c r="N36" s="22">
        <f t="shared" si="7"/>
        <v>170</v>
      </c>
      <c r="O36" s="22">
        <f t="shared" si="7"/>
        <v>5970</v>
      </c>
      <c r="P36" s="22">
        <f t="shared" si="7"/>
        <v>290</v>
      </c>
      <c r="Q36" s="22">
        <f t="shared" si="7"/>
        <v>3892</v>
      </c>
      <c r="R36" s="22">
        <f>SUM(R23:R35)</f>
        <v>50</v>
      </c>
      <c r="S36" s="22">
        <f t="shared" ref="S36:X36" si="8">SUM(S23:S35)</f>
        <v>524</v>
      </c>
      <c r="T36" s="22">
        <f t="shared" si="8"/>
        <v>0</v>
      </c>
      <c r="U36" s="22">
        <f t="shared" si="8"/>
        <v>5900</v>
      </c>
      <c r="V36" s="22">
        <f t="shared" si="8"/>
        <v>95</v>
      </c>
      <c r="W36" s="22">
        <f t="shared" si="8"/>
        <v>5812</v>
      </c>
      <c r="X36" s="22">
        <f t="shared" si="8"/>
        <v>2157.5</v>
      </c>
      <c r="Y36" s="33">
        <f>K37+M37+O37+Q37+S37+U37+W37</f>
        <v>34473</v>
      </c>
    </row>
    <row r="37" spans="1:25" x14ac:dyDescent="0.3">
      <c r="A37" s="31">
        <v>4928.0600000000004</v>
      </c>
      <c r="B37" s="32">
        <v>5727.7</v>
      </c>
      <c r="C37" s="32">
        <v>5452.76</v>
      </c>
      <c r="D37" s="32">
        <v>4853.66</v>
      </c>
      <c r="E37" s="32">
        <v>615</v>
      </c>
      <c r="F37" s="32">
        <v>5953.06</v>
      </c>
      <c r="G37" s="32">
        <v>5778.66</v>
      </c>
      <c r="H37" s="22">
        <f>SUM(A37:G37)+I28</f>
        <v>52762.86</v>
      </c>
      <c r="I37" s="33" t="s">
        <v>1</v>
      </c>
      <c r="K37" s="24">
        <v>5895</v>
      </c>
      <c r="L37" s="22">
        <v>27.5</v>
      </c>
      <c r="M37" s="22">
        <v>6480</v>
      </c>
      <c r="N37" s="22">
        <v>170</v>
      </c>
      <c r="O37" s="22">
        <v>5970</v>
      </c>
      <c r="P37" s="22">
        <v>290</v>
      </c>
      <c r="Q37" s="22">
        <v>3892</v>
      </c>
      <c r="R37" s="22">
        <v>50</v>
      </c>
      <c r="S37" s="32">
        <v>524</v>
      </c>
      <c r="T37" s="32">
        <v>0</v>
      </c>
      <c r="U37" s="32">
        <v>5900</v>
      </c>
      <c r="V37" s="32">
        <v>95</v>
      </c>
      <c r="W37" s="32">
        <v>5812</v>
      </c>
      <c r="X37" s="22">
        <v>2157.5</v>
      </c>
      <c r="Y37" s="33">
        <f>L37+N37+P37+R37+T37+V37+X37</f>
        <v>2790</v>
      </c>
    </row>
    <row r="38" spans="1:25" ht="15" thickBot="1" x14ac:dyDescent="0.35">
      <c r="A38" s="34">
        <f>A36-A37</f>
        <v>0</v>
      </c>
      <c r="B38" s="35">
        <f>B36-B37</f>
        <v>0</v>
      </c>
      <c r="C38" s="35">
        <f t="shared" ref="C38:F38" si="9">C36-C37</f>
        <v>0</v>
      </c>
      <c r="D38" s="35">
        <f t="shared" si="9"/>
        <v>0</v>
      </c>
      <c r="E38" s="35">
        <f t="shared" si="9"/>
        <v>0</v>
      </c>
      <c r="F38" s="35">
        <f t="shared" si="9"/>
        <v>0</v>
      </c>
      <c r="G38" s="35">
        <f>G36-G37</f>
        <v>0</v>
      </c>
      <c r="H38" s="35"/>
      <c r="I38" s="36"/>
      <c r="K38" s="86">
        <f t="shared" ref="K38:X38" si="10">K36-K37</f>
        <v>0</v>
      </c>
      <c r="L38" s="86">
        <f t="shared" si="10"/>
        <v>0</v>
      </c>
      <c r="M38" s="86">
        <f t="shared" si="10"/>
        <v>0</v>
      </c>
      <c r="N38" s="86">
        <f t="shared" si="10"/>
        <v>0</v>
      </c>
      <c r="O38" s="86">
        <f t="shared" si="10"/>
        <v>0</v>
      </c>
      <c r="P38" s="86">
        <f t="shared" si="10"/>
        <v>0</v>
      </c>
      <c r="Q38" s="86">
        <f t="shared" si="10"/>
        <v>0</v>
      </c>
      <c r="R38" s="86">
        <f t="shared" si="10"/>
        <v>0</v>
      </c>
      <c r="S38" s="86">
        <f t="shared" si="10"/>
        <v>0</v>
      </c>
      <c r="T38" s="86">
        <f t="shared" si="10"/>
        <v>0</v>
      </c>
      <c r="U38" s="86">
        <f t="shared" si="10"/>
        <v>0</v>
      </c>
      <c r="V38" s="86">
        <f t="shared" si="10"/>
        <v>0</v>
      </c>
      <c r="W38" s="86">
        <f t="shared" si="10"/>
        <v>0</v>
      </c>
      <c r="X38" s="86">
        <f t="shared" si="10"/>
        <v>0</v>
      </c>
      <c r="Y38" s="87"/>
    </row>
    <row r="39" spans="1:25" ht="15.6" thickTop="1" thickBot="1" x14ac:dyDescent="0.35"/>
    <row r="40" spans="1:25" x14ac:dyDescent="0.3">
      <c r="A40" s="17">
        <v>45336</v>
      </c>
      <c r="B40" s="17">
        <v>45337</v>
      </c>
      <c r="C40" s="17">
        <v>45338</v>
      </c>
      <c r="D40" s="17">
        <v>45339</v>
      </c>
      <c r="E40" s="17">
        <v>45340</v>
      </c>
      <c r="F40" s="17">
        <v>45341</v>
      </c>
      <c r="G40" s="17">
        <v>45342</v>
      </c>
      <c r="H40" s="39"/>
      <c r="I40" s="13" t="s">
        <v>8</v>
      </c>
      <c r="K40" s="59">
        <v>45336</v>
      </c>
      <c r="L40" s="123"/>
      <c r="M40" s="59">
        <v>45337</v>
      </c>
      <c r="N40" s="123"/>
      <c r="O40" s="59">
        <v>45338</v>
      </c>
      <c r="P40" s="123"/>
      <c r="Q40" s="59">
        <v>45339</v>
      </c>
      <c r="R40" s="123"/>
      <c r="S40" s="59">
        <v>45340</v>
      </c>
      <c r="T40" s="123"/>
      <c r="U40" s="59">
        <v>45341</v>
      </c>
      <c r="V40" s="123"/>
      <c r="W40" s="59">
        <v>45342</v>
      </c>
      <c r="X40" s="123"/>
      <c r="Y40" s="20"/>
    </row>
    <row r="41" spans="1:25" ht="15" thickBot="1" x14ac:dyDescent="0.35">
      <c r="A41" s="21">
        <v>1800.53</v>
      </c>
      <c r="B41" s="21">
        <v>1340</v>
      </c>
      <c r="C41" s="22">
        <v>960</v>
      </c>
      <c r="D41" s="22">
        <v>855</v>
      </c>
      <c r="E41" s="22">
        <v>495</v>
      </c>
      <c r="F41" s="22">
        <v>1903.72</v>
      </c>
      <c r="G41" s="22">
        <v>1120</v>
      </c>
      <c r="H41" s="37"/>
      <c r="I41" s="14">
        <v>5922.75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  <c r="Y41" s="87"/>
    </row>
    <row r="42" spans="1:25" x14ac:dyDescent="0.3">
      <c r="A42" s="24">
        <v>2930</v>
      </c>
      <c r="B42" s="21">
        <v>2785</v>
      </c>
      <c r="C42" s="22">
        <v>2985</v>
      </c>
      <c r="D42" s="22">
        <v>2405</v>
      </c>
      <c r="E42" s="25"/>
      <c r="F42" s="22">
        <v>2625</v>
      </c>
      <c r="G42" s="22">
        <v>2840</v>
      </c>
      <c r="H42" s="37"/>
      <c r="I42" s="14">
        <v>390</v>
      </c>
      <c r="K42" s="75">
        <v>480</v>
      </c>
      <c r="L42" s="76">
        <v>60</v>
      </c>
      <c r="M42" s="77">
        <v>315</v>
      </c>
      <c r="N42" s="77">
        <v>257</v>
      </c>
      <c r="O42" s="77">
        <v>28</v>
      </c>
      <c r="P42" s="77">
        <v>60</v>
      </c>
      <c r="Q42" s="77">
        <v>28</v>
      </c>
      <c r="R42" s="77">
        <v>20</v>
      </c>
      <c r="S42" s="78">
        <v>540</v>
      </c>
      <c r="T42" s="69">
        <v>15</v>
      </c>
      <c r="U42" s="63">
        <v>360</v>
      </c>
      <c r="V42" s="63">
        <v>42.5</v>
      </c>
      <c r="W42" s="63">
        <v>365</v>
      </c>
      <c r="X42" s="65">
        <v>95</v>
      </c>
      <c r="Y42" s="122"/>
    </row>
    <row r="43" spans="1:25" x14ac:dyDescent="0.3">
      <c r="A43" s="24">
        <v>1065</v>
      </c>
      <c r="B43" s="21">
        <v>1923.6</v>
      </c>
      <c r="C43" s="22">
        <v>1988.66</v>
      </c>
      <c r="D43" s="26">
        <v>2345.14</v>
      </c>
      <c r="E43" s="22"/>
      <c r="F43" s="22">
        <v>925</v>
      </c>
      <c r="G43" s="22">
        <v>1640.59</v>
      </c>
      <c r="H43" s="37"/>
      <c r="I43" s="15">
        <v>3132.5</v>
      </c>
      <c r="K43" s="21">
        <v>5065</v>
      </c>
      <c r="L43" s="79">
        <v>95</v>
      </c>
      <c r="M43" s="43">
        <v>432</v>
      </c>
      <c r="N43" s="43">
        <v>60</v>
      </c>
      <c r="O43" s="43">
        <v>465</v>
      </c>
      <c r="P43" s="43">
        <v>1450.5</v>
      </c>
      <c r="Q43" s="80">
        <v>210</v>
      </c>
      <c r="R43" s="80">
        <v>50</v>
      </c>
      <c r="S43" s="43">
        <v>84</v>
      </c>
      <c r="T43" s="22">
        <v>0</v>
      </c>
      <c r="U43" s="22">
        <v>5290</v>
      </c>
      <c r="V43" s="22"/>
      <c r="W43" s="22">
        <v>432</v>
      </c>
      <c r="X43" s="37">
        <v>60</v>
      </c>
      <c r="Y43" s="15"/>
    </row>
    <row r="44" spans="1:25" x14ac:dyDescent="0.3">
      <c r="A44" s="24"/>
      <c r="B44" s="21"/>
      <c r="C44" s="22"/>
      <c r="D44" s="25"/>
      <c r="E44" s="22"/>
      <c r="F44" s="22"/>
      <c r="G44" s="22"/>
      <c r="H44" s="37"/>
      <c r="I44" s="15">
        <v>5289.97</v>
      </c>
      <c r="K44" s="21">
        <v>360</v>
      </c>
      <c r="L44" s="79">
        <v>250</v>
      </c>
      <c r="M44" s="43">
        <v>4715</v>
      </c>
      <c r="N44" s="43"/>
      <c r="O44" s="43">
        <v>228</v>
      </c>
      <c r="P44" s="43"/>
      <c r="Q44" s="80">
        <v>336</v>
      </c>
      <c r="R44" s="81">
        <v>1860</v>
      </c>
      <c r="S44" s="43"/>
      <c r="T44" s="22"/>
      <c r="U44" s="22">
        <v>360</v>
      </c>
      <c r="V44" s="22"/>
      <c r="W44" s="22">
        <v>4755</v>
      </c>
      <c r="X44" s="37"/>
      <c r="Y44" s="15"/>
    </row>
    <row r="45" spans="1:25" x14ac:dyDescent="0.3">
      <c r="A45" s="24"/>
      <c r="B45" s="21"/>
      <c r="C45" s="22"/>
      <c r="D45" s="22"/>
      <c r="E45" s="22"/>
      <c r="F45" s="22"/>
      <c r="G45" s="22"/>
      <c r="H45" s="37"/>
      <c r="I45" s="15">
        <v>4005.15</v>
      </c>
      <c r="K45" s="21">
        <v>365</v>
      </c>
      <c r="L45" s="79"/>
      <c r="M45" s="43">
        <v>720</v>
      </c>
      <c r="N45" s="43"/>
      <c r="O45" s="43">
        <v>4705</v>
      </c>
      <c r="P45" s="43"/>
      <c r="Q45" s="43">
        <v>2800</v>
      </c>
      <c r="R45" s="43">
        <v>20</v>
      </c>
      <c r="S45" s="43"/>
      <c r="T45" s="22"/>
      <c r="U45" s="22">
        <v>460</v>
      </c>
      <c r="V45" s="22"/>
      <c r="W45" s="22">
        <v>420</v>
      </c>
      <c r="X45" s="37"/>
      <c r="Y45" s="15"/>
    </row>
    <row r="46" spans="1:25" x14ac:dyDescent="0.3">
      <c r="A46" s="24"/>
      <c r="B46" s="21"/>
      <c r="C46" s="22"/>
      <c r="D46" s="22"/>
      <c r="E46" s="22"/>
      <c r="F46" s="22"/>
      <c r="G46" s="22"/>
      <c r="H46" s="37"/>
      <c r="I46" s="15"/>
      <c r="K46" s="21"/>
      <c r="L46" s="79"/>
      <c r="M46" s="43"/>
      <c r="N46" s="43"/>
      <c r="O46" s="43">
        <v>600</v>
      </c>
      <c r="P46" s="43"/>
      <c r="Q46" s="43">
        <v>300</v>
      </c>
      <c r="R46" s="43"/>
      <c r="S46" s="43"/>
      <c r="T46" s="22"/>
      <c r="U46" s="22">
        <v>28</v>
      </c>
      <c r="V46" s="22"/>
      <c r="W46" s="22"/>
      <c r="X46" s="37"/>
      <c r="Y46" s="15"/>
    </row>
    <row r="47" spans="1:25" ht="15" thickBot="1" x14ac:dyDescent="0.35">
      <c r="A47" s="24"/>
      <c r="B47" s="21"/>
      <c r="C47" s="22"/>
      <c r="D47" s="22"/>
      <c r="E47" s="22"/>
      <c r="F47" s="22"/>
      <c r="G47" s="22"/>
      <c r="H47" s="37"/>
      <c r="I47" s="16">
        <f>SUM(I41:I46)</f>
        <v>18740.370000000003</v>
      </c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/>
      <c r="X47" s="37"/>
      <c r="Y47" s="83"/>
    </row>
    <row r="48" spans="1:25" ht="15.6" thickTop="1" thickBot="1" x14ac:dyDescent="0.35">
      <c r="A48" s="24"/>
      <c r="B48" s="21"/>
      <c r="C48" s="22"/>
      <c r="D48" s="22"/>
      <c r="E48" s="22"/>
      <c r="F48" s="22"/>
      <c r="G48" s="22"/>
      <c r="H48" s="22"/>
      <c r="I48" s="40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7"/>
      <c r="Y48" s="16">
        <f>SUM(Y41:Y46)</f>
        <v>0</v>
      </c>
    </row>
    <row r="49" spans="1:25" ht="15" thickTop="1" x14ac:dyDescent="0.3">
      <c r="A49" s="24"/>
      <c r="B49" s="21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38"/>
    </row>
    <row r="50" spans="1:25" x14ac:dyDescent="0.3">
      <c r="A50" s="24"/>
      <c r="B50" s="21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</row>
    <row r="51" spans="1:25" x14ac:dyDescent="0.3">
      <c r="A51" s="24"/>
      <c r="B51" s="21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</row>
    <row r="52" spans="1:25" x14ac:dyDescent="0.3">
      <c r="A52" s="24"/>
      <c r="B52" s="21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1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</row>
    <row r="54" spans="1:25" x14ac:dyDescent="0.3">
      <c r="A54" s="24"/>
      <c r="B54" s="22"/>
      <c r="C54" s="22"/>
      <c r="D54" s="22"/>
      <c r="E54" s="22"/>
      <c r="F54" s="28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8"/>
      <c r="V54" s="28"/>
      <c r="W54" s="22"/>
      <c r="X54" s="22"/>
      <c r="Y54" s="23"/>
    </row>
    <row r="55" spans="1:25" x14ac:dyDescent="0.3">
      <c r="A55" s="24">
        <f t="shared" ref="A55:G55" si="11">SUM(A41:A54)</f>
        <v>5795.53</v>
      </c>
      <c r="B55" s="22">
        <f>SUM(B41:B54)</f>
        <v>6048.6</v>
      </c>
      <c r="C55" s="22">
        <f t="shared" si="11"/>
        <v>5933.66</v>
      </c>
      <c r="D55" s="22">
        <f t="shared" si="11"/>
        <v>5605.1399999999994</v>
      </c>
      <c r="E55" s="22">
        <f t="shared" si="11"/>
        <v>495</v>
      </c>
      <c r="F55" s="22">
        <f t="shared" si="11"/>
        <v>5453.72</v>
      </c>
      <c r="G55" s="22">
        <f t="shared" si="11"/>
        <v>5600.59</v>
      </c>
      <c r="H55" s="29">
        <f>SUM(A55:G55)+I47</f>
        <v>53672.610000000008</v>
      </c>
      <c r="I55" s="30" t="s">
        <v>7</v>
      </c>
      <c r="K55" s="24">
        <f t="shared" ref="K55:Q55" si="12">SUM(K42:K54)</f>
        <v>6270</v>
      </c>
      <c r="L55" s="22">
        <f t="shared" si="12"/>
        <v>405</v>
      </c>
      <c r="M55" s="22">
        <f t="shared" si="12"/>
        <v>6182</v>
      </c>
      <c r="N55" s="22">
        <f t="shared" si="12"/>
        <v>317</v>
      </c>
      <c r="O55" s="22">
        <f t="shared" si="12"/>
        <v>6026</v>
      </c>
      <c r="P55" s="22">
        <f t="shared" si="12"/>
        <v>1510.5</v>
      </c>
      <c r="Q55" s="22">
        <f t="shared" si="12"/>
        <v>3674</v>
      </c>
      <c r="R55" s="22">
        <f>SUM(R42:R54)</f>
        <v>1950</v>
      </c>
      <c r="S55" s="22">
        <f t="shared" ref="S55:X55" si="13">SUM(S42:S54)</f>
        <v>624</v>
      </c>
      <c r="T55" s="22">
        <f t="shared" si="13"/>
        <v>15</v>
      </c>
      <c r="U55" s="22">
        <f t="shared" si="13"/>
        <v>6498</v>
      </c>
      <c r="V55" s="22">
        <f t="shared" si="13"/>
        <v>42.5</v>
      </c>
      <c r="W55" s="22">
        <f t="shared" si="13"/>
        <v>5972</v>
      </c>
      <c r="X55" s="22">
        <f t="shared" si="13"/>
        <v>155</v>
      </c>
      <c r="Y55" s="33">
        <f>K56+M56+O56+Q56+S56+U56+W56</f>
        <v>35246</v>
      </c>
    </row>
    <row r="56" spans="1:25" x14ac:dyDescent="0.3">
      <c r="A56" s="31">
        <v>5795.53</v>
      </c>
      <c r="B56" s="32">
        <v>6048.6</v>
      </c>
      <c r="C56" s="32">
        <v>5933.66</v>
      </c>
      <c r="D56" s="32">
        <v>5605.14</v>
      </c>
      <c r="E56" s="32">
        <v>495</v>
      </c>
      <c r="F56" s="32">
        <v>5453.72</v>
      </c>
      <c r="G56" s="32">
        <v>5600.59</v>
      </c>
      <c r="H56" s="22">
        <f>SUM(A56:G56)+I47</f>
        <v>53672.610000000008</v>
      </c>
      <c r="I56" s="33" t="s">
        <v>1</v>
      </c>
      <c r="K56" s="24">
        <v>6270</v>
      </c>
      <c r="L56" s="22">
        <v>405</v>
      </c>
      <c r="M56" s="22">
        <v>6182</v>
      </c>
      <c r="N56" s="22">
        <v>317</v>
      </c>
      <c r="O56" s="22">
        <v>6026</v>
      </c>
      <c r="P56" s="22">
        <v>1510.5</v>
      </c>
      <c r="Q56" s="22">
        <v>3674</v>
      </c>
      <c r="R56" s="22">
        <v>1999</v>
      </c>
      <c r="S56" s="32">
        <v>624</v>
      </c>
      <c r="T56" s="32">
        <v>15</v>
      </c>
      <c r="U56" s="32">
        <v>6498</v>
      </c>
      <c r="V56" s="32">
        <v>42.5</v>
      </c>
      <c r="W56" s="32">
        <v>5972</v>
      </c>
      <c r="X56" s="22">
        <v>155</v>
      </c>
      <c r="Y56" s="33">
        <f>L56+N56+P56+R56+T56+V56+X56</f>
        <v>4444</v>
      </c>
    </row>
    <row r="57" spans="1:25" ht="15" thickBot="1" x14ac:dyDescent="0.35">
      <c r="A57" s="34">
        <f>A55-A56</f>
        <v>0</v>
      </c>
      <c r="B57" s="35">
        <f>B55-B56</f>
        <v>0</v>
      </c>
      <c r="C57" s="35">
        <f t="shared" ref="C57:F57" si="14">C55-C56</f>
        <v>0</v>
      </c>
      <c r="D57" s="35">
        <f t="shared" si="14"/>
        <v>0</v>
      </c>
      <c r="E57" s="35">
        <f t="shared" si="14"/>
        <v>0</v>
      </c>
      <c r="F57" s="35">
        <f t="shared" si="14"/>
        <v>0</v>
      </c>
      <c r="G57" s="35">
        <f>G55-G56</f>
        <v>0</v>
      </c>
      <c r="H57" s="35"/>
      <c r="I57" s="36"/>
      <c r="K57" s="86">
        <f t="shared" ref="K57:X57" si="15">K55-K56</f>
        <v>0</v>
      </c>
      <c r="L57" s="86">
        <f t="shared" si="15"/>
        <v>0</v>
      </c>
      <c r="M57" s="86">
        <f t="shared" si="15"/>
        <v>0</v>
      </c>
      <c r="N57" s="86">
        <f t="shared" si="15"/>
        <v>0</v>
      </c>
      <c r="O57" s="86">
        <f t="shared" si="15"/>
        <v>0</v>
      </c>
      <c r="P57" s="86">
        <f t="shared" si="15"/>
        <v>0</v>
      </c>
      <c r="Q57" s="86">
        <f t="shared" si="15"/>
        <v>0</v>
      </c>
      <c r="R57" s="86">
        <f t="shared" si="15"/>
        <v>-49</v>
      </c>
      <c r="S57" s="86">
        <f t="shared" si="15"/>
        <v>0</v>
      </c>
      <c r="T57" s="86">
        <f t="shared" si="15"/>
        <v>0</v>
      </c>
      <c r="U57" s="86">
        <f t="shared" si="15"/>
        <v>0</v>
      </c>
      <c r="V57" s="86">
        <f t="shared" si="15"/>
        <v>0</v>
      </c>
      <c r="W57" s="86">
        <f t="shared" si="15"/>
        <v>0</v>
      </c>
      <c r="X57" s="86">
        <f t="shared" si="15"/>
        <v>0</v>
      </c>
      <c r="Y57" s="87"/>
    </row>
    <row r="58" spans="1:25" ht="15.6" thickTop="1" thickBot="1" x14ac:dyDescent="0.35"/>
    <row r="59" spans="1:25" x14ac:dyDescent="0.3">
      <c r="A59" s="17">
        <v>45343</v>
      </c>
      <c r="B59" s="17">
        <v>45344</v>
      </c>
      <c r="C59" s="17">
        <v>45345</v>
      </c>
      <c r="D59" s="17">
        <v>45346</v>
      </c>
      <c r="E59" s="17">
        <v>45347</v>
      </c>
      <c r="F59" s="17">
        <v>45348</v>
      </c>
      <c r="G59" s="17">
        <v>45349</v>
      </c>
      <c r="H59" s="39"/>
      <c r="I59" s="13" t="s">
        <v>8</v>
      </c>
      <c r="K59" s="59">
        <v>45343</v>
      </c>
      <c r="L59" s="123"/>
      <c r="M59" s="59">
        <v>45344</v>
      </c>
      <c r="N59" s="123"/>
      <c r="O59" s="59">
        <v>45345</v>
      </c>
      <c r="P59" s="123"/>
      <c r="Q59" s="59">
        <v>45346</v>
      </c>
      <c r="R59" s="123"/>
      <c r="S59" s="59">
        <v>45347</v>
      </c>
      <c r="T59" s="123"/>
      <c r="U59" s="59">
        <v>45348</v>
      </c>
      <c r="V59" s="123"/>
      <c r="W59" s="59">
        <v>45349</v>
      </c>
      <c r="X59" s="123"/>
      <c r="Y59" s="20"/>
    </row>
    <row r="60" spans="1:25" ht="15" thickBot="1" x14ac:dyDescent="0.35">
      <c r="A60" s="21">
        <v>1988.66</v>
      </c>
      <c r="B60" s="22">
        <v>1838.66</v>
      </c>
      <c r="C60" s="22">
        <v>775</v>
      </c>
      <c r="D60" s="22">
        <v>970</v>
      </c>
      <c r="E60" s="22">
        <v>240</v>
      </c>
      <c r="F60" s="22">
        <v>1090</v>
      </c>
      <c r="G60" s="22">
        <v>890</v>
      </c>
      <c r="H60" s="37"/>
      <c r="I60" s="14">
        <v>3040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  <c r="Y60" s="87"/>
    </row>
    <row r="61" spans="1:25" x14ac:dyDescent="0.3">
      <c r="A61" s="24">
        <v>2575</v>
      </c>
      <c r="B61" s="22">
        <v>2470</v>
      </c>
      <c r="C61" s="22">
        <v>2475</v>
      </c>
      <c r="D61" s="22">
        <v>3320</v>
      </c>
      <c r="E61" s="25"/>
      <c r="F61" s="22">
        <v>2995</v>
      </c>
      <c r="G61" s="22">
        <v>3145</v>
      </c>
      <c r="H61" s="37"/>
      <c r="I61" s="14">
        <v>5922.75</v>
      </c>
      <c r="K61" s="75">
        <v>600</v>
      </c>
      <c r="L61" s="76">
        <v>35</v>
      </c>
      <c r="M61" s="77">
        <v>840</v>
      </c>
      <c r="N61" s="77">
        <v>60</v>
      </c>
      <c r="O61" s="77">
        <v>430</v>
      </c>
      <c r="P61" s="77">
        <v>42.5</v>
      </c>
      <c r="Q61" s="77">
        <v>238</v>
      </c>
      <c r="R61" s="77">
        <v>50</v>
      </c>
      <c r="S61" s="78">
        <v>760</v>
      </c>
      <c r="T61" s="69">
        <v>844</v>
      </c>
      <c r="U61" s="63">
        <v>413</v>
      </c>
      <c r="V61" s="63">
        <v>413</v>
      </c>
      <c r="W61" s="63">
        <v>501.3</v>
      </c>
      <c r="X61" s="65">
        <v>60</v>
      </c>
      <c r="Y61" s="122"/>
    </row>
    <row r="62" spans="1:25" x14ac:dyDescent="0.3">
      <c r="A62" s="24">
        <v>1070</v>
      </c>
      <c r="B62" s="22">
        <v>1200</v>
      </c>
      <c r="C62" s="22">
        <v>1873.36</v>
      </c>
      <c r="D62" s="26">
        <v>2342.33</v>
      </c>
      <c r="E62" s="22"/>
      <c r="F62" s="22">
        <v>1577.7</v>
      </c>
      <c r="G62" s="22">
        <v>1608.06</v>
      </c>
      <c r="H62" s="37"/>
      <c r="I62" s="15">
        <v>5289.97</v>
      </c>
      <c r="K62" s="21">
        <v>5000</v>
      </c>
      <c r="L62" s="79"/>
      <c r="M62" s="43">
        <v>5095</v>
      </c>
      <c r="N62" s="43">
        <v>35</v>
      </c>
      <c r="O62" s="43">
        <v>204</v>
      </c>
      <c r="P62" s="43">
        <v>60</v>
      </c>
      <c r="Q62" s="80">
        <v>336</v>
      </c>
      <c r="R62" s="80">
        <v>382.5</v>
      </c>
      <c r="S62" s="43">
        <v>84</v>
      </c>
      <c r="T62" s="22"/>
      <c r="U62" s="22">
        <v>384</v>
      </c>
      <c r="V62" s="22">
        <v>384</v>
      </c>
      <c r="W62" s="22"/>
      <c r="X62" s="37">
        <v>42.5</v>
      </c>
      <c r="Y62" s="15"/>
    </row>
    <row r="63" spans="1:25" x14ac:dyDescent="0.3">
      <c r="A63" s="24"/>
      <c r="B63" s="22"/>
      <c r="C63" s="22"/>
      <c r="D63" s="25"/>
      <c r="E63" s="22"/>
      <c r="F63" s="22"/>
      <c r="G63" s="22"/>
      <c r="H63" s="37"/>
      <c r="I63" s="15">
        <v>4005.15</v>
      </c>
      <c r="K63" s="21">
        <v>354</v>
      </c>
      <c r="L63" s="79"/>
      <c r="M63" s="43">
        <v>432</v>
      </c>
      <c r="N63" s="43"/>
      <c r="O63" s="43">
        <v>5100</v>
      </c>
      <c r="P63" s="43"/>
      <c r="Q63" s="80">
        <v>3190</v>
      </c>
      <c r="R63" s="81"/>
      <c r="S63" s="43"/>
      <c r="T63" s="22"/>
      <c r="U63" s="22">
        <v>4795</v>
      </c>
      <c r="V63" s="22">
        <v>4795</v>
      </c>
      <c r="W63" s="22"/>
      <c r="X63" s="37"/>
      <c r="Y63" s="15"/>
    </row>
    <row r="64" spans="1:25" x14ac:dyDescent="0.3">
      <c r="A64" s="24"/>
      <c r="B64" s="22"/>
      <c r="C64" s="22"/>
      <c r="D64" s="22"/>
      <c r="E64" s="22"/>
      <c r="F64" s="22"/>
      <c r="G64" s="22"/>
      <c r="H64" s="37"/>
      <c r="I64" s="15">
        <v>1170</v>
      </c>
      <c r="K64" s="21">
        <v>450</v>
      </c>
      <c r="L64" s="79"/>
      <c r="M64" s="43">
        <v>275</v>
      </c>
      <c r="N64" s="43"/>
      <c r="O64" s="43">
        <v>420</v>
      </c>
      <c r="P64" s="43"/>
      <c r="Q64" s="43">
        <v>670</v>
      </c>
      <c r="R64" s="43"/>
      <c r="S64" s="43"/>
      <c r="T64" s="22"/>
      <c r="U64" s="22">
        <v>910</v>
      </c>
      <c r="V64" s="22">
        <v>910</v>
      </c>
      <c r="W64" s="22"/>
      <c r="X64" s="37"/>
      <c r="Y64" s="15"/>
    </row>
    <row r="65" spans="1:25" x14ac:dyDescent="0.3">
      <c r="A65" s="24"/>
      <c r="B65" s="22"/>
      <c r="C65" s="22"/>
      <c r="D65" s="22"/>
      <c r="E65" s="22"/>
      <c r="F65" s="22"/>
      <c r="G65" s="22"/>
      <c r="H65" s="37"/>
      <c r="I65" s="15">
        <v>388.37</v>
      </c>
      <c r="K65" s="21">
        <v>28</v>
      </c>
      <c r="L65" s="79"/>
      <c r="M65" s="43">
        <v>28</v>
      </c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37"/>
      <c r="Y65" s="15"/>
    </row>
    <row r="66" spans="1:25" ht="15" thickBot="1" x14ac:dyDescent="0.35">
      <c r="A66" s="24"/>
      <c r="B66" s="22"/>
      <c r="C66" s="22"/>
      <c r="D66" s="22"/>
      <c r="E66" s="22"/>
      <c r="F66" s="22"/>
      <c r="G66" s="22"/>
      <c r="H66" s="37"/>
      <c r="I66" s="16">
        <f>SUM(I60:I65)</f>
        <v>19816.240000000002</v>
      </c>
      <c r="K66" s="21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37"/>
      <c r="Y66" s="83"/>
    </row>
    <row r="67" spans="1:25" ht="15.6" thickTop="1" thickBot="1" x14ac:dyDescent="0.35">
      <c r="A67" s="24"/>
      <c r="B67" s="22"/>
      <c r="C67" s="22"/>
      <c r="D67" s="22"/>
      <c r="E67" s="22"/>
      <c r="F67" s="22"/>
      <c r="G67" s="22"/>
      <c r="H67" s="22"/>
      <c r="I67" s="40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37"/>
      <c r="Y67" s="16">
        <f>SUM(Y60:Y65)</f>
        <v>0</v>
      </c>
    </row>
    <row r="68" spans="1:25" ht="15" thickTop="1" x14ac:dyDescent="0.3">
      <c r="A68" s="24"/>
      <c r="B68" s="22"/>
      <c r="C68" s="22"/>
      <c r="D68" s="22"/>
      <c r="E68" s="22"/>
      <c r="F68" s="22"/>
      <c r="G68" s="22"/>
      <c r="H68" s="22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38"/>
    </row>
    <row r="69" spans="1:25" x14ac:dyDescent="0.3">
      <c r="A69" s="24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1:25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</row>
    <row r="73" spans="1:25" x14ac:dyDescent="0.3">
      <c r="A73" s="24"/>
      <c r="B73" s="22"/>
      <c r="C73" s="22"/>
      <c r="D73" s="22"/>
      <c r="E73" s="22"/>
      <c r="F73" s="28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8"/>
      <c r="V73" s="28"/>
      <c r="W73" s="22"/>
      <c r="X73" s="22"/>
      <c r="Y73" s="23"/>
    </row>
    <row r="74" spans="1:25" x14ac:dyDescent="0.3">
      <c r="A74" s="24">
        <f t="shared" ref="A74:G74" si="16">SUM(A60:A73)</f>
        <v>5633.66</v>
      </c>
      <c r="B74" s="22">
        <f t="shared" si="16"/>
        <v>5508.66</v>
      </c>
      <c r="C74" s="22">
        <f t="shared" si="16"/>
        <v>5123.3599999999997</v>
      </c>
      <c r="D74" s="22">
        <f t="shared" si="16"/>
        <v>6632.33</v>
      </c>
      <c r="E74" s="22">
        <f t="shared" si="16"/>
        <v>240</v>
      </c>
      <c r="F74" s="22">
        <f t="shared" si="16"/>
        <v>5662.7</v>
      </c>
      <c r="G74" s="22">
        <f t="shared" si="16"/>
        <v>5643.0599999999995</v>
      </c>
      <c r="H74" s="29">
        <f>SUM(A74:G74)+I66</f>
        <v>54260.010000000009</v>
      </c>
      <c r="I74" s="30" t="s">
        <v>7</v>
      </c>
      <c r="K74" s="24">
        <f t="shared" ref="K74:Q74" si="17">SUM(K61:K73)</f>
        <v>6432</v>
      </c>
      <c r="L74" s="22">
        <f t="shared" si="17"/>
        <v>35</v>
      </c>
      <c r="M74" s="22">
        <f t="shared" si="17"/>
        <v>6670</v>
      </c>
      <c r="N74" s="22">
        <f t="shared" si="17"/>
        <v>95</v>
      </c>
      <c r="O74" s="22">
        <f t="shared" si="17"/>
        <v>6154</v>
      </c>
      <c r="P74" s="22">
        <f t="shared" si="17"/>
        <v>102.5</v>
      </c>
      <c r="Q74" s="22">
        <f t="shared" si="17"/>
        <v>4434</v>
      </c>
      <c r="R74" s="22">
        <f>SUM(R61:R73)</f>
        <v>432.5</v>
      </c>
      <c r="S74" s="22">
        <f t="shared" ref="S74:X74" si="18">SUM(S61:S73)</f>
        <v>844</v>
      </c>
      <c r="T74" s="22">
        <f t="shared" si="18"/>
        <v>844</v>
      </c>
      <c r="U74" s="22">
        <f t="shared" si="18"/>
        <v>6502</v>
      </c>
      <c r="V74" s="22">
        <f t="shared" si="18"/>
        <v>6502</v>
      </c>
      <c r="W74" s="22">
        <f t="shared" si="18"/>
        <v>501.3</v>
      </c>
      <c r="X74" s="22">
        <f t="shared" si="18"/>
        <v>102.5</v>
      </c>
      <c r="Y74" s="33">
        <f>K75+M75+O75+Q75+S75+U75+W75</f>
        <v>31537.3</v>
      </c>
    </row>
    <row r="75" spans="1:25" x14ac:dyDescent="0.3">
      <c r="A75" s="31">
        <v>5633.66</v>
      </c>
      <c r="B75" s="32">
        <v>5508.66</v>
      </c>
      <c r="C75" s="32">
        <v>5123.3599999999997</v>
      </c>
      <c r="D75" s="32">
        <v>6632.33</v>
      </c>
      <c r="E75" s="32">
        <v>240</v>
      </c>
      <c r="F75" s="32">
        <v>5662.7</v>
      </c>
      <c r="G75" s="32">
        <v>5643.06</v>
      </c>
      <c r="H75" s="22">
        <f>SUM(A75:G75)+I66</f>
        <v>54260.010000000009</v>
      </c>
      <c r="I75" s="33" t="s">
        <v>1</v>
      </c>
      <c r="K75" s="24">
        <v>6432</v>
      </c>
      <c r="L75" s="22">
        <v>35</v>
      </c>
      <c r="M75" s="22">
        <v>6670</v>
      </c>
      <c r="N75" s="22">
        <v>95</v>
      </c>
      <c r="O75" s="22">
        <v>6154</v>
      </c>
      <c r="P75" s="22">
        <v>102.5</v>
      </c>
      <c r="Q75" s="22">
        <v>4434</v>
      </c>
      <c r="R75" s="22">
        <v>432.5</v>
      </c>
      <c r="S75" s="32">
        <v>844</v>
      </c>
      <c r="T75" s="32">
        <v>844</v>
      </c>
      <c r="U75" s="32">
        <v>6502</v>
      </c>
      <c r="V75" s="32">
        <v>6502</v>
      </c>
      <c r="W75" s="32">
        <v>501.3</v>
      </c>
      <c r="X75" s="22">
        <v>102.5</v>
      </c>
      <c r="Y75" s="33">
        <f>L75+N75+P75+R75+T75+V75+X75</f>
        <v>8113.5</v>
      </c>
    </row>
    <row r="76" spans="1:25" ht="15" thickBot="1" x14ac:dyDescent="0.35">
      <c r="A76" s="34">
        <f>A74-A75</f>
        <v>0</v>
      </c>
      <c r="B76" s="35">
        <f>B74-B75</f>
        <v>0</v>
      </c>
      <c r="C76" s="35">
        <f t="shared" ref="C76:G76" si="19">C74-C75</f>
        <v>0</v>
      </c>
      <c r="D76" s="35">
        <f t="shared" si="19"/>
        <v>0</v>
      </c>
      <c r="E76" s="35">
        <f t="shared" si="19"/>
        <v>0</v>
      </c>
      <c r="F76" s="35">
        <f t="shared" si="19"/>
        <v>0</v>
      </c>
      <c r="G76" s="35">
        <f t="shared" si="19"/>
        <v>0</v>
      </c>
      <c r="H76" s="35"/>
      <c r="I76" s="36"/>
      <c r="K76" s="86">
        <f t="shared" ref="K76:X76" si="20">K74-K75</f>
        <v>0</v>
      </c>
      <c r="L76" s="86">
        <f t="shared" si="20"/>
        <v>0</v>
      </c>
      <c r="M76" s="86">
        <f t="shared" si="20"/>
        <v>0</v>
      </c>
      <c r="N76" s="86">
        <f t="shared" si="20"/>
        <v>0</v>
      </c>
      <c r="O76" s="86">
        <f t="shared" si="20"/>
        <v>0</v>
      </c>
      <c r="P76" s="86">
        <f t="shared" si="20"/>
        <v>0</v>
      </c>
      <c r="Q76" s="86">
        <f t="shared" si="20"/>
        <v>0</v>
      </c>
      <c r="R76" s="86">
        <f t="shared" si="20"/>
        <v>0</v>
      </c>
      <c r="S76" s="86">
        <f t="shared" si="20"/>
        <v>0</v>
      </c>
      <c r="T76" s="86">
        <f t="shared" si="20"/>
        <v>0</v>
      </c>
      <c r="U76" s="86">
        <f t="shared" si="20"/>
        <v>0</v>
      </c>
      <c r="V76" s="86">
        <f t="shared" si="20"/>
        <v>0</v>
      </c>
      <c r="W76" s="86">
        <f t="shared" si="20"/>
        <v>0</v>
      </c>
      <c r="X76" s="86">
        <f t="shared" si="20"/>
        <v>0</v>
      </c>
      <c r="Y76" s="87"/>
    </row>
    <row r="77" spans="1:25" ht="15" thickTop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3630-A902-4F12-8081-DB0F44A88640}">
  <dimension ref="A1:Y119"/>
  <sheetViews>
    <sheetView topLeftCell="A94" workbookViewId="0">
      <selection activeCell="A101" sqref="A101:W118"/>
    </sheetView>
  </sheetViews>
  <sheetFormatPr defaultRowHeight="14.4" x14ac:dyDescent="0.3"/>
  <cols>
    <col min="1" max="1" width="13" customWidth="1"/>
    <col min="2" max="2" width="12.88671875" customWidth="1"/>
    <col min="3" max="3" width="10.33203125" bestFit="1" customWidth="1"/>
    <col min="4" max="4" width="12.5546875" bestFit="1" customWidth="1"/>
    <col min="5" max="7" width="10.33203125" bestFit="1" customWidth="1"/>
    <col min="8" max="8" width="10.109375" bestFit="1" customWidth="1"/>
    <col min="9" max="9" width="13" bestFit="1" customWidth="1"/>
    <col min="11" max="11" width="11.33203125" customWidth="1"/>
    <col min="12" max="12" width="12.33203125" bestFit="1" customWidth="1"/>
    <col min="13" max="13" width="13.88671875" customWidth="1"/>
    <col min="14" max="14" width="12.33203125" bestFit="1" customWidth="1"/>
    <col min="15" max="15" width="12.44140625" customWidth="1"/>
    <col min="16" max="16" width="12.33203125" bestFit="1" customWidth="1"/>
    <col min="17" max="17" width="11.109375" customWidth="1"/>
    <col min="18" max="18" width="12.33203125" bestFit="1" customWidth="1"/>
    <col min="19" max="19" width="11.5546875" customWidth="1"/>
    <col min="20" max="20" width="10.88671875" customWidth="1"/>
    <col min="21" max="21" width="11.6640625" customWidth="1"/>
    <col min="22" max="22" width="10.5546875" customWidth="1"/>
    <col min="23" max="23" width="12.44140625" customWidth="1"/>
    <col min="24" max="24" width="10.33203125" customWidth="1"/>
    <col min="25" max="25" width="11.88671875" customWidth="1"/>
  </cols>
  <sheetData>
    <row r="1" spans="1:25" x14ac:dyDescent="0.3">
      <c r="A1" s="17">
        <v>45350</v>
      </c>
      <c r="B1" s="17">
        <v>45351</v>
      </c>
      <c r="C1" s="17">
        <v>45352</v>
      </c>
      <c r="D1" s="17">
        <v>45353</v>
      </c>
      <c r="E1" s="17">
        <v>45354</v>
      </c>
      <c r="F1" s="17">
        <v>45355</v>
      </c>
      <c r="G1" s="17">
        <v>45356</v>
      </c>
      <c r="H1" s="39"/>
      <c r="I1" s="13" t="s">
        <v>8</v>
      </c>
      <c r="K1" s="59">
        <v>45350</v>
      </c>
      <c r="L1" s="123"/>
      <c r="M1" s="59">
        <v>45351</v>
      </c>
      <c r="N1" s="123"/>
      <c r="O1" s="59">
        <v>45352</v>
      </c>
      <c r="P1" s="123"/>
      <c r="Q1" s="59">
        <v>45353</v>
      </c>
      <c r="R1" s="123"/>
      <c r="S1" s="59">
        <v>45354</v>
      </c>
      <c r="T1" s="123"/>
      <c r="U1" s="59">
        <v>45355</v>
      </c>
      <c r="V1" s="123"/>
      <c r="W1" s="59">
        <v>45356</v>
      </c>
      <c r="X1" s="123"/>
      <c r="Y1" s="20"/>
    </row>
    <row r="2" spans="1:25" ht="15" thickBot="1" x14ac:dyDescent="0.35">
      <c r="A2" s="21">
        <v>1104.3900000000001</v>
      </c>
      <c r="B2" s="22">
        <v>1155</v>
      </c>
      <c r="C2" s="22">
        <v>1407.82</v>
      </c>
      <c r="D2" s="22">
        <v>875</v>
      </c>
      <c r="E2" s="22">
        <v>615</v>
      </c>
      <c r="F2" s="22">
        <v>960</v>
      </c>
      <c r="G2" s="22">
        <v>1090</v>
      </c>
      <c r="H2" s="37"/>
      <c r="I2" s="14">
        <v>5922.75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26" t="s">
        <v>11</v>
      </c>
      <c r="Y2" s="87"/>
    </row>
    <row r="3" spans="1:25" x14ac:dyDescent="0.3">
      <c r="A3" s="24">
        <v>2650</v>
      </c>
      <c r="B3" s="22">
        <v>530</v>
      </c>
      <c r="C3" s="22">
        <v>3060</v>
      </c>
      <c r="D3" s="22">
        <v>1675</v>
      </c>
      <c r="E3" s="25"/>
      <c r="F3" s="22">
        <v>2525</v>
      </c>
      <c r="G3" s="22">
        <v>2710</v>
      </c>
      <c r="H3" s="37"/>
      <c r="I3" s="14">
        <v>3605</v>
      </c>
      <c r="K3" s="75">
        <v>840</v>
      </c>
      <c r="L3" s="76">
        <v>120</v>
      </c>
      <c r="M3" s="77">
        <v>23</v>
      </c>
      <c r="N3" s="77">
        <v>45</v>
      </c>
      <c r="O3" s="77">
        <v>685</v>
      </c>
      <c r="P3" s="77">
        <v>441.5</v>
      </c>
      <c r="Q3" s="77">
        <v>24</v>
      </c>
      <c r="R3" s="77">
        <v>40</v>
      </c>
      <c r="S3" s="78">
        <v>450</v>
      </c>
      <c r="T3" s="69">
        <v>15</v>
      </c>
      <c r="U3" s="63">
        <v>490</v>
      </c>
      <c r="V3" s="63">
        <v>1500</v>
      </c>
      <c r="W3" s="63">
        <v>420</v>
      </c>
      <c r="X3" s="65">
        <v>35</v>
      </c>
      <c r="Y3" s="122"/>
    </row>
    <row r="4" spans="1:25" x14ac:dyDescent="0.3">
      <c r="A4" s="24">
        <v>870</v>
      </c>
      <c r="B4" s="22">
        <v>770</v>
      </c>
      <c r="C4" s="22">
        <v>590</v>
      </c>
      <c r="D4" s="26">
        <v>1924.24</v>
      </c>
      <c r="E4" s="22"/>
      <c r="F4" s="22">
        <v>1897.7</v>
      </c>
      <c r="G4" s="22">
        <v>1608.06</v>
      </c>
      <c r="H4" s="37"/>
      <c r="I4" s="15">
        <v>5605.51</v>
      </c>
      <c r="K4" s="21">
        <v>4660</v>
      </c>
      <c r="L4" s="79">
        <v>42.5</v>
      </c>
      <c r="M4" s="43">
        <v>315</v>
      </c>
      <c r="N4" s="43">
        <v>1594</v>
      </c>
      <c r="O4" s="43">
        <v>5023</v>
      </c>
      <c r="P4" s="43">
        <v>60</v>
      </c>
      <c r="Q4" s="80">
        <v>240</v>
      </c>
      <c r="R4" s="80"/>
      <c r="S4" s="43">
        <v>84</v>
      </c>
      <c r="T4" s="22"/>
      <c r="U4" s="22">
        <v>417</v>
      </c>
      <c r="V4" s="22">
        <v>50</v>
      </c>
      <c r="W4" s="22">
        <v>432</v>
      </c>
      <c r="X4" s="37">
        <v>43</v>
      </c>
      <c r="Y4" s="15"/>
    </row>
    <row r="5" spans="1:25" x14ac:dyDescent="0.3">
      <c r="A5" s="24"/>
      <c r="B5" s="22">
        <v>205</v>
      </c>
      <c r="C5" s="22"/>
      <c r="D5" s="25"/>
      <c r="E5" s="22"/>
      <c r="F5" s="22"/>
      <c r="G5" s="22"/>
      <c r="H5" s="37"/>
      <c r="I5" s="15">
        <v>4005.15</v>
      </c>
      <c r="K5" s="21">
        <v>318</v>
      </c>
      <c r="L5" s="79">
        <v>50</v>
      </c>
      <c r="M5" s="43">
        <v>4635</v>
      </c>
      <c r="N5" s="43"/>
      <c r="O5" s="43">
        <v>480</v>
      </c>
      <c r="P5" s="43" t="s">
        <v>30</v>
      </c>
      <c r="Q5" s="80">
        <v>336</v>
      </c>
      <c r="R5" s="81"/>
      <c r="S5" s="43"/>
      <c r="T5" s="22"/>
      <c r="U5" s="22">
        <v>5880</v>
      </c>
      <c r="V5" s="22"/>
      <c r="W5" s="22">
        <v>4610</v>
      </c>
      <c r="X5" s="37">
        <v>60</v>
      </c>
      <c r="Y5" s="15"/>
    </row>
    <row r="6" spans="1:25" x14ac:dyDescent="0.3">
      <c r="A6" s="24"/>
      <c r="B6" s="22">
        <v>380</v>
      </c>
      <c r="C6" s="22"/>
      <c r="D6" s="22"/>
      <c r="E6" s="22"/>
      <c r="F6" s="22"/>
      <c r="G6" s="22"/>
      <c r="H6" s="37"/>
      <c r="I6" s="15">
        <v>740</v>
      </c>
      <c r="K6" s="21">
        <v>360</v>
      </c>
      <c r="L6" s="79"/>
      <c r="M6" s="43">
        <v>450</v>
      </c>
      <c r="N6" s="43"/>
      <c r="O6" s="43"/>
      <c r="P6" s="43"/>
      <c r="Q6" s="43">
        <v>2600</v>
      </c>
      <c r="R6" s="43"/>
      <c r="S6" s="43"/>
      <c r="T6" s="22"/>
      <c r="U6" s="22">
        <v>420</v>
      </c>
      <c r="V6" s="22"/>
      <c r="W6" s="22">
        <v>840</v>
      </c>
      <c r="X6" s="37">
        <v>1620</v>
      </c>
      <c r="Y6" s="15"/>
    </row>
    <row r="7" spans="1:25" x14ac:dyDescent="0.3">
      <c r="A7" s="24"/>
      <c r="B7" s="22">
        <v>570</v>
      </c>
      <c r="C7" s="22"/>
      <c r="D7" s="22"/>
      <c r="E7" s="22"/>
      <c r="F7" s="22"/>
      <c r="G7" s="22"/>
      <c r="H7" s="37"/>
      <c r="I7" s="15">
        <v>546.14</v>
      </c>
      <c r="K7" s="21"/>
      <c r="L7" s="79"/>
      <c r="M7" s="43">
        <v>790</v>
      </c>
      <c r="N7" s="43"/>
      <c r="O7" s="43"/>
      <c r="P7" s="43"/>
      <c r="Q7" s="43">
        <v>420</v>
      </c>
      <c r="R7" s="43"/>
      <c r="S7" s="43"/>
      <c r="T7" s="22"/>
      <c r="U7" s="22"/>
      <c r="V7" s="22"/>
      <c r="W7" s="22"/>
      <c r="X7" s="37"/>
      <c r="Y7" s="15"/>
    </row>
    <row r="8" spans="1:25" ht="15" thickBot="1" x14ac:dyDescent="0.35">
      <c r="A8" s="24"/>
      <c r="B8" s="22">
        <v>105</v>
      </c>
      <c r="C8" s="22"/>
      <c r="D8" s="22"/>
      <c r="E8" s="22"/>
      <c r="F8" s="22"/>
      <c r="G8" s="22"/>
      <c r="H8" s="37"/>
      <c r="I8" s="16">
        <f>SUM(I2:I7)</f>
        <v>20424.55</v>
      </c>
      <c r="K8" s="21"/>
      <c r="L8" s="79"/>
      <c r="M8" s="43"/>
      <c r="N8" s="43"/>
      <c r="O8" s="43"/>
      <c r="P8" s="43"/>
      <c r="Q8" s="43">
        <v>24</v>
      </c>
      <c r="R8" s="43"/>
      <c r="S8" s="43"/>
      <c r="T8" s="22"/>
      <c r="U8" s="22"/>
      <c r="V8" s="22"/>
      <c r="W8" s="22"/>
      <c r="X8" s="37"/>
      <c r="Y8" s="83"/>
    </row>
    <row r="9" spans="1:25" ht="15.6" thickTop="1" thickBot="1" x14ac:dyDescent="0.35">
      <c r="A9" s="24"/>
      <c r="B9" s="22">
        <v>1094.45</v>
      </c>
      <c r="C9" s="22"/>
      <c r="D9" s="22"/>
      <c r="E9" s="22"/>
      <c r="F9" s="22"/>
      <c r="G9" s="22"/>
      <c r="H9" s="22"/>
      <c r="I9" s="40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7"/>
      <c r="Y9" s="16">
        <f>SUM(Y2:Y7)</f>
        <v>0</v>
      </c>
    </row>
    <row r="10" spans="1:25" ht="15" thickTop="1" x14ac:dyDescent="0.3">
      <c r="A10" s="24"/>
      <c r="B10" s="22">
        <v>546.14</v>
      </c>
      <c r="C10" s="22"/>
      <c r="D10" s="22"/>
      <c r="E10" s="22"/>
      <c r="F10" s="22"/>
      <c r="G10" s="22"/>
      <c r="H10" s="22"/>
      <c r="I10" s="27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8"/>
    </row>
    <row r="11" spans="1:25" x14ac:dyDescent="0.3">
      <c r="A11" s="24"/>
      <c r="B11" s="22">
        <v>242.77</v>
      </c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</row>
    <row r="12" spans="1:25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1:25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 spans="1:25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24"/>
      <c r="B15" s="22"/>
      <c r="C15" s="22"/>
      <c r="D15" s="22"/>
      <c r="E15" s="22"/>
      <c r="F15" s="28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8"/>
      <c r="V15" s="28"/>
      <c r="W15" s="22"/>
      <c r="X15" s="22"/>
      <c r="Y15" s="23"/>
    </row>
    <row r="16" spans="1:25" x14ac:dyDescent="0.3">
      <c r="A16" s="24">
        <f t="shared" ref="A16:G16" si="0">SUM(A2:A15)</f>
        <v>4624.3900000000003</v>
      </c>
      <c r="B16" s="22">
        <f t="shared" si="0"/>
        <v>5598.3600000000006</v>
      </c>
      <c r="C16" s="22">
        <f t="shared" si="0"/>
        <v>5057.82</v>
      </c>
      <c r="D16" s="22">
        <f t="shared" si="0"/>
        <v>4474.24</v>
      </c>
      <c r="E16" s="22">
        <f t="shared" si="0"/>
        <v>615</v>
      </c>
      <c r="F16" s="22">
        <f t="shared" si="0"/>
        <v>5382.7</v>
      </c>
      <c r="G16" s="22">
        <f t="shared" si="0"/>
        <v>5408.0599999999995</v>
      </c>
      <c r="H16" s="29">
        <f>SUM(A16:G16)+I8</f>
        <v>51585.119999999995</v>
      </c>
      <c r="I16" s="30" t="s">
        <v>7</v>
      </c>
      <c r="K16" s="24">
        <f t="shared" ref="K16:Q16" si="1">SUM(K3:K15)</f>
        <v>6178</v>
      </c>
      <c r="L16" s="22">
        <f t="shared" si="1"/>
        <v>212.5</v>
      </c>
      <c r="M16" s="22">
        <f>SUM(M3:M15)</f>
        <v>6213</v>
      </c>
      <c r="N16" s="22">
        <f t="shared" si="1"/>
        <v>1639</v>
      </c>
      <c r="O16" s="22">
        <f t="shared" si="1"/>
        <v>6188</v>
      </c>
      <c r="P16" s="22">
        <f t="shared" si="1"/>
        <v>501.5</v>
      </c>
      <c r="Q16" s="22">
        <f t="shared" si="1"/>
        <v>3644</v>
      </c>
      <c r="R16" s="22">
        <f>SUM(R3:R15)</f>
        <v>40</v>
      </c>
      <c r="S16" s="22">
        <f t="shared" ref="S16:X16" si="2">SUM(S3:S15)</f>
        <v>534</v>
      </c>
      <c r="T16" s="22">
        <f t="shared" si="2"/>
        <v>15</v>
      </c>
      <c r="U16" s="22">
        <f t="shared" si="2"/>
        <v>7207</v>
      </c>
      <c r="V16" s="22">
        <f t="shared" si="2"/>
        <v>1550</v>
      </c>
      <c r="W16" s="22">
        <f t="shared" si="2"/>
        <v>6302</v>
      </c>
      <c r="X16" s="22">
        <f t="shared" si="2"/>
        <v>1758</v>
      </c>
      <c r="Y16" s="33">
        <f>K17+M17+O17+Q17+S17+U17+W17</f>
        <v>36266</v>
      </c>
    </row>
    <row r="17" spans="1:25" x14ac:dyDescent="0.3">
      <c r="A17" s="31">
        <v>4624.3900000000003</v>
      </c>
      <c r="B17" s="32">
        <v>5598.36</v>
      </c>
      <c r="C17" s="32">
        <v>5057.82</v>
      </c>
      <c r="D17" s="32">
        <v>4474.24</v>
      </c>
      <c r="E17" s="32">
        <v>615</v>
      </c>
      <c r="F17" s="32">
        <v>5382.7</v>
      </c>
      <c r="G17" s="32">
        <v>5408.06</v>
      </c>
      <c r="H17" s="22">
        <f>SUM(A17:G17)+I8</f>
        <v>51585.119999999995</v>
      </c>
      <c r="I17" s="33" t="s">
        <v>1</v>
      </c>
      <c r="K17" s="24">
        <v>6178</v>
      </c>
      <c r="L17" s="22">
        <v>212.5</v>
      </c>
      <c r="M17" s="22">
        <v>6213</v>
      </c>
      <c r="N17" s="22">
        <v>1639</v>
      </c>
      <c r="O17" s="22">
        <v>6188</v>
      </c>
      <c r="P17" s="22">
        <v>501.5</v>
      </c>
      <c r="Q17" s="22">
        <v>3644</v>
      </c>
      <c r="R17" s="22">
        <v>40</v>
      </c>
      <c r="S17" s="32">
        <v>534</v>
      </c>
      <c r="T17" s="32">
        <v>15</v>
      </c>
      <c r="U17" s="32">
        <v>7207</v>
      </c>
      <c r="V17" s="32">
        <v>1550</v>
      </c>
      <c r="W17" s="32">
        <v>6302</v>
      </c>
      <c r="X17" s="22">
        <v>1758</v>
      </c>
      <c r="Y17" s="33">
        <f>L17+N17+P17+R17+T17+V17+X17</f>
        <v>5716</v>
      </c>
    </row>
    <row r="18" spans="1:25" ht="15" thickBot="1" x14ac:dyDescent="0.35">
      <c r="A18" s="34">
        <f>A16-A17</f>
        <v>0</v>
      </c>
      <c r="B18" s="35">
        <f>B16-B17</f>
        <v>0</v>
      </c>
      <c r="C18" s="35">
        <f t="shared" ref="C18:G18" si="3">C16-C17</f>
        <v>0</v>
      </c>
      <c r="D18" s="35">
        <f t="shared" si="3"/>
        <v>0</v>
      </c>
      <c r="E18" s="35">
        <f t="shared" si="3"/>
        <v>0</v>
      </c>
      <c r="F18" s="35">
        <f t="shared" si="3"/>
        <v>0</v>
      </c>
      <c r="G18" s="35">
        <f t="shared" si="3"/>
        <v>0</v>
      </c>
      <c r="H18" s="35"/>
      <c r="I18" s="36"/>
      <c r="K18" s="86">
        <f t="shared" ref="K18:X18" si="4">K16-K17</f>
        <v>0</v>
      </c>
      <c r="L18" s="86">
        <f t="shared" si="4"/>
        <v>0</v>
      </c>
      <c r="M18" s="86">
        <f>M16-M17</f>
        <v>0</v>
      </c>
      <c r="N18" s="86">
        <f t="shared" si="4"/>
        <v>0</v>
      </c>
      <c r="O18" s="86">
        <f t="shared" si="4"/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7"/>
    </row>
    <row r="19" spans="1:25" ht="15.6" thickTop="1" thickBot="1" x14ac:dyDescent="0.35"/>
    <row r="20" spans="1:25" x14ac:dyDescent="0.3">
      <c r="A20" s="17">
        <v>45357</v>
      </c>
      <c r="B20" s="17">
        <v>45358</v>
      </c>
      <c r="C20" s="17">
        <v>45359</v>
      </c>
      <c r="D20" s="17">
        <v>45360</v>
      </c>
      <c r="E20" s="17">
        <v>45361</v>
      </c>
      <c r="F20" s="17">
        <v>45362</v>
      </c>
      <c r="G20" s="17">
        <v>45363</v>
      </c>
      <c r="H20" s="39"/>
      <c r="I20" s="13" t="s">
        <v>8</v>
      </c>
      <c r="K20" s="59">
        <v>45357</v>
      </c>
      <c r="L20" s="123"/>
      <c r="M20" s="59">
        <v>45358</v>
      </c>
      <c r="N20" s="123"/>
      <c r="O20" s="59">
        <v>45359</v>
      </c>
      <c r="P20" s="123"/>
      <c r="Q20" s="59">
        <v>45360</v>
      </c>
      <c r="R20" s="123"/>
      <c r="S20" s="59">
        <v>45361</v>
      </c>
      <c r="T20" s="123"/>
      <c r="U20" s="59">
        <v>45362</v>
      </c>
      <c r="V20" s="123"/>
      <c r="W20" s="59">
        <v>45363</v>
      </c>
      <c r="X20" s="123"/>
      <c r="Y20" s="20"/>
    </row>
    <row r="21" spans="1:25" ht="15" thickBot="1" x14ac:dyDescent="0.35">
      <c r="A21" s="21">
        <v>1210</v>
      </c>
      <c r="B21" s="22">
        <v>1390</v>
      </c>
      <c r="C21" s="22">
        <v>435</v>
      </c>
      <c r="D21" s="22">
        <v>830</v>
      </c>
      <c r="E21" s="22">
        <v>410</v>
      </c>
      <c r="F21" s="22">
        <v>945</v>
      </c>
      <c r="G21" s="22">
        <v>1381.92</v>
      </c>
      <c r="H21" s="37"/>
      <c r="I21" s="127">
        <v>4005.15</v>
      </c>
      <c r="K21" s="124" t="s">
        <v>10</v>
      </c>
      <c r="L21" s="125" t="s">
        <v>11</v>
      </c>
      <c r="M21" s="126" t="s">
        <v>10</v>
      </c>
      <c r="N21" s="126" t="s">
        <v>11</v>
      </c>
      <c r="O21" s="126" t="s">
        <v>10</v>
      </c>
      <c r="P21" s="126" t="s">
        <v>11</v>
      </c>
      <c r="Q21" s="126" t="s">
        <v>10</v>
      </c>
      <c r="R21" s="126" t="s">
        <v>11</v>
      </c>
      <c r="S21" s="126" t="s">
        <v>10</v>
      </c>
      <c r="T21" s="126" t="s">
        <v>11</v>
      </c>
      <c r="U21" s="126" t="s">
        <v>10</v>
      </c>
      <c r="V21" s="126" t="s">
        <v>11</v>
      </c>
      <c r="W21" s="126" t="s">
        <v>10</v>
      </c>
      <c r="X21" s="126" t="s">
        <v>11</v>
      </c>
      <c r="Y21" s="87"/>
    </row>
    <row r="22" spans="1:25" x14ac:dyDescent="0.3">
      <c r="A22" s="24">
        <v>2860</v>
      </c>
      <c r="B22" s="22">
        <v>3675</v>
      </c>
      <c r="C22" s="22">
        <v>2340</v>
      </c>
      <c r="D22" s="22">
        <v>1650</v>
      </c>
      <c r="E22" s="25"/>
      <c r="F22" s="22">
        <v>2865</v>
      </c>
      <c r="G22" s="22">
        <v>2810</v>
      </c>
      <c r="H22" s="37"/>
      <c r="I22" s="127">
        <v>6712.45</v>
      </c>
      <c r="K22" s="75">
        <v>360</v>
      </c>
      <c r="L22" s="76">
        <v>35</v>
      </c>
      <c r="M22" s="77">
        <v>23</v>
      </c>
      <c r="N22" s="77">
        <v>35</v>
      </c>
      <c r="O22" s="77">
        <v>660</v>
      </c>
      <c r="P22" s="77">
        <v>35</v>
      </c>
      <c r="Q22" s="77">
        <v>28</v>
      </c>
      <c r="R22" s="77">
        <v>110</v>
      </c>
      <c r="S22" s="78">
        <v>84</v>
      </c>
      <c r="T22" s="69">
        <v>15</v>
      </c>
      <c r="U22" s="63">
        <v>495</v>
      </c>
      <c r="V22" s="63">
        <v>42.5</v>
      </c>
      <c r="W22" s="63">
        <v>720</v>
      </c>
      <c r="X22" s="65">
        <v>180</v>
      </c>
      <c r="Y22" s="122"/>
    </row>
    <row r="23" spans="1:25" x14ac:dyDescent="0.3">
      <c r="A23" s="24">
        <v>1881.13</v>
      </c>
      <c r="B23" s="22">
        <v>1693</v>
      </c>
      <c r="C23" s="22">
        <v>1608.06</v>
      </c>
      <c r="D23" s="26">
        <v>776.74</v>
      </c>
      <c r="E23" s="22"/>
      <c r="F23" s="22">
        <v>1747.7</v>
      </c>
      <c r="G23" s="22">
        <v>1090</v>
      </c>
      <c r="H23" s="37"/>
      <c r="I23" s="54">
        <v>3030</v>
      </c>
      <c r="K23" s="21">
        <v>301</v>
      </c>
      <c r="L23" s="79">
        <v>120</v>
      </c>
      <c r="M23" s="43">
        <v>230</v>
      </c>
      <c r="N23" s="43">
        <v>382.5</v>
      </c>
      <c r="O23" s="43">
        <v>204</v>
      </c>
      <c r="P23" s="43">
        <v>60</v>
      </c>
      <c r="Q23" s="80">
        <v>240</v>
      </c>
      <c r="R23" s="80"/>
      <c r="S23" s="43">
        <v>610</v>
      </c>
      <c r="T23" s="22"/>
      <c r="U23" s="22">
        <v>408</v>
      </c>
      <c r="V23" s="22">
        <v>460</v>
      </c>
      <c r="W23" s="22">
        <v>4500</v>
      </c>
      <c r="X23" s="37">
        <v>42.5</v>
      </c>
      <c r="Y23" s="15"/>
    </row>
    <row r="24" spans="1:25" x14ac:dyDescent="0.3">
      <c r="A24" s="24"/>
      <c r="B24" s="22"/>
      <c r="C24" s="22"/>
      <c r="D24" s="25"/>
      <c r="E24" s="22"/>
      <c r="F24" s="22"/>
      <c r="G24" s="22"/>
      <c r="H24" s="37"/>
      <c r="I24" s="54">
        <v>230.6</v>
      </c>
      <c r="K24" s="21">
        <v>4480</v>
      </c>
      <c r="L24" s="79"/>
      <c r="M24" s="43">
        <v>417</v>
      </c>
      <c r="N24" s="43"/>
      <c r="O24" s="43">
        <v>4700</v>
      </c>
      <c r="P24" s="43" t="s">
        <v>30</v>
      </c>
      <c r="Q24" s="80">
        <v>476</v>
      </c>
      <c r="R24" s="81"/>
      <c r="S24" s="43"/>
      <c r="T24" s="22"/>
      <c r="U24" s="22">
        <v>5295</v>
      </c>
      <c r="V24" s="22">
        <v>60</v>
      </c>
      <c r="W24" s="22">
        <v>462</v>
      </c>
      <c r="X24" s="37"/>
      <c r="Y24" s="15"/>
    </row>
    <row r="25" spans="1:25" x14ac:dyDescent="0.3">
      <c r="A25" s="24"/>
      <c r="B25" s="22"/>
      <c r="C25" s="22"/>
      <c r="D25" s="22"/>
      <c r="E25" s="22"/>
      <c r="F25" s="22"/>
      <c r="G25" s="22"/>
      <c r="H25" s="37"/>
      <c r="I25" s="54">
        <v>3948.5</v>
      </c>
      <c r="K25" s="21">
        <v>360</v>
      </c>
      <c r="L25" s="79"/>
      <c r="M25" s="43">
        <v>5010</v>
      </c>
      <c r="N25" s="43"/>
      <c r="O25" s="43">
        <v>720</v>
      </c>
      <c r="P25" s="43"/>
      <c r="Q25" s="43">
        <v>3330</v>
      </c>
      <c r="R25" s="43"/>
      <c r="S25" s="43"/>
      <c r="T25" s="22"/>
      <c r="U25" s="22">
        <v>600</v>
      </c>
      <c r="V25" s="22"/>
      <c r="W25" s="22">
        <v>600</v>
      </c>
      <c r="X25" s="37"/>
      <c r="Y25" s="15"/>
    </row>
    <row r="26" spans="1:25" x14ac:dyDescent="0.3">
      <c r="A26" s="24"/>
      <c r="B26" s="22"/>
      <c r="C26" s="22"/>
      <c r="D26" s="22"/>
      <c r="E26" s="22"/>
      <c r="F26" s="22"/>
      <c r="G26" s="22"/>
      <c r="H26" s="37"/>
      <c r="I26" s="54">
        <v>1341.47</v>
      </c>
      <c r="K26" s="21"/>
      <c r="L26" s="79"/>
      <c r="M26" s="43">
        <v>720</v>
      </c>
      <c r="N26" s="43"/>
      <c r="O26" s="43"/>
      <c r="P26" s="43"/>
      <c r="Q26" s="43"/>
      <c r="R26" s="43"/>
      <c r="S26" s="43"/>
      <c r="T26" s="22"/>
      <c r="U26" s="22"/>
      <c r="V26" s="22"/>
      <c r="W26" s="22"/>
      <c r="X26" s="37"/>
      <c r="Y26" s="15"/>
    </row>
    <row r="27" spans="1:25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19268.170000000002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37"/>
      <c r="Y27" s="83"/>
    </row>
    <row r="28" spans="1:25" ht="15.6" thickTop="1" thickBot="1" x14ac:dyDescent="0.35">
      <c r="A28" s="24"/>
      <c r="B28" s="22"/>
      <c r="C28" s="22"/>
      <c r="D28" s="22"/>
      <c r="E28" s="22"/>
      <c r="F28" s="22"/>
      <c r="G28" s="22"/>
      <c r="H28" s="22"/>
      <c r="I28" s="40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7"/>
      <c r="Y28" s="16">
        <f>SUM(Y21:Y26)</f>
        <v>0</v>
      </c>
    </row>
    <row r="29" spans="1:25" ht="15" thickTop="1" x14ac:dyDescent="0.3">
      <c r="A29" s="24"/>
      <c r="B29" s="22"/>
      <c r="C29" s="22"/>
      <c r="D29" s="22"/>
      <c r="E29" s="22"/>
      <c r="F29" s="22"/>
      <c r="G29" s="22"/>
      <c r="H29" s="22"/>
      <c r="I29" s="27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8"/>
    </row>
    <row r="30" spans="1:25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</row>
    <row r="31" spans="1:25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2"/>
      <c r="X34" s="22"/>
      <c r="Y34" s="23"/>
    </row>
    <row r="35" spans="1:25" x14ac:dyDescent="0.3">
      <c r="A35" s="24">
        <f t="shared" ref="A35:G35" si="5">SUM(A21:A34)</f>
        <v>5951.13</v>
      </c>
      <c r="B35" s="22">
        <f t="shared" si="5"/>
        <v>6758</v>
      </c>
      <c r="C35" s="22">
        <f t="shared" si="5"/>
        <v>4383.0599999999995</v>
      </c>
      <c r="D35" s="22">
        <f t="shared" si="5"/>
        <v>3256.74</v>
      </c>
      <c r="E35" s="22">
        <f t="shared" si="5"/>
        <v>410</v>
      </c>
      <c r="F35" s="22">
        <f t="shared" si="5"/>
        <v>5557.7</v>
      </c>
      <c r="G35" s="22">
        <f t="shared" si="5"/>
        <v>5281.92</v>
      </c>
      <c r="H35" s="29">
        <f>SUM(A35:G35)+I27</f>
        <v>50866.720000000001</v>
      </c>
      <c r="I35" s="30" t="s">
        <v>7</v>
      </c>
      <c r="K35" s="24">
        <f t="shared" ref="K35:L35" si="6">SUM(K22:K34)</f>
        <v>5501</v>
      </c>
      <c r="L35" s="22">
        <f t="shared" si="6"/>
        <v>155</v>
      </c>
      <c r="M35" s="22">
        <f>SUM(M22:M34)</f>
        <v>6400</v>
      </c>
      <c r="N35" s="22">
        <f t="shared" ref="N35:Q35" si="7">SUM(N22:N34)</f>
        <v>417.5</v>
      </c>
      <c r="O35" s="22">
        <f t="shared" si="7"/>
        <v>6284</v>
      </c>
      <c r="P35" s="22">
        <f t="shared" si="7"/>
        <v>95</v>
      </c>
      <c r="Q35" s="22">
        <f t="shared" si="7"/>
        <v>4074</v>
      </c>
      <c r="R35" s="22">
        <f>SUM(R22:R34)</f>
        <v>110</v>
      </c>
      <c r="S35" s="22">
        <f t="shared" ref="S35:X35" si="8">SUM(S22:S34)</f>
        <v>694</v>
      </c>
      <c r="T35" s="22">
        <f t="shared" si="8"/>
        <v>15</v>
      </c>
      <c r="U35" s="22">
        <f t="shared" si="8"/>
        <v>6798</v>
      </c>
      <c r="V35" s="22">
        <f t="shared" si="8"/>
        <v>562.5</v>
      </c>
      <c r="W35" s="22">
        <f t="shared" si="8"/>
        <v>6282</v>
      </c>
      <c r="X35" s="22">
        <f t="shared" si="8"/>
        <v>222.5</v>
      </c>
      <c r="Y35" s="33">
        <f>K36+M36+O36+Q36+S36+U36+W36</f>
        <v>36033</v>
      </c>
    </row>
    <row r="36" spans="1:25" x14ac:dyDescent="0.3">
      <c r="A36" s="31">
        <v>5951.13</v>
      </c>
      <c r="B36" s="31">
        <v>6758</v>
      </c>
      <c r="C36" s="31">
        <v>4383.0600000000004</v>
      </c>
      <c r="D36" s="31">
        <v>3256.74</v>
      </c>
      <c r="E36" s="31">
        <v>410</v>
      </c>
      <c r="F36" s="31">
        <v>5557.7</v>
      </c>
      <c r="G36" s="31">
        <v>5281.92</v>
      </c>
      <c r="H36" s="22">
        <f>SUM(A36:G36)+I27</f>
        <v>50866.720000000001</v>
      </c>
      <c r="I36" s="33" t="s">
        <v>1</v>
      </c>
      <c r="K36" s="24">
        <v>5501</v>
      </c>
      <c r="L36" s="24">
        <v>155</v>
      </c>
      <c r="M36" s="24">
        <v>6400</v>
      </c>
      <c r="N36" s="24">
        <v>417.5</v>
      </c>
      <c r="O36" s="24">
        <v>6284</v>
      </c>
      <c r="P36" s="24">
        <v>95</v>
      </c>
      <c r="Q36" s="24">
        <v>4074</v>
      </c>
      <c r="R36" s="24">
        <v>110</v>
      </c>
      <c r="S36" s="24">
        <v>694</v>
      </c>
      <c r="T36" s="24">
        <v>15</v>
      </c>
      <c r="U36" s="24">
        <v>6798</v>
      </c>
      <c r="V36" s="24">
        <v>562.5</v>
      </c>
      <c r="W36" s="24">
        <v>6282</v>
      </c>
      <c r="X36" s="24">
        <v>222.5</v>
      </c>
      <c r="Y36" s="33">
        <f>L36+N36+P36+R36+T36+V36+X36</f>
        <v>1577.5</v>
      </c>
    </row>
    <row r="37" spans="1:25" ht="15" thickBot="1" x14ac:dyDescent="0.35">
      <c r="A37" s="34">
        <f>A35-A36</f>
        <v>0</v>
      </c>
      <c r="B37" s="35">
        <f>B35-B36</f>
        <v>0</v>
      </c>
      <c r="C37" s="35">
        <f t="shared" ref="C37:G37" si="9">C35-C36</f>
        <v>0</v>
      </c>
      <c r="D37" s="35">
        <f t="shared" si="9"/>
        <v>0</v>
      </c>
      <c r="E37" s="35">
        <f t="shared" si="9"/>
        <v>0</v>
      </c>
      <c r="F37" s="35">
        <f t="shared" si="9"/>
        <v>0</v>
      </c>
      <c r="G37" s="35">
        <f t="shared" si="9"/>
        <v>0</v>
      </c>
      <c r="H37" s="35"/>
      <c r="I37" s="36"/>
      <c r="K37" s="86">
        <f t="shared" ref="K37:L37" si="10">K35-K36</f>
        <v>0</v>
      </c>
      <c r="L37" s="86">
        <f t="shared" si="10"/>
        <v>0</v>
      </c>
      <c r="M37" s="86">
        <f>M35-M36</f>
        <v>0</v>
      </c>
      <c r="N37" s="86">
        <f t="shared" ref="N37:X37" si="11">N35-N36</f>
        <v>0</v>
      </c>
      <c r="O37" s="86">
        <f t="shared" si="11"/>
        <v>0</v>
      </c>
      <c r="P37" s="86">
        <f t="shared" si="11"/>
        <v>0</v>
      </c>
      <c r="Q37" s="86">
        <f t="shared" si="11"/>
        <v>0</v>
      </c>
      <c r="R37" s="86">
        <f t="shared" si="11"/>
        <v>0</v>
      </c>
      <c r="S37" s="86">
        <f t="shared" si="11"/>
        <v>0</v>
      </c>
      <c r="T37" s="86">
        <f t="shared" si="11"/>
        <v>0</v>
      </c>
      <c r="U37" s="86">
        <f t="shared" si="11"/>
        <v>0</v>
      </c>
      <c r="V37" s="86">
        <f t="shared" si="11"/>
        <v>0</v>
      </c>
      <c r="W37" s="86">
        <f t="shared" si="11"/>
        <v>0</v>
      </c>
      <c r="X37" s="86">
        <f t="shared" si="11"/>
        <v>0</v>
      </c>
      <c r="Y37" s="87"/>
    </row>
    <row r="38" spans="1:25" ht="15" thickTop="1" x14ac:dyDescent="0.3"/>
    <row r="41" spans="1:25" ht="15" thickBot="1" x14ac:dyDescent="0.35"/>
    <row r="42" spans="1:25" x14ac:dyDescent="0.3">
      <c r="A42" s="17">
        <v>45364</v>
      </c>
      <c r="B42" s="17">
        <v>45365</v>
      </c>
      <c r="C42" s="17">
        <v>45366</v>
      </c>
      <c r="D42" s="17">
        <v>45367</v>
      </c>
      <c r="E42" s="17">
        <v>45368</v>
      </c>
      <c r="F42" s="17">
        <v>45369</v>
      </c>
      <c r="G42" s="17">
        <v>45370</v>
      </c>
      <c r="H42" s="39"/>
      <c r="I42" s="13" t="s">
        <v>8</v>
      </c>
      <c r="K42" s="59">
        <v>45364</v>
      </c>
      <c r="L42" s="123"/>
      <c r="M42" s="59">
        <v>45365</v>
      </c>
      <c r="N42" s="123"/>
      <c r="O42" s="59">
        <v>45366</v>
      </c>
      <c r="P42" s="123"/>
      <c r="Q42" s="59">
        <v>45367</v>
      </c>
      <c r="R42" s="123"/>
      <c r="S42" s="59">
        <v>45368</v>
      </c>
      <c r="T42" s="123"/>
      <c r="U42" s="59">
        <v>45369</v>
      </c>
      <c r="V42" s="123"/>
      <c r="W42" s="59">
        <v>45370</v>
      </c>
      <c r="X42" s="123"/>
      <c r="Y42" s="20"/>
    </row>
    <row r="43" spans="1:25" ht="15" thickBot="1" x14ac:dyDescent="0.35">
      <c r="A43" s="21">
        <v>2086.19</v>
      </c>
      <c r="B43" s="22">
        <v>1210</v>
      </c>
      <c r="C43" s="22">
        <v>955</v>
      </c>
      <c r="D43" s="22">
        <v>870</v>
      </c>
      <c r="E43" s="22">
        <v>495</v>
      </c>
      <c r="F43" s="22">
        <v>1195</v>
      </c>
      <c r="G43" s="22">
        <v>1275</v>
      </c>
      <c r="H43" s="37"/>
      <c r="I43" s="14">
        <v>5922.75</v>
      </c>
      <c r="K43" s="124" t="s">
        <v>10</v>
      </c>
      <c r="L43" s="125" t="s">
        <v>11</v>
      </c>
      <c r="M43" s="126" t="s">
        <v>10</v>
      </c>
      <c r="N43" s="126" t="s">
        <v>11</v>
      </c>
      <c r="O43" s="126" t="s">
        <v>10</v>
      </c>
      <c r="P43" s="126" t="s">
        <v>11</v>
      </c>
      <c r="Q43" s="126" t="s">
        <v>10</v>
      </c>
      <c r="R43" s="126" t="s">
        <v>11</v>
      </c>
      <c r="S43" s="126" t="s">
        <v>10</v>
      </c>
      <c r="T43" s="126" t="s">
        <v>11</v>
      </c>
      <c r="U43" s="126" t="s">
        <v>10</v>
      </c>
      <c r="V43" s="126" t="s">
        <v>11</v>
      </c>
      <c r="W43" s="126" t="s">
        <v>10</v>
      </c>
      <c r="X43" s="126" t="s">
        <v>11</v>
      </c>
      <c r="Y43" s="87"/>
    </row>
    <row r="44" spans="1:25" x14ac:dyDescent="0.3">
      <c r="A44" s="24">
        <v>3035</v>
      </c>
      <c r="B44" s="22">
        <v>2425</v>
      </c>
      <c r="C44" s="22">
        <v>2275</v>
      </c>
      <c r="D44" s="22">
        <v>1070</v>
      </c>
      <c r="E44" s="25"/>
      <c r="F44" s="22">
        <v>2845</v>
      </c>
      <c r="G44" s="22">
        <v>2405</v>
      </c>
      <c r="H44" s="37"/>
      <c r="I44" s="14">
        <v>3317.5</v>
      </c>
      <c r="K44" s="75">
        <v>360</v>
      </c>
      <c r="L44" s="76">
        <v>42.5</v>
      </c>
      <c r="M44" s="77">
        <v>305</v>
      </c>
      <c r="N44" s="77">
        <v>32.5</v>
      </c>
      <c r="O44" s="77">
        <v>395</v>
      </c>
      <c r="P44" s="77">
        <v>50</v>
      </c>
      <c r="Q44" s="77">
        <v>204</v>
      </c>
      <c r="R44" s="77">
        <v>70</v>
      </c>
      <c r="S44" s="78">
        <v>84</v>
      </c>
      <c r="T44" s="69">
        <v>15</v>
      </c>
      <c r="U44" s="63">
        <v>245</v>
      </c>
      <c r="V44" s="63">
        <v>184.9</v>
      </c>
      <c r="W44" s="63">
        <v>305</v>
      </c>
      <c r="X44" s="65">
        <v>328.5</v>
      </c>
      <c r="Y44" s="122"/>
    </row>
    <row r="45" spans="1:25" x14ac:dyDescent="0.3">
      <c r="A45" s="24">
        <v>1180</v>
      </c>
      <c r="B45" s="22">
        <v>1897.7</v>
      </c>
      <c r="C45" s="22">
        <v>1893.36</v>
      </c>
      <c r="D45" s="26">
        <v>1177.8599999999999</v>
      </c>
      <c r="E45" s="22"/>
      <c r="F45" s="22">
        <v>2093.6</v>
      </c>
      <c r="G45" s="22">
        <v>1693.12</v>
      </c>
      <c r="H45" s="37"/>
      <c r="I45" s="15">
        <v>5289.97</v>
      </c>
      <c r="K45" s="21">
        <v>4270</v>
      </c>
      <c r="L45" s="79">
        <v>60</v>
      </c>
      <c r="M45" s="43">
        <v>429</v>
      </c>
      <c r="N45" s="43"/>
      <c r="O45" s="43">
        <v>204</v>
      </c>
      <c r="P45" s="43">
        <v>60</v>
      </c>
      <c r="Q45" s="80">
        <v>180</v>
      </c>
      <c r="R45" s="80">
        <v>2040</v>
      </c>
      <c r="S45" s="43">
        <v>550</v>
      </c>
      <c r="T45" s="22"/>
      <c r="U45" s="22">
        <v>336</v>
      </c>
      <c r="V45" s="22">
        <v>60</v>
      </c>
      <c r="W45" s="22">
        <v>456</v>
      </c>
      <c r="X45" s="37">
        <v>57.5</v>
      </c>
      <c r="Y45" s="15"/>
    </row>
    <row r="46" spans="1:25" x14ac:dyDescent="0.3">
      <c r="A46" s="24"/>
      <c r="B46" s="22"/>
      <c r="C46" s="22">
        <v>240</v>
      </c>
      <c r="D46" s="25"/>
      <c r="E46" s="22"/>
      <c r="F46" s="22"/>
      <c r="G46" s="22"/>
      <c r="H46" s="37"/>
      <c r="I46" s="15">
        <v>3738.14</v>
      </c>
      <c r="K46" s="21">
        <v>464.5</v>
      </c>
      <c r="L46" s="79"/>
      <c r="M46" s="43">
        <v>4685</v>
      </c>
      <c r="N46" s="43"/>
      <c r="O46" s="43">
        <v>4745</v>
      </c>
      <c r="P46" s="43"/>
      <c r="Q46" s="80">
        <v>2660</v>
      </c>
      <c r="R46" s="81"/>
      <c r="S46" s="43"/>
      <c r="T46" s="22"/>
      <c r="U46" s="22">
        <v>4805</v>
      </c>
      <c r="V46" s="22"/>
      <c r="W46" s="22">
        <v>4575</v>
      </c>
      <c r="X46" s="37">
        <v>382.5</v>
      </c>
      <c r="Y46" s="15"/>
    </row>
    <row r="47" spans="1:25" x14ac:dyDescent="0.3">
      <c r="A47" s="24"/>
      <c r="B47" s="22"/>
      <c r="C47" s="22"/>
      <c r="D47" s="22"/>
      <c r="E47" s="22"/>
      <c r="F47" s="22"/>
      <c r="G47" s="22"/>
      <c r="H47" s="37"/>
      <c r="I47" s="15">
        <v>315.54000000000002</v>
      </c>
      <c r="K47" s="21">
        <v>280</v>
      </c>
      <c r="L47" s="79"/>
      <c r="M47" s="43">
        <v>540</v>
      </c>
      <c r="N47" s="43"/>
      <c r="O47" s="43">
        <v>660</v>
      </c>
      <c r="P47" s="43"/>
      <c r="Q47" s="43"/>
      <c r="R47" s="43"/>
      <c r="S47" s="43"/>
      <c r="T47" s="22"/>
      <c r="U47" s="22">
        <v>480</v>
      </c>
      <c r="V47" s="22"/>
      <c r="W47" s="22">
        <v>480</v>
      </c>
      <c r="X47" s="37">
        <v>1680</v>
      </c>
      <c r="Y47" s="15"/>
    </row>
    <row r="48" spans="1:25" x14ac:dyDescent="0.3">
      <c r="A48" s="24"/>
      <c r="B48" s="22"/>
      <c r="C48" s="22"/>
      <c r="D48" s="22"/>
      <c r="E48" s="22"/>
      <c r="F48" s="22"/>
      <c r="G48" s="22"/>
      <c r="H48" s="37"/>
      <c r="I48" s="54"/>
      <c r="K48" s="21"/>
      <c r="L48" s="79"/>
      <c r="M48" s="43"/>
      <c r="N48" s="43"/>
      <c r="O48" s="43"/>
      <c r="P48" s="43"/>
      <c r="Q48" s="43"/>
      <c r="R48" s="43"/>
      <c r="S48" s="43"/>
      <c r="T48" s="22"/>
      <c r="U48" s="22"/>
      <c r="V48" s="22"/>
      <c r="W48" s="22"/>
      <c r="X48" s="37"/>
      <c r="Y48" s="15"/>
    </row>
    <row r="49" spans="1:25" ht="15" thickBot="1" x14ac:dyDescent="0.35">
      <c r="A49" s="24"/>
      <c r="B49" s="22"/>
      <c r="C49" s="22"/>
      <c r="D49" s="22"/>
      <c r="E49" s="22"/>
      <c r="F49" s="22"/>
      <c r="G49" s="22"/>
      <c r="H49" s="37"/>
      <c r="I49" s="16">
        <f>SUM(I43:I48)</f>
        <v>18583.900000000001</v>
      </c>
      <c r="K49" s="21"/>
      <c r="L49" s="79"/>
      <c r="M49" s="43"/>
      <c r="N49" s="43"/>
      <c r="O49" s="43"/>
      <c r="P49" s="43"/>
      <c r="Q49" s="43"/>
      <c r="R49" s="43"/>
      <c r="S49" s="43"/>
      <c r="T49" s="22"/>
      <c r="U49" s="22"/>
      <c r="V49" s="22"/>
      <c r="W49" s="22"/>
      <c r="X49" s="37"/>
      <c r="Y49" s="83"/>
    </row>
    <row r="50" spans="1:25" ht="15.6" thickTop="1" thickBot="1" x14ac:dyDescent="0.35">
      <c r="A50" s="24"/>
      <c r="B50" s="22"/>
      <c r="C50" s="22"/>
      <c r="D50" s="22"/>
      <c r="E50" s="22"/>
      <c r="F50" s="22"/>
      <c r="G50" s="22"/>
      <c r="H50" s="22"/>
      <c r="I50" s="40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7"/>
      <c r="Y50" s="16">
        <f>SUM(Y43:Y48)</f>
        <v>0</v>
      </c>
    </row>
    <row r="51" spans="1:25" ht="15" thickTop="1" x14ac:dyDescent="0.3">
      <c r="A51" s="24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38"/>
    </row>
    <row r="52" spans="1:25" x14ac:dyDescent="0.3">
      <c r="A52" s="24"/>
      <c r="B52" s="22"/>
      <c r="C52" s="22"/>
      <c r="D52" s="22"/>
      <c r="E52" s="22"/>
      <c r="F52" s="22"/>
      <c r="G52" s="22"/>
      <c r="H52" s="22"/>
      <c r="I52" s="27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</row>
    <row r="53" spans="1:25" x14ac:dyDescent="0.3">
      <c r="A53" s="24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</row>
    <row r="54" spans="1:25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</row>
    <row r="55" spans="1:25" x14ac:dyDescent="0.3">
      <c r="A55" s="24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3"/>
    </row>
    <row r="56" spans="1:25" x14ac:dyDescent="0.3">
      <c r="A56" s="24"/>
      <c r="B56" s="22"/>
      <c r="C56" s="22"/>
      <c r="D56" s="22"/>
      <c r="E56" s="22"/>
      <c r="F56" s="28"/>
      <c r="G56" s="22"/>
      <c r="H56" s="22"/>
      <c r="I56" s="23"/>
      <c r="K56" s="24"/>
      <c r="L56" s="56"/>
      <c r="M56" s="22"/>
      <c r="N56" s="22"/>
      <c r="O56" s="22"/>
      <c r="P56" s="22"/>
      <c r="Q56" s="22"/>
      <c r="R56" s="22"/>
      <c r="S56" s="22"/>
      <c r="T56" s="22"/>
      <c r="U56" s="28"/>
      <c r="V56" s="28"/>
      <c r="W56" s="22"/>
      <c r="X56" s="22"/>
      <c r="Y56" s="23"/>
    </row>
    <row r="57" spans="1:25" x14ac:dyDescent="0.3">
      <c r="A57" s="24">
        <f t="shared" ref="A57:G57" si="12">SUM(A43:A56)</f>
        <v>6301.1900000000005</v>
      </c>
      <c r="B57" s="22">
        <f t="shared" si="12"/>
        <v>5532.7</v>
      </c>
      <c r="C57" s="22">
        <f t="shared" si="12"/>
        <v>5363.36</v>
      </c>
      <c r="D57" s="22">
        <f t="shared" si="12"/>
        <v>3117.8599999999997</v>
      </c>
      <c r="E57" s="22">
        <f t="shared" si="12"/>
        <v>495</v>
      </c>
      <c r="F57" s="22">
        <f t="shared" si="12"/>
        <v>6133.6</v>
      </c>
      <c r="G57" s="22">
        <f t="shared" si="12"/>
        <v>5373.12</v>
      </c>
      <c r="H57" s="29">
        <f>SUM(A57:G57)+I49</f>
        <v>50900.729999999996</v>
      </c>
      <c r="I57" s="30" t="s">
        <v>7</v>
      </c>
      <c r="K57" s="24">
        <f t="shared" ref="K57:L57" si="13">SUM(K44:K56)</f>
        <v>5374.5</v>
      </c>
      <c r="L57" s="22">
        <f t="shared" si="13"/>
        <v>102.5</v>
      </c>
      <c r="M57" s="22">
        <f>SUM(M44:M56)</f>
        <v>5959</v>
      </c>
      <c r="N57" s="22">
        <f t="shared" ref="N57:Q57" si="14">SUM(N44:N56)</f>
        <v>32.5</v>
      </c>
      <c r="O57" s="22">
        <f t="shared" si="14"/>
        <v>6004</v>
      </c>
      <c r="P57" s="22">
        <f t="shared" si="14"/>
        <v>110</v>
      </c>
      <c r="Q57" s="22">
        <f t="shared" si="14"/>
        <v>3044</v>
      </c>
      <c r="R57" s="22">
        <f>SUM(R44:R56)</f>
        <v>2110</v>
      </c>
      <c r="S57" s="22">
        <f t="shared" ref="S57:X57" si="15">SUM(S44:S56)</f>
        <v>634</v>
      </c>
      <c r="T57" s="22">
        <f t="shared" si="15"/>
        <v>15</v>
      </c>
      <c r="U57" s="22">
        <f t="shared" si="15"/>
        <v>5866</v>
      </c>
      <c r="V57" s="22">
        <f t="shared" si="15"/>
        <v>244.9</v>
      </c>
      <c r="W57" s="22">
        <f t="shared" si="15"/>
        <v>5816</v>
      </c>
      <c r="X57" s="22">
        <f t="shared" si="15"/>
        <v>2448.5</v>
      </c>
      <c r="Y57" s="33">
        <f>K58+M58+O58+Q58+S58+U58+W58</f>
        <v>32697.5</v>
      </c>
    </row>
    <row r="58" spans="1:25" x14ac:dyDescent="0.3">
      <c r="A58" s="31">
        <v>6301.19</v>
      </c>
      <c r="B58" s="31">
        <v>5532.7</v>
      </c>
      <c r="C58" s="31">
        <f>5123.36+240</f>
        <v>5363.36</v>
      </c>
      <c r="D58" s="31">
        <v>3117.86</v>
      </c>
      <c r="E58" s="31">
        <v>495</v>
      </c>
      <c r="F58" s="31">
        <v>6133.6</v>
      </c>
      <c r="G58" s="31">
        <v>5373.12</v>
      </c>
      <c r="H58" s="22">
        <f>SUM(A58:G58)+I49</f>
        <v>50900.729999999996</v>
      </c>
      <c r="I58" s="33" t="s">
        <v>1</v>
      </c>
      <c r="K58" s="24">
        <v>5374.5</v>
      </c>
      <c r="L58" s="24">
        <v>102.5</v>
      </c>
      <c r="M58" s="24">
        <v>5959</v>
      </c>
      <c r="N58" s="24">
        <v>32.5</v>
      </c>
      <c r="O58" s="24">
        <v>6004</v>
      </c>
      <c r="P58" s="24">
        <v>110</v>
      </c>
      <c r="Q58" s="24">
        <v>3044</v>
      </c>
      <c r="R58" s="24">
        <v>2110</v>
      </c>
      <c r="S58" s="24">
        <v>634</v>
      </c>
      <c r="T58" s="24">
        <v>15</v>
      </c>
      <c r="U58" s="24">
        <v>5866</v>
      </c>
      <c r="V58" s="24">
        <v>244.9</v>
      </c>
      <c r="W58" s="24">
        <v>5816</v>
      </c>
      <c r="X58" s="24">
        <v>2448.5</v>
      </c>
      <c r="Y58" s="33">
        <f>L58+N58+P58+R58+T58+V58+X58</f>
        <v>5063.3999999999996</v>
      </c>
    </row>
    <row r="59" spans="1:25" ht="15" thickBot="1" x14ac:dyDescent="0.35">
      <c r="A59" s="34">
        <f>A57-A58</f>
        <v>0</v>
      </c>
      <c r="B59" s="35">
        <f>B57-B58</f>
        <v>0</v>
      </c>
      <c r="C59" s="35">
        <f t="shared" ref="C59:G59" si="16">C57-C58</f>
        <v>0</v>
      </c>
      <c r="D59" s="35">
        <f t="shared" si="16"/>
        <v>0</v>
      </c>
      <c r="E59" s="35">
        <f t="shared" si="16"/>
        <v>0</v>
      </c>
      <c r="F59" s="35">
        <f t="shared" si="16"/>
        <v>0</v>
      </c>
      <c r="G59" s="35">
        <f t="shared" si="16"/>
        <v>0</v>
      </c>
      <c r="H59" s="35"/>
      <c r="I59" s="36"/>
      <c r="K59" s="86">
        <f t="shared" ref="K59:L59" si="17">K57-K58</f>
        <v>0</v>
      </c>
      <c r="L59" s="86">
        <f t="shared" si="17"/>
        <v>0</v>
      </c>
      <c r="M59" s="86">
        <f>M57-M58</f>
        <v>0</v>
      </c>
      <c r="N59" s="86">
        <f t="shared" ref="N59:X59" si="18">N57-N58</f>
        <v>0</v>
      </c>
      <c r="O59" s="86">
        <f t="shared" si="18"/>
        <v>0</v>
      </c>
      <c r="P59" s="86">
        <f t="shared" si="18"/>
        <v>0</v>
      </c>
      <c r="Q59" s="86">
        <f t="shared" si="18"/>
        <v>0</v>
      </c>
      <c r="R59" s="86">
        <f t="shared" si="18"/>
        <v>0</v>
      </c>
      <c r="S59" s="86">
        <f t="shared" si="18"/>
        <v>0</v>
      </c>
      <c r="T59" s="86">
        <f t="shared" si="18"/>
        <v>0</v>
      </c>
      <c r="U59" s="86">
        <f t="shared" si="18"/>
        <v>0</v>
      </c>
      <c r="V59" s="86">
        <f t="shared" si="18"/>
        <v>0</v>
      </c>
      <c r="W59" s="86">
        <f t="shared" si="18"/>
        <v>0</v>
      </c>
      <c r="X59" s="86">
        <f t="shared" si="18"/>
        <v>0</v>
      </c>
      <c r="Y59" s="87"/>
    </row>
    <row r="60" spans="1:25" ht="15.6" thickTop="1" thickBot="1" x14ac:dyDescent="0.35"/>
    <row r="61" spans="1:25" x14ac:dyDescent="0.3">
      <c r="A61" s="17">
        <v>45371</v>
      </c>
      <c r="B61" s="17">
        <v>45372</v>
      </c>
      <c r="C61" s="17">
        <v>45373</v>
      </c>
      <c r="D61" s="17">
        <v>45374</v>
      </c>
      <c r="E61" s="17">
        <v>45375</v>
      </c>
      <c r="F61" s="17">
        <v>45376</v>
      </c>
      <c r="G61" s="17">
        <v>45377</v>
      </c>
      <c r="H61" s="39"/>
      <c r="I61" s="13" t="s">
        <v>8</v>
      </c>
      <c r="K61" s="59">
        <v>45371</v>
      </c>
      <c r="L61" s="123"/>
      <c r="M61" s="59">
        <v>45372</v>
      </c>
      <c r="N61" s="123"/>
      <c r="O61" s="59">
        <v>45373</v>
      </c>
      <c r="P61" s="123"/>
      <c r="Q61" s="59">
        <v>45374</v>
      </c>
      <c r="R61" s="123"/>
      <c r="S61" s="59">
        <v>45375</v>
      </c>
      <c r="T61" s="123"/>
      <c r="U61" s="59">
        <v>45376</v>
      </c>
      <c r="V61" s="123"/>
      <c r="W61" s="59">
        <v>45377</v>
      </c>
      <c r="X61" s="123"/>
      <c r="Y61" s="20"/>
    </row>
    <row r="62" spans="1:25" ht="15" thickBot="1" x14ac:dyDescent="0.35">
      <c r="A62" s="21">
        <v>1735.59</v>
      </c>
      <c r="B62" s="22">
        <v>2750</v>
      </c>
      <c r="C62" s="22">
        <v>1060</v>
      </c>
      <c r="D62" s="22">
        <v>1075</v>
      </c>
      <c r="E62" s="22">
        <v>580</v>
      </c>
      <c r="F62" s="22">
        <v>1000</v>
      </c>
      <c r="G62" s="22">
        <v>1224.1500000000001</v>
      </c>
      <c r="H62" s="37"/>
      <c r="I62" s="127">
        <v>2937.5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26" t="s">
        <v>11</v>
      </c>
      <c r="Y62" s="87"/>
    </row>
    <row r="63" spans="1:25" x14ac:dyDescent="0.3">
      <c r="A63" s="24">
        <v>2630</v>
      </c>
      <c r="B63" s="22">
        <v>1245</v>
      </c>
      <c r="C63" s="22">
        <v>2490</v>
      </c>
      <c r="D63" s="22">
        <v>1945</v>
      </c>
      <c r="E63" s="25"/>
      <c r="F63" s="22">
        <v>3040</v>
      </c>
      <c r="G63" s="22">
        <v>157.77000000000001</v>
      </c>
      <c r="H63" s="37"/>
      <c r="I63" s="127">
        <v>5922.75</v>
      </c>
      <c r="K63" s="75">
        <v>360</v>
      </c>
      <c r="L63" s="76">
        <v>20</v>
      </c>
      <c r="M63" s="77">
        <v>4395</v>
      </c>
      <c r="N63" s="77">
        <v>27.5</v>
      </c>
      <c r="O63" s="77">
        <v>390</v>
      </c>
      <c r="P63" s="77">
        <v>57.5</v>
      </c>
      <c r="Q63" s="77">
        <v>174</v>
      </c>
      <c r="R63" s="77">
        <v>40</v>
      </c>
      <c r="S63" s="78">
        <v>480</v>
      </c>
      <c r="T63" s="69">
        <v>15</v>
      </c>
      <c r="U63" s="63">
        <v>365</v>
      </c>
      <c r="V63" s="63">
        <v>67.5</v>
      </c>
      <c r="W63" s="63">
        <v>360</v>
      </c>
      <c r="X63" s="65">
        <v>50</v>
      </c>
      <c r="Y63" s="122"/>
    </row>
    <row r="64" spans="1:25" x14ac:dyDescent="0.3">
      <c r="A64" s="24">
        <v>1365</v>
      </c>
      <c r="B64" s="22"/>
      <c r="C64" s="22">
        <v>2085.83</v>
      </c>
      <c r="D64" s="26">
        <v>2282.37</v>
      </c>
      <c r="E64" s="22"/>
      <c r="F64" s="22">
        <v>1674.99</v>
      </c>
      <c r="G64" s="22">
        <v>2885</v>
      </c>
      <c r="H64" s="37"/>
      <c r="I64" s="54">
        <v>5605.51</v>
      </c>
      <c r="K64" s="21">
        <v>4360</v>
      </c>
      <c r="L64" s="79">
        <v>15</v>
      </c>
      <c r="M64" s="43">
        <v>441</v>
      </c>
      <c r="N64" s="43">
        <v>60</v>
      </c>
      <c r="O64" s="43">
        <v>252</v>
      </c>
      <c r="P64" s="43">
        <v>60</v>
      </c>
      <c r="Q64" s="80">
        <v>336</v>
      </c>
      <c r="R64" s="80"/>
      <c r="S64" s="43">
        <v>84</v>
      </c>
      <c r="T64" s="22"/>
      <c r="U64" s="22">
        <v>351</v>
      </c>
      <c r="V64" s="22"/>
      <c r="W64" s="22">
        <v>4765</v>
      </c>
      <c r="X64" s="37">
        <v>24</v>
      </c>
      <c r="Y64" s="15"/>
    </row>
    <row r="65" spans="1:25" x14ac:dyDescent="0.3">
      <c r="A65" s="24"/>
      <c r="B65" s="22"/>
      <c r="C65" s="22"/>
      <c r="D65" s="25"/>
      <c r="E65" s="22"/>
      <c r="F65" s="22"/>
      <c r="G65" s="22">
        <v>1235</v>
      </c>
      <c r="H65" s="37"/>
      <c r="I65" s="54">
        <v>4005.15</v>
      </c>
      <c r="K65" s="21">
        <v>294</v>
      </c>
      <c r="L65" s="79"/>
      <c r="M65" s="43">
        <v>275</v>
      </c>
      <c r="N65" s="43"/>
      <c r="O65" s="43">
        <v>4890</v>
      </c>
      <c r="P65" s="43"/>
      <c r="Q65" s="80">
        <v>2810</v>
      </c>
      <c r="R65" s="81"/>
      <c r="S65" s="43"/>
      <c r="T65" s="22"/>
      <c r="U65" s="22">
        <v>5235</v>
      </c>
      <c r="V65" s="22"/>
      <c r="W65" s="22">
        <v>456</v>
      </c>
      <c r="X65" s="37">
        <v>60</v>
      </c>
      <c r="Y65" s="15"/>
    </row>
    <row r="66" spans="1:25" x14ac:dyDescent="0.3">
      <c r="A66" s="24"/>
      <c r="B66" s="22"/>
      <c r="C66" s="22"/>
      <c r="D66" s="22"/>
      <c r="E66" s="22"/>
      <c r="F66" s="22"/>
      <c r="G66" s="22"/>
      <c r="H66" s="37"/>
      <c r="I66" s="54">
        <v>370</v>
      </c>
      <c r="K66" s="21">
        <v>250</v>
      </c>
      <c r="L66" s="79"/>
      <c r="M66" s="43">
        <v>23</v>
      </c>
      <c r="N66" s="43"/>
      <c r="O66" s="43">
        <v>480</v>
      </c>
      <c r="P66" s="43"/>
      <c r="Q66" s="43">
        <v>300</v>
      </c>
      <c r="R66" s="43"/>
      <c r="S66" s="43"/>
      <c r="T66" s="22"/>
      <c r="U66" s="22">
        <v>660</v>
      </c>
      <c r="V66" s="22"/>
      <c r="W66" s="22">
        <v>375</v>
      </c>
      <c r="X66" s="37"/>
      <c r="Y66" s="15"/>
    </row>
    <row r="67" spans="1:25" x14ac:dyDescent="0.3">
      <c r="A67" s="24"/>
      <c r="B67" s="22"/>
      <c r="C67" s="22"/>
      <c r="D67" s="22"/>
      <c r="E67" s="22"/>
      <c r="F67" s="22"/>
      <c r="G67" s="22"/>
      <c r="H67" s="37"/>
      <c r="I67" s="54">
        <v>1523.12</v>
      </c>
      <c r="K67" s="21">
        <v>27</v>
      </c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/>
      <c r="X67" s="37"/>
      <c r="Y67" s="15"/>
    </row>
    <row r="68" spans="1:25" ht="15" thickBot="1" x14ac:dyDescent="0.35">
      <c r="A68" s="24"/>
      <c r="B68" s="22"/>
      <c r="C68" s="22"/>
      <c r="D68" s="22"/>
      <c r="E68" s="22"/>
      <c r="F68" s="22"/>
      <c r="G68" s="22"/>
      <c r="H68" s="37"/>
      <c r="I68" s="16">
        <f>SUM(I62:I67)</f>
        <v>20364.03</v>
      </c>
      <c r="K68" s="21"/>
      <c r="L68" s="79"/>
      <c r="M68" s="43"/>
      <c r="N68" s="43"/>
      <c r="O68" s="43"/>
      <c r="P68" s="43"/>
      <c r="Q68" s="43"/>
      <c r="R68" s="43"/>
      <c r="S68" s="43"/>
      <c r="T68" s="22"/>
      <c r="U68" s="22"/>
      <c r="V68" s="22"/>
      <c r="W68" s="22"/>
      <c r="X68" s="37"/>
      <c r="Y68" s="83"/>
    </row>
    <row r="69" spans="1:25" ht="15.6" thickTop="1" thickBot="1" x14ac:dyDescent="0.35">
      <c r="A69" s="24"/>
      <c r="B69" s="22"/>
      <c r="C69" s="22"/>
      <c r="D69" s="22"/>
      <c r="E69" s="22"/>
      <c r="F69" s="22"/>
      <c r="G69" s="22"/>
      <c r="H69" s="22"/>
      <c r="I69" s="40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37"/>
      <c r="Y69" s="16">
        <f>SUM(Y62:Y67)</f>
        <v>0</v>
      </c>
    </row>
    <row r="70" spans="1:25" ht="15" thickTop="1" x14ac:dyDescent="0.3">
      <c r="A70" s="24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38"/>
    </row>
    <row r="71" spans="1:25" x14ac:dyDescent="0.3">
      <c r="A71" s="24"/>
      <c r="B71" s="22"/>
      <c r="C71" s="22"/>
      <c r="D71" s="22"/>
      <c r="E71" s="22"/>
      <c r="F71" s="22"/>
      <c r="G71" s="22"/>
      <c r="H71" s="22"/>
      <c r="I71" s="27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1:25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</row>
    <row r="73" spans="1:25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3"/>
    </row>
    <row r="74" spans="1:25" x14ac:dyDescent="0.3">
      <c r="A74" s="24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3"/>
    </row>
    <row r="75" spans="1:25" x14ac:dyDescent="0.3">
      <c r="A75" s="24"/>
      <c r="B75" s="22"/>
      <c r="C75" s="22"/>
      <c r="D75" s="22"/>
      <c r="E75" s="22"/>
      <c r="F75" s="28"/>
      <c r="G75" s="22"/>
      <c r="H75" s="22"/>
      <c r="I75" s="23"/>
      <c r="K75" s="24"/>
      <c r="L75" s="56"/>
      <c r="M75" s="22"/>
      <c r="N75" s="22"/>
      <c r="O75" s="22"/>
      <c r="P75" s="22"/>
      <c r="Q75" s="22"/>
      <c r="R75" s="22"/>
      <c r="S75" s="22"/>
      <c r="T75" s="22"/>
      <c r="U75" s="28"/>
      <c r="V75" s="28"/>
      <c r="W75" s="22"/>
      <c r="X75" s="22"/>
      <c r="Y75" s="23"/>
    </row>
    <row r="76" spans="1:25" x14ac:dyDescent="0.3">
      <c r="A76" s="24">
        <f t="shared" ref="A76:G76" si="19">SUM(A62:A75)</f>
        <v>5730.59</v>
      </c>
      <c r="B76" s="22">
        <f t="shared" si="19"/>
        <v>3995</v>
      </c>
      <c r="C76" s="22">
        <f t="shared" si="19"/>
        <v>5635.83</v>
      </c>
      <c r="D76" s="22">
        <f t="shared" si="19"/>
        <v>5302.37</v>
      </c>
      <c r="E76" s="22">
        <f t="shared" si="19"/>
        <v>580</v>
      </c>
      <c r="F76" s="22">
        <f t="shared" si="19"/>
        <v>5714.99</v>
      </c>
      <c r="G76" s="22">
        <f t="shared" si="19"/>
        <v>5501.92</v>
      </c>
      <c r="H76" s="29">
        <f>SUM(A76:G76)+I68</f>
        <v>52824.729999999996</v>
      </c>
      <c r="I76" s="30" t="s">
        <v>7</v>
      </c>
      <c r="K76" s="24">
        <f t="shared" ref="K76:L76" si="20">SUM(K63:K75)</f>
        <v>5291</v>
      </c>
      <c r="L76" s="22">
        <f t="shared" si="20"/>
        <v>35</v>
      </c>
      <c r="M76" s="22">
        <f>SUM(M63:M75)</f>
        <v>5134</v>
      </c>
      <c r="N76" s="22">
        <f t="shared" ref="N76:Q76" si="21">SUM(N63:N75)</f>
        <v>87.5</v>
      </c>
      <c r="O76" s="22">
        <f t="shared" si="21"/>
        <v>6012</v>
      </c>
      <c r="P76" s="22">
        <f t="shared" si="21"/>
        <v>117.5</v>
      </c>
      <c r="Q76" s="22">
        <f t="shared" si="21"/>
        <v>3620</v>
      </c>
      <c r="R76" s="22">
        <f>SUM(R63:R75)</f>
        <v>40</v>
      </c>
      <c r="S76" s="22">
        <f t="shared" ref="S76:X76" si="22">SUM(S63:S75)</f>
        <v>564</v>
      </c>
      <c r="T76" s="22">
        <f t="shared" si="22"/>
        <v>15</v>
      </c>
      <c r="U76" s="22">
        <f t="shared" si="22"/>
        <v>6611</v>
      </c>
      <c r="V76" s="22">
        <f t="shared" si="22"/>
        <v>67.5</v>
      </c>
      <c r="W76" s="22">
        <f t="shared" si="22"/>
        <v>5956</v>
      </c>
      <c r="X76" s="22">
        <f t="shared" si="22"/>
        <v>134</v>
      </c>
      <c r="Y76" s="33">
        <f>K77+M77+O77+Q77+S77+U77+W77</f>
        <v>33106</v>
      </c>
    </row>
    <row r="77" spans="1:25" x14ac:dyDescent="0.3">
      <c r="A77" s="31">
        <v>5730.59</v>
      </c>
      <c r="B77" s="31">
        <v>3995</v>
      </c>
      <c r="C77" s="31">
        <v>5635.83</v>
      </c>
      <c r="D77" s="31">
        <v>5302.37</v>
      </c>
      <c r="E77" s="31">
        <v>580</v>
      </c>
      <c r="F77" s="31">
        <f>5714.99</f>
        <v>5714.99</v>
      </c>
      <c r="G77" s="31">
        <v>5501.92</v>
      </c>
      <c r="H77" s="22">
        <f>SUM(A77:G77)+I68</f>
        <v>52824.729999999996</v>
      </c>
      <c r="I77" s="33" t="s">
        <v>1</v>
      </c>
      <c r="K77" s="24">
        <v>5291</v>
      </c>
      <c r="L77" s="24">
        <v>35</v>
      </c>
      <c r="M77" s="24">
        <v>5134</v>
      </c>
      <c r="N77" s="24">
        <v>87.5</v>
      </c>
      <c r="O77" s="24">
        <v>6012</v>
      </c>
      <c r="P77" s="24">
        <v>117.5</v>
      </c>
      <c r="Q77" s="24">
        <v>3620</v>
      </c>
      <c r="R77" s="24">
        <v>40</v>
      </c>
      <c r="S77" s="24">
        <v>564</v>
      </c>
      <c r="T77" s="24">
        <v>15</v>
      </c>
      <c r="U77" s="24">
        <v>6611</v>
      </c>
      <c r="V77" s="24">
        <v>67.5</v>
      </c>
      <c r="W77" s="24">
        <v>5874</v>
      </c>
      <c r="X77" s="24">
        <v>134</v>
      </c>
      <c r="Y77" s="33">
        <f>L77+N77+P77+R77+T77+V77+X77</f>
        <v>496.5</v>
      </c>
    </row>
    <row r="78" spans="1:25" ht="15" thickBot="1" x14ac:dyDescent="0.35">
      <c r="A78" s="34">
        <f>A76-A77</f>
        <v>0</v>
      </c>
      <c r="B78" s="35">
        <f>B76-B77</f>
        <v>0</v>
      </c>
      <c r="C78" s="35">
        <f t="shared" ref="C78:G78" si="23">C76-C77</f>
        <v>0</v>
      </c>
      <c r="D78" s="35">
        <f>D76-D77</f>
        <v>0</v>
      </c>
      <c r="E78" s="35">
        <f t="shared" si="23"/>
        <v>0</v>
      </c>
      <c r="F78" s="35">
        <f t="shared" si="23"/>
        <v>0</v>
      </c>
      <c r="G78" s="35">
        <f t="shared" si="23"/>
        <v>0</v>
      </c>
      <c r="H78" s="35"/>
      <c r="I78" s="36"/>
      <c r="K78" s="86">
        <f t="shared" ref="K78:L78" si="24">K76-K77</f>
        <v>0</v>
      </c>
      <c r="L78" s="86">
        <f t="shared" si="24"/>
        <v>0</v>
      </c>
      <c r="M78" s="86">
        <f>M76-M77</f>
        <v>0</v>
      </c>
      <c r="N78" s="86">
        <f t="shared" ref="N78:X78" si="25">N76-N77</f>
        <v>0</v>
      </c>
      <c r="O78" s="86">
        <f t="shared" si="25"/>
        <v>0</v>
      </c>
      <c r="P78" s="86">
        <f t="shared" si="25"/>
        <v>0</v>
      </c>
      <c r="Q78" s="86">
        <f t="shared" si="25"/>
        <v>0</v>
      </c>
      <c r="R78" s="86">
        <f t="shared" si="25"/>
        <v>0</v>
      </c>
      <c r="S78" s="86">
        <f t="shared" si="25"/>
        <v>0</v>
      </c>
      <c r="T78" s="86">
        <f t="shared" si="25"/>
        <v>0</v>
      </c>
      <c r="U78" s="86">
        <f t="shared" si="25"/>
        <v>0</v>
      </c>
      <c r="V78" s="86">
        <f t="shared" si="25"/>
        <v>0</v>
      </c>
      <c r="W78" s="86">
        <f t="shared" si="25"/>
        <v>82</v>
      </c>
      <c r="X78" s="86">
        <f t="shared" si="25"/>
        <v>0</v>
      </c>
      <c r="Y78" s="87"/>
    </row>
    <row r="79" spans="1:25" ht="15" thickTop="1" x14ac:dyDescent="0.3"/>
    <row r="80" spans="1:25" ht="15" thickBot="1" x14ac:dyDescent="0.35"/>
    <row r="81" spans="1:25" x14ac:dyDescent="0.3">
      <c r="A81" s="17">
        <v>45378</v>
      </c>
      <c r="B81" s="17">
        <v>45379</v>
      </c>
      <c r="C81" s="17">
        <v>45380</v>
      </c>
      <c r="D81" s="17">
        <v>45381</v>
      </c>
      <c r="E81" s="17">
        <v>45382</v>
      </c>
      <c r="F81" s="17">
        <v>45383</v>
      </c>
      <c r="G81" s="17">
        <v>45384</v>
      </c>
      <c r="H81" s="39"/>
      <c r="I81" s="13" t="s">
        <v>8</v>
      </c>
      <c r="K81" s="17">
        <v>45378</v>
      </c>
      <c r="L81" s="17">
        <v>45378</v>
      </c>
      <c r="M81" s="17">
        <v>45379</v>
      </c>
      <c r="N81" s="17">
        <v>45379</v>
      </c>
      <c r="O81" s="17">
        <v>45380</v>
      </c>
      <c r="P81" s="17">
        <v>45380</v>
      </c>
      <c r="Q81" s="17">
        <v>45381</v>
      </c>
      <c r="R81" s="17">
        <v>45381</v>
      </c>
      <c r="S81" s="17">
        <v>45382</v>
      </c>
      <c r="T81" s="17">
        <v>45382</v>
      </c>
      <c r="U81" s="17">
        <v>45383</v>
      </c>
      <c r="V81" s="17">
        <v>45383</v>
      </c>
      <c r="W81" s="17">
        <v>45384</v>
      </c>
      <c r="X81" s="17">
        <v>45384</v>
      </c>
      <c r="Y81" s="20"/>
    </row>
    <row r="82" spans="1:25" ht="15" thickBot="1" x14ac:dyDescent="0.35">
      <c r="A82" s="21">
        <v>1547.46</v>
      </c>
      <c r="B82" s="22">
        <v>1497.22</v>
      </c>
      <c r="C82" s="22">
        <v>1125</v>
      </c>
      <c r="D82" s="22">
        <v>770</v>
      </c>
      <c r="E82" s="22">
        <v>615</v>
      </c>
      <c r="F82" s="22">
        <v>2990</v>
      </c>
      <c r="G82" s="22">
        <v>1250</v>
      </c>
      <c r="H82" s="37"/>
      <c r="I82" s="14">
        <v>3215</v>
      </c>
      <c r="K82" s="124" t="s">
        <v>10</v>
      </c>
      <c r="L82" s="125" t="s">
        <v>11</v>
      </c>
      <c r="M82" s="126" t="s">
        <v>10</v>
      </c>
      <c r="N82" s="126" t="s">
        <v>11</v>
      </c>
      <c r="O82" s="126" t="s">
        <v>10</v>
      </c>
      <c r="P82" s="126" t="s">
        <v>11</v>
      </c>
      <c r="Q82" s="126" t="s">
        <v>10</v>
      </c>
      <c r="R82" s="126" t="s">
        <v>11</v>
      </c>
      <c r="S82" s="126" t="s">
        <v>10</v>
      </c>
      <c r="T82" s="126" t="s">
        <v>11</v>
      </c>
      <c r="U82" s="126" t="s">
        <v>10</v>
      </c>
      <c r="V82" s="126" t="s">
        <v>11</v>
      </c>
      <c r="W82" s="126" t="s">
        <v>10</v>
      </c>
      <c r="X82" s="126" t="s">
        <v>11</v>
      </c>
      <c r="Y82" s="87"/>
    </row>
    <row r="83" spans="1:25" x14ac:dyDescent="0.3">
      <c r="A83" s="24">
        <v>3250</v>
      </c>
      <c r="B83" s="22">
        <v>2885</v>
      </c>
      <c r="C83" s="22">
        <v>2445</v>
      </c>
      <c r="D83" s="22">
        <v>1660</v>
      </c>
      <c r="E83" s="25"/>
      <c r="F83" s="22">
        <v>1190</v>
      </c>
      <c r="G83" s="22">
        <v>2930</v>
      </c>
      <c r="H83" s="37"/>
      <c r="I83" s="14">
        <v>6712.45</v>
      </c>
      <c r="K83" s="75">
        <v>980</v>
      </c>
      <c r="L83" s="76">
        <v>60</v>
      </c>
      <c r="M83" s="77">
        <v>500</v>
      </c>
      <c r="N83" s="77">
        <v>32.5</v>
      </c>
      <c r="O83" s="77">
        <v>204</v>
      </c>
      <c r="P83" s="77">
        <v>50</v>
      </c>
      <c r="Q83" s="77">
        <v>210</v>
      </c>
      <c r="R83" s="77">
        <v>25</v>
      </c>
      <c r="S83" s="78">
        <v>84</v>
      </c>
      <c r="T83" s="69"/>
      <c r="U83" s="63">
        <v>400</v>
      </c>
      <c r="V83" s="63">
        <v>42.5</v>
      </c>
      <c r="W83" s="63">
        <v>365</v>
      </c>
      <c r="X83" s="65">
        <v>409.5</v>
      </c>
      <c r="Y83" s="122"/>
    </row>
    <row r="84" spans="1:25" x14ac:dyDescent="0.3">
      <c r="A84" s="24">
        <v>1020</v>
      </c>
      <c r="B84" s="22">
        <v>865</v>
      </c>
      <c r="C84" s="22"/>
      <c r="D84" s="26">
        <v>1044.43</v>
      </c>
      <c r="E84" s="22"/>
      <c r="F84" s="22"/>
      <c r="G84" s="22">
        <v>1697.46</v>
      </c>
      <c r="H84" s="37"/>
      <c r="I84" s="15">
        <v>5763.28</v>
      </c>
      <c r="K84" s="21">
        <v>4480</v>
      </c>
      <c r="L84" s="79">
        <v>42.5</v>
      </c>
      <c r="M84" s="43">
        <v>4840</v>
      </c>
      <c r="N84" s="43">
        <v>60</v>
      </c>
      <c r="O84" s="43">
        <v>335</v>
      </c>
      <c r="P84" s="43"/>
      <c r="Q84" s="80">
        <v>336</v>
      </c>
      <c r="R84" s="80">
        <v>1140</v>
      </c>
      <c r="S84" s="43">
        <v>450</v>
      </c>
      <c r="T84" s="22"/>
      <c r="U84" s="22">
        <v>369</v>
      </c>
      <c r="V84" s="22">
        <v>1540</v>
      </c>
      <c r="W84" s="22">
        <v>456</v>
      </c>
      <c r="X84" s="37">
        <v>399.5</v>
      </c>
      <c r="Y84" s="15"/>
    </row>
    <row r="85" spans="1:25" x14ac:dyDescent="0.3">
      <c r="A85" s="24"/>
      <c r="B85" s="22"/>
      <c r="C85" s="22"/>
      <c r="D85" s="25"/>
      <c r="E85" s="22"/>
      <c r="F85" s="22"/>
      <c r="G85" s="22"/>
      <c r="H85" s="37"/>
      <c r="I85" s="15">
        <v>4005.15</v>
      </c>
      <c r="K85" s="21">
        <v>333</v>
      </c>
      <c r="L85" s="79"/>
      <c r="M85" s="43">
        <v>441</v>
      </c>
      <c r="N85" s="43"/>
      <c r="O85" s="43">
        <v>4545</v>
      </c>
      <c r="P85" s="43"/>
      <c r="Q85" s="80">
        <v>2670</v>
      </c>
      <c r="R85" s="81"/>
      <c r="S85" s="43"/>
      <c r="T85" s="22"/>
      <c r="U85" s="22">
        <v>4790</v>
      </c>
      <c r="V85" s="22"/>
      <c r="W85" s="22">
        <v>4855</v>
      </c>
      <c r="X85" s="37">
        <v>180</v>
      </c>
      <c r="Y85" s="15"/>
    </row>
    <row r="86" spans="1:25" x14ac:dyDescent="0.3">
      <c r="A86" s="129"/>
      <c r="B86" s="22"/>
      <c r="C86" s="22"/>
      <c r="D86" s="22"/>
      <c r="E86" s="22"/>
      <c r="F86" s="22"/>
      <c r="G86" s="22"/>
      <c r="H86" s="37"/>
      <c r="I86" s="15">
        <v>746.38</v>
      </c>
      <c r="K86" s="21">
        <v>340</v>
      </c>
      <c r="L86" s="79"/>
      <c r="M86" s="43">
        <v>340</v>
      </c>
      <c r="N86" s="43"/>
      <c r="O86" s="43"/>
      <c r="P86" s="43"/>
      <c r="Q86" s="43">
        <v>420</v>
      </c>
      <c r="R86" s="43"/>
      <c r="S86" s="43"/>
      <c r="T86" s="22"/>
      <c r="U86" s="22"/>
      <c r="V86" s="22"/>
      <c r="W86" s="22">
        <v>740</v>
      </c>
      <c r="X86" s="37"/>
      <c r="Y86" s="15"/>
    </row>
    <row r="87" spans="1:25" x14ac:dyDescent="0.3">
      <c r="A87" s="24"/>
      <c r="B87" s="22"/>
      <c r="C87" s="22"/>
      <c r="D87" s="22"/>
      <c r="E87" s="22"/>
      <c r="F87" s="22"/>
      <c r="G87" s="22"/>
      <c r="H87" s="37"/>
      <c r="I87" s="54"/>
      <c r="K87" s="128" t="s">
        <v>9</v>
      </c>
      <c r="L87" s="79"/>
      <c r="M87" s="43"/>
      <c r="N87" s="43"/>
      <c r="O87" s="43"/>
      <c r="P87" s="43"/>
      <c r="Q87" s="43"/>
      <c r="R87" s="43"/>
      <c r="S87" s="43"/>
      <c r="T87" s="22"/>
      <c r="U87" s="22"/>
      <c r="V87" s="22"/>
      <c r="W87" s="22"/>
      <c r="X87" s="37"/>
      <c r="Y87" s="15"/>
    </row>
    <row r="88" spans="1:25" ht="15" thickBot="1" x14ac:dyDescent="0.35">
      <c r="A88" s="24"/>
      <c r="B88" s="22"/>
      <c r="C88" s="22"/>
      <c r="D88" s="22"/>
      <c r="E88" s="22"/>
      <c r="F88" s="22"/>
      <c r="G88" s="22"/>
      <c r="H88" s="37"/>
      <c r="I88" s="16">
        <f>SUM(I82:I87)</f>
        <v>20442.260000000002</v>
      </c>
      <c r="K88" s="21"/>
      <c r="L88" s="79"/>
      <c r="M88" s="43"/>
      <c r="N88" s="43"/>
      <c r="O88" s="43"/>
      <c r="P88" s="43"/>
      <c r="Q88" s="43"/>
      <c r="R88" s="43"/>
      <c r="S88" s="43"/>
      <c r="T88" s="22"/>
      <c r="U88" s="22"/>
      <c r="V88" s="22"/>
      <c r="W88" s="22"/>
      <c r="X88" s="37"/>
      <c r="Y88" s="83"/>
    </row>
    <row r="89" spans="1:25" ht="15.6" thickTop="1" thickBot="1" x14ac:dyDescent="0.35">
      <c r="A89" s="24"/>
      <c r="B89" s="22"/>
      <c r="C89" s="22"/>
      <c r="D89" s="22"/>
      <c r="E89" s="22"/>
      <c r="F89" s="22"/>
      <c r="G89" s="22"/>
      <c r="H89" s="22"/>
      <c r="I89" s="40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37"/>
      <c r="Y89" s="16">
        <f>SUM(Y82:Y87)</f>
        <v>0</v>
      </c>
    </row>
    <row r="90" spans="1:25" ht="15" thickTop="1" x14ac:dyDescent="0.3">
      <c r="A90" s="24"/>
      <c r="B90" s="22"/>
      <c r="C90" s="22"/>
      <c r="D90" s="22"/>
      <c r="E90" s="22"/>
      <c r="F90" s="22"/>
      <c r="G90" s="22"/>
      <c r="H90" s="22"/>
      <c r="I90" s="27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>
        <v>0</v>
      </c>
      <c r="Y90" s="38"/>
    </row>
    <row r="91" spans="1:25" x14ac:dyDescent="0.3">
      <c r="A91" s="24"/>
      <c r="B91" s="22"/>
      <c r="C91" s="22"/>
      <c r="D91" s="22"/>
      <c r="E91" s="22"/>
      <c r="F91" s="22"/>
      <c r="G91" s="22"/>
      <c r="H91" s="22"/>
      <c r="I91" s="27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3"/>
    </row>
    <row r="92" spans="1:25" x14ac:dyDescent="0.3">
      <c r="A92" s="24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3"/>
    </row>
    <row r="93" spans="1:25" x14ac:dyDescent="0.3">
      <c r="A93" s="24"/>
      <c r="B93" s="22"/>
      <c r="C93" s="22"/>
      <c r="D93" s="22"/>
      <c r="E93" s="22"/>
      <c r="F93" s="22"/>
      <c r="G93" s="22"/>
      <c r="H93" s="22"/>
      <c r="I93" s="23"/>
      <c r="K93" s="24"/>
      <c r="L93" s="56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3"/>
    </row>
    <row r="94" spans="1:25" x14ac:dyDescent="0.3">
      <c r="A94" s="24"/>
      <c r="B94" s="22"/>
      <c r="C94" s="22"/>
      <c r="D94" s="22"/>
      <c r="E94" s="22"/>
      <c r="F94" s="22"/>
      <c r="G94" s="22"/>
      <c r="H94" s="22"/>
      <c r="I94" s="23"/>
      <c r="K94" s="24"/>
      <c r="L94" s="56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3"/>
    </row>
    <row r="95" spans="1:25" x14ac:dyDescent="0.3">
      <c r="A95" s="24"/>
      <c r="B95" s="22"/>
      <c r="C95" s="22"/>
      <c r="D95" s="22"/>
      <c r="E95" s="22"/>
      <c r="F95" s="28"/>
      <c r="G95" s="22"/>
      <c r="H95" s="22"/>
      <c r="I95" s="23"/>
      <c r="K95" s="24"/>
      <c r="L95" s="56"/>
      <c r="M95" s="22"/>
      <c r="N95" s="22"/>
      <c r="O95" s="22"/>
      <c r="P95" s="22"/>
      <c r="Q95" s="22"/>
      <c r="R95" s="22"/>
      <c r="S95" s="22"/>
      <c r="T95" s="22"/>
      <c r="U95" s="28"/>
      <c r="V95" s="28"/>
      <c r="W95" s="22"/>
      <c r="X95" s="22"/>
      <c r="Y95" s="23"/>
    </row>
    <row r="96" spans="1:25" x14ac:dyDescent="0.3">
      <c r="A96" s="24">
        <f t="shared" ref="A96:G96" si="26">SUM(A82:A95)</f>
        <v>5817.46</v>
      </c>
      <c r="B96" s="22">
        <f t="shared" si="26"/>
        <v>5247.22</v>
      </c>
      <c r="C96" s="22">
        <f t="shared" si="26"/>
        <v>3570</v>
      </c>
      <c r="D96" s="22">
        <f t="shared" si="26"/>
        <v>3474.4300000000003</v>
      </c>
      <c r="E96" s="22">
        <f t="shared" si="26"/>
        <v>615</v>
      </c>
      <c r="F96" s="22">
        <f t="shared" si="26"/>
        <v>4180</v>
      </c>
      <c r="G96" s="22">
        <f t="shared" si="26"/>
        <v>5877.46</v>
      </c>
      <c r="H96" s="29">
        <f>SUM(A96:G96)+I88</f>
        <v>49223.83</v>
      </c>
      <c r="I96" s="30" t="s">
        <v>7</v>
      </c>
      <c r="K96" s="24">
        <f t="shared" ref="K96:L96" si="27">SUM(K83:K95)</f>
        <v>6133</v>
      </c>
      <c r="L96" s="22">
        <f t="shared" si="27"/>
        <v>102.5</v>
      </c>
      <c r="M96" s="22">
        <f>SUM(M83:M95)</f>
        <v>6121</v>
      </c>
      <c r="N96" s="22">
        <f t="shared" ref="N96:Q96" si="28">SUM(N83:N95)</f>
        <v>92.5</v>
      </c>
      <c r="O96" s="22">
        <f t="shared" si="28"/>
        <v>5084</v>
      </c>
      <c r="P96" s="22">
        <f t="shared" si="28"/>
        <v>50</v>
      </c>
      <c r="Q96" s="22">
        <f t="shared" si="28"/>
        <v>3636</v>
      </c>
      <c r="R96" s="22">
        <f>SUM(R83:R95)</f>
        <v>1165</v>
      </c>
      <c r="S96" s="22">
        <f t="shared" ref="S96:X96" si="29">SUM(S83:S95)</f>
        <v>534</v>
      </c>
      <c r="T96" s="22">
        <f t="shared" si="29"/>
        <v>0</v>
      </c>
      <c r="U96" s="22">
        <f t="shared" si="29"/>
        <v>5559</v>
      </c>
      <c r="V96" s="22">
        <f t="shared" si="29"/>
        <v>1582.5</v>
      </c>
      <c r="W96" s="22">
        <f t="shared" si="29"/>
        <v>6416</v>
      </c>
      <c r="X96" s="22">
        <f t="shared" si="29"/>
        <v>989</v>
      </c>
      <c r="Y96" s="33">
        <f>K97+M97+O97+Q97+S97+U97+W97</f>
        <v>33583</v>
      </c>
    </row>
    <row r="97" spans="1:25" x14ac:dyDescent="0.3">
      <c r="A97" s="31">
        <v>5817.46</v>
      </c>
      <c r="B97" s="31">
        <v>5247.22</v>
      </c>
      <c r="C97" s="31">
        <v>3570</v>
      </c>
      <c r="D97" s="31">
        <v>3474.43</v>
      </c>
      <c r="E97" s="31">
        <v>615</v>
      </c>
      <c r="F97" s="31">
        <v>4180</v>
      </c>
      <c r="G97" s="31">
        <v>5877.46</v>
      </c>
      <c r="H97" s="22">
        <f>SUM(A97:G97)+I88</f>
        <v>49223.83</v>
      </c>
      <c r="I97" s="33" t="s">
        <v>1</v>
      </c>
      <c r="K97" s="24">
        <v>6233</v>
      </c>
      <c r="L97" s="24">
        <v>102.5</v>
      </c>
      <c r="M97" s="24">
        <v>6121</v>
      </c>
      <c r="N97" s="24">
        <v>92.5</v>
      </c>
      <c r="O97" s="24">
        <v>5084</v>
      </c>
      <c r="P97" s="24">
        <v>50</v>
      </c>
      <c r="Q97" s="24">
        <v>3636</v>
      </c>
      <c r="R97" s="24">
        <v>1165</v>
      </c>
      <c r="S97" s="24">
        <v>534</v>
      </c>
      <c r="T97" s="24">
        <v>0</v>
      </c>
      <c r="U97" s="24">
        <v>5559</v>
      </c>
      <c r="V97" s="24">
        <v>1582.5</v>
      </c>
      <c r="W97" s="24">
        <v>6416</v>
      </c>
      <c r="X97" s="24">
        <v>989</v>
      </c>
      <c r="Y97" s="33">
        <f>L97+N97+P97+R97+T97+V97+X97</f>
        <v>3981.5</v>
      </c>
    </row>
    <row r="98" spans="1:25" ht="15" thickBot="1" x14ac:dyDescent="0.35">
      <c r="A98" s="34">
        <f>A96-A97</f>
        <v>0</v>
      </c>
      <c r="B98" s="35">
        <f>B96-B97</f>
        <v>0</v>
      </c>
      <c r="C98" s="35">
        <f t="shared" ref="C98:G98" si="30">C96-C97</f>
        <v>0</v>
      </c>
      <c r="D98" s="35">
        <f t="shared" si="30"/>
        <v>0</v>
      </c>
      <c r="E98" s="35">
        <f t="shared" si="30"/>
        <v>0</v>
      </c>
      <c r="F98" s="35">
        <f t="shared" si="30"/>
        <v>0</v>
      </c>
      <c r="G98" s="35">
        <f t="shared" si="30"/>
        <v>0</v>
      </c>
      <c r="H98" s="35"/>
      <c r="I98" s="36"/>
      <c r="K98" s="86">
        <f t="shared" ref="K98:L98" si="31">K96-K97</f>
        <v>-100</v>
      </c>
      <c r="L98" s="86">
        <f t="shared" si="31"/>
        <v>0</v>
      </c>
      <c r="M98" s="86">
        <f>M96-M97</f>
        <v>0</v>
      </c>
      <c r="N98" s="86">
        <f t="shared" ref="N98:X98" si="32">N96-N97</f>
        <v>0</v>
      </c>
      <c r="O98" s="86">
        <f t="shared" si="32"/>
        <v>0</v>
      </c>
      <c r="P98" s="86">
        <f t="shared" si="32"/>
        <v>0</v>
      </c>
      <c r="Q98" s="86">
        <f t="shared" si="32"/>
        <v>0</v>
      </c>
      <c r="R98" s="86">
        <f t="shared" si="32"/>
        <v>0</v>
      </c>
      <c r="S98" s="86">
        <f t="shared" si="32"/>
        <v>0</v>
      </c>
      <c r="T98" s="86">
        <f t="shared" si="32"/>
        <v>0</v>
      </c>
      <c r="U98" s="86">
        <f t="shared" si="32"/>
        <v>0</v>
      </c>
      <c r="V98" s="86">
        <f t="shared" si="32"/>
        <v>0</v>
      </c>
      <c r="W98" s="86">
        <f t="shared" si="32"/>
        <v>0</v>
      </c>
      <c r="X98" s="86">
        <f t="shared" si="32"/>
        <v>0</v>
      </c>
      <c r="Y98" s="87"/>
    </row>
    <row r="99" spans="1:25" ht="15" thickTop="1" x14ac:dyDescent="0.3"/>
    <row r="100" spans="1:25" ht="15" thickBot="1" x14ac:dyDescent="0.35"/>
    <row r="101" spans="1:25" x14ac:dyDescent="0.3">
      <c r="A101" s="17">
        <v>45385</v>
      </c>
      <c r="B101" s="17">
        <v>45386</v>
      </c>
      <c r="C101" s="17">
        <v>45387</v>
      </c>
      <c r="D101" s="17">
        <v>45388</v>
      </c>
      <c r="E101" s="17">
        <v>45389</v>
      </c>
      <c r="F101" s="17">
        <v>45390</v>
      </c>
      <c r="G101" s="17">
        <v>45391</v>
      </c>
      <c r="H101" s="39"/>
      <c r="I101" s="13" t="s">
        <v>8</v>
      </c>
      <c r="K101" s="17">
        <v>45385</v>
      </c>
      <c r="L101" s="17">
        <v>45385</v>
      </c>
      <c r="M101" s="17">
        <v>45386</v>
      </c>
      <c r="N101" s="17">
        <v>45386</v>
      </c>
      <c r="O101" s="17">
        <v>45387</v>
      </c>
      <c r="P101" s="17">
        <v>45387</v>
      </c>
      <c r="Q101" s="17">
        <v>45388</v>
      </c>
      <c r="R101" s="17">
        <v>45388</v>
      </c>
      <c r="S101" s="17">
        <v>45389</v>
      </c>
      <c r="T101" s="17">
        <v>45389</v>
      </c>
      <c r="U101" s="17">
        <v>45390</v>
      </c>
      <c r="V101" s="17">
        <v>45390</v>
      </c>
      <c r="W101" s="17">
        <v>45391</v>
      </c>
      <c r="X101" s="17">
        <v>45391</v>
      </c>
      <c r="Y101" s="20"/>
    </row>
    <row r="102" spans="1:25" ht="15" thickBot="1" x14ac:dyDescent="0.35">
      <c r="A102" s="21">
        <v>995</v>
      </c>
      <c r="B102" s="22">
        <v>1065</v>
      </c>
      <c r="C102" s="22">
        <v>1125</v>
      </c>
      <c r="D102" s="22">
        <v>635</v>
      </c>
      <c r="E102" s="22">
        <v>530</v>
      </c>
      <c r="F102" s="22">
        <v>1245</v>
      </c>
      <c r="G102" s="22">
        <v>1928.06</v>
      </c>
      <c r="H102" s="37"/>
      <c r="I102" s="14">
        <v>4005.15</v>
      </c>
      <c r="K102" s="124" t="s">
        <v>10</v>
      </c>
      <c r="L102" s="125" t="s">
        <v>11</v>
      </c>
      <c r="M102" s="126" t="s">
        <v>10</v>
      </c>
      <c r="N102" s="126" t="s">
        <v>11</v>
      </c>
      <c r="O102" s="126" t="s">
        <v>10</v>
      </c>
      <c r="P102" s="126" t="s">
        <v>11</v>
      </c>
      <c r="Q102" s="126" t="s">
        <v>10</v>
      </c>
      <c r="R102" s="126" t="s">
        <v>11</v>
      </c>
      <c r="S102" s="126" t="s">
        <v>10</v>
      </c>
      <c r="T102" s="126" t="s">
        <v>11</v>
      </c>
      <c r="U102" s="126" t="s">
        <v>10</v>
      </c>
      <c r="V102" s="126" t="s">
        <v>11</v>
      </c>
      <c r="W102" s="126" t="s">
        <v>10</v>
      </c>
      <c r="X102" s="126" t="s">
        <v>11</v>
      </c>
      <c r="Y102" s="87"/>
    </row>
    <row r="103" spans="1:25" x14ac:dyDescent="0.3">
      <c r="A103" s="24">
        <v>2950</v>
      </c>
      <c r="B103" s="22">
        <v>3910</v>
      </c>
      <c r="C103" s="22">
        <v>2640</v>
      </c>
      <c r="D103" s="22">
        <v>1220</v>
      </c>
      <c r="E103" s="25"/>
      <c r="F103" s="22">
        <v>2510</v>
      </c>
      <c r="G103" s="22">
        <v>2670</v>
      </c>
      <c r="H103" s="37"/>
      <c r="I103" s="14">
        <v>3948.5</v>
      </c>
      <c r="K103" s="75">
        <v>29</v>
      </c>
      <c r="L103" s="76">
        <v>253.5</v>
      </c>
      <c r="M103" s="77">
        <v>435</v>
      </c>
      <c r="N103" s="77">
        <v>234.5</v>
      </c>
      <c r="O103" s="77">
        <v>335</v>
      </c>
      <c r="P103" s="77">
        <v>50</v>
      </c>
      <c r="Q103" s="77">
        <v>300</v>
      </c>
      <c r="R103" s="77">
        <v>2370</v>
      </c>
      <c r="S103" s="78">
        <v>84</v>
      </c>
      <c r="T103" s="69"/>
      <c r="U103" s="63">
        <v>270</v>
      </c>
      <c r="V103" s="63">
        <v>42.5</v>
      </c>
      <c r="W103" s="63">
        <v>500</v>
      </c>
      <c r="X103" s="65">
        <v>17.5</v>
      </c>
      <c r="Y103" s="122"/>
    </row>
    <row r="104" spans="1:25" x14ac:dyDescent="0.3">
      <c r="A104" s="24">
        <v>1492.76</v>
      </c>
      <c r="B104" s="22">
        <v>1589.93</v>
      </c>
      <c r="C104" s="22">
        <v>1432.16</v>
      </c>
      <c r="D104" s="26">
        <v>1894</v>
      </c>
      <c r="E104" s="22"/>
      <c r="F104" s="22">
        <v>1662.76</v>
      </c>
      <c r="G104" s="22">
        <v>1185</v>
      </c>
      <c r="H104" s="37"/>
      <c r="I104" s="15">
        <v>1183.7</v>
      </c>
      <c r="K104" s="21">
        <v>455</v>
      </c>
      <c r="L104" s="79">
        <v>60</v>
      </c>
      <c r="M104" s="43">
        <v>447</v>
      </c>
      <c r="N104" s="43"/>
      <c r="O104" s="43">
        <v>234</v>
      </c>
      <c r="P104" s="43">
        <v>60</v>
      </c>
      <c r="Q104" s="80">
        <v>336</v>
      </c>
      <c r="R104" s="80">
        <v>95</v>
      </c>
      <c r="S104" s="43">
        <v>520</v>
      </c>
      <c r="T104" s="22"/>
      <c r="U104" s="22">
        <v>296</v>
      </c>
      <c r="V104" s="22"/>
      <c r="W104" s="22">
        <v>4970</v>
      </c>
      <c r="X104" s="37">
        <v>140</v>
      </c>
      <c r="Y104" s="15"/>
    </row>
    <row r="105" spans="1:25" x14ac:dyDescent="0.3">
      <c r="A105" s="24"/>
      <c r="B105" s="22"/>
      <c r="C105" s="22"/>
      <c r="D105" s="25"/>
      <c r="E105" s="22"/>
      <c r="F105" s="22"/>
      <c r="G105" s="22"/>
      <c r="H105" s="37"/>
      <c r="I105" s="15">
        <v>6317.6</v>
      </c>
      <c r="K105" s="21">
        <v>354</v>
      </c>
      <c r="L105" s="79"/>
      <c r="M105" s="43">
        <v>5555</v>
      </c>
      <c r="N105" s="43"/>
      <c r="O105" s="43">
        <v>4375</v>
      </c>
      <c r="P105" s="43">
        <v>600</v>
      </c>
      <c r="Q105" s="80">
        <v>2470</v>
      </c>
      <c r="R105" s="81"/>
      <c r="S105" s="43"/>
      <c r="T105" s="22"/>
      <c r="U105" s="22">
        <v>3580</v>
      </c>
      <c r="V105" s="22"/>
      <c r="W105" s="22">
        <v>614</v>
      </c>
      <c r="X105" s="37">
        <v>220</v>
      </c>
      <c r="Y105" s="15"/>
    </row>
    <row r="106" spans="1:25" x14ac:dyDescent="0.3">
      <c r="A106" s="129"/>
      <c r="B106" s="22"/>
      <c r="C106" s="22"/>
      <c r="D106" s="22"/>
      <c r="E106" s="22"/>
      <c r="F106" s="22"/>
      <c r="G106" s="22"/>
      <c r="H106" s="37"/>
      <c r="I106" s="15">
        <v>3975</v>
      </c>
      <c r="K106" s="21">
        <v>4925</v>
      </c>
      <c r="L106" s="79"/>
      <c r="M106" s="43">
        <v>740</v>
      </c>
      <c r="N106" s="43"/>
      <c r="O106" s="43">
        <v>800</v>
      </c>
      <c r="P106" s="43"/>
      <c r="Q106" s="43"/>
      <c r="R106" s="43"/>
      <c r="S106" s="43"/>
      <c r="T106" s="22"/>
      <c r="U106" s="22">
        <v>680</v>
      </c>
      <c r="V106" s="22"/>
      <c r="W106" s="22">
        <v>390</v>
      </c>
      <c r="X106" s="37"/>
      <c r="Y106" s="15"/>
    </row>
    <row r="107" spans="1:25" x14ac:dyDescent="0.3">
      <c r="A107" s="24"/>
      <c r="B107" s="22"/>
      <c r="C107" s="22"/>
      <c r="D107" s="22"/>
      <c r="E107" s="22"/>
      <c r="F107" s="22"/>
      <c r="G107" s="22"/>
      <c r="H107" s="37"/>
      <c r="I107" s="54"/>
      <c r="K107" s="128">
        <v>380</v>
      </c>
      <c r="L107" s="79"/>
      <c r="M107" s="43"/>
      <c r="N107" s="43"/>
      <c r="O107" s="43"/>
      <c r="P107" s="43"/>
      <c r="Q107" s="43"/>
      <c r="R107" s="43"/>
      <c r="S107" s="43"/>
      <c r="T107" s="22"/>
      <c r="U107" s="22"/>
      <c r="V107" s="22"/>
      <c r="W107" s="22">
        <v>23</v>
      </c>
      <c r="X107" s="37"/>
      <c r="Y107" s="15"/>
    </row>
    <row r="108" spans="1:25" ht="15" thickBot="1" x14ac:dyDescent="0.35">
      <c r="A108" s="24"/>
      <c r="B108" s="22"/>
      <c r="C108" s="22"/>
      <c r="D108" s="22"/>
      <c r="E108" s="22"/>
      <c r="F108" s="22"/>
      <c r="G108" s="22"/>
      <c r="H108" s="37"/>
      <c r="I108" s="16">
        <f>SUM(I102:I107)</f>
        <v>19429.95</v>
      </c>
      <c r="K108" s="21"/>
      <c r="L108" s="79"/>
      <c r="M108" s="43"/>
      <c r="N108" s="43"/>
      <c r="O108" s="43"/>
      <c r="P108" s="43"/>
      <c r="Q108" s="43"/>
      <c r="R108" s="43"/>
      <c r="S108" s="43"/>
      <c r="T108" s="22"/>
      <c r="U108" s="22"/>
      <c r="V108" s="22"/>
      <c r="W108" s="22"/>
      <c r="X108" s="37"/>
      <c r="Y108" s="83"/>
    </row>
    <row r="109" spans="1:25" ht="15.6" thickTop="1" thickBot="1" x14ac:dyDescent="0.35">
      <c r="A109" s="24"/>
      <c r="B109" s="22"/>
      <c r="C109" s="22"/>
      <c r="D109" s="22"/>
      <c r="E109" s="22"/>
      <c r="F109" s="22"/>
      <c r="G109" s="22"/>
      <c r="H109" s="22"/>
      <c r="I109" s="40"/>
      <c r="K109" s="24"/>
      <c r="L109" s="56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37"/>
      <c r="Y109" s="16">
        <f>SUM(Y102:Y107)</f>
        <v>0</v>
      </c>
    </row>
    <row r="110" spans="1:25" ht="15" thickTop="1" x14ac:dyDescent="0.3">
      <c r="A110" s="24"/>
      <c r="B110" s="22"/>
      <c r="C110" s="22"/>
      <c r="D110" s="22"/>
      <c r="E110" s="22"/>
      <c r="F110" s="22"/>
      <c r="G110" s="22"/>
      <c r="H110" s="22"/>
      <c r="I110" s="27"/>
      <c r="K110" s="24"/>
      <c r="L110" s="56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38"/>
    </row>
    <row r="111" spans="1:25" x14ac:dyDescent="0.3">
      <c r="A111" s="24"/>
      <c r="B111" s="22"/>
      <c r="C111" s="22"/>
      <c r="D111" s="22"/>
      <c r="E111" s="22"/>
      <c r="F111" s="22"/>
      <c r="G111" s="22"/>
      <c r="H111" s="22"/>
      <c r="I111" s="27"/>
      <c r="K111" s="24"/>
      <c r="L111" s="56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3"/>
    </row>
    <row r="112" spans="1:25" x14ac:dyDescent="0.3">
      <c r="A112" s="24"/>
      <c r="B112" s="22"/>
      <c r="C112" s="22"/>
      <c r="D112" s="22"/>
      <c r="E112" s="22"/>
      <c r="F112" s="22"/>
      <c r="G112" s="22"/>
      <c r="H112" s="22"/>
      <c r="I112" s="23"/>
      <c r="K112" s="24"/>
      <c r="L112" s="56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3"/>
    </row>
    <row r="113" spans="1:25" x14ac:dyDescent="0.3">
      <c r="A113" s="24"/>
      <c r="B113" s="22"/>
      <c r="C113" s="22"/>
      <c r="D113" s="22"/>
      <c r="E113" s="22"/>
      <c r="F113" s="22"/>
      <c r="G113" s="22"/>
      <c r="H113" s="22"/>
      <c r="I113" s="23"/>
      <c r="K113" s="24"/>
      <c r="L113" s="56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3"/>
    </row>
    <row r="114" spans="1:25" x14ac:dyDescent="0.3">
      <c r="A114" s="24"/>
      <c r="B114" s="22"/>
      <c r="C114" s="22"/>
      <c r="D114" s="22"/>
      <c r="E114" s="22"/>
      <c r="F114" s="22"/>
      <c r="G114" s="22"/>
      <c r="H114" s="22"/>
      <c r="I114" s="23"/>
      <c r="K114" s="24"/>
      <c r="L114" s="56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3"/>
    </row>
    <row r="115" spans="1:25" x14ac:dyDescent="0.3">
      <c r="A115" s="24"/>
      <c r="B115" s="22"/>
      <c r="C115" s="22"/>
      <c r="D115" s="22"/>
      <c r="E115" s="22"/>
      <c r="F115" s="28"/>
      <c r="G115" s="22"/>
      <c r="H115" s="22"/>
      <c r="I115" s="23"/>
      <c r="K115" s="24"/>
      <c r="L115" s="56"/>
      <c r="M115" s="22"/>
      <c r="N115" s="22"/>
      <c r="O115" s="22"/>
      <c r="P115" s="22"/>
      <c r="Q115" s="22"/>
      <c r="R115" s="22"/>
      <c r="S115" s="22"/>
      <c r="T115" s="22"/>
      <c r="U115" s="28"/>
      <c r="V115" s="28"/>
      <c r="W115" s="22"/>
      <c r="X115" s="22"/>
      <c r="Y115" s="23"/>
    </row>
    <row r="116" spans="1:25" x14ac:dyDescent="0.3">
      <c r="A116" s="24">
        <f t="shared" ref="A116" si="33">SUM(A102:A115)</f>
        <v>5437.76</v>
      </c>
      <c r="B116" s="24">
        <f t="shared" ref="B116:G116" si="34">SUM(B102:B115)</f>
        <v>6564.93</v>
      </c>
      <c r="C116" s="24">
        <f t="shared" si="34"/>
        <v>5197.16</v>
      </c>
      <c r="D116" s="24">
        <f t="shared" si="34"/>
        <v>3749</v>
      </c>
      <c r="E116" s="24">
        <f t="shared" si="34"/>
        <v>530</v>
      </c>
      <c r="F116" s="24">
        <f t="shared" si="34"/>
        <v>5417.76</v>
      </c>
      <c r="G116" s="24">
        <f t="shared" si="34"/>
        <v>5783.0599999999995</v>
      </c>
      <c r="H116" s="29">
        <f>SUM(A116:G116)+I108</f>
        <v>52109.619999999995</v>
      </c>
      <c r="I116" s="30" t="s">
        <v>7</v>
      </c>
      <c r="K116" s="24">
        <f t="shared" ref="K116:L116" si="35">SUM(K103:K115)</f>
        <v>6143</v>
      </c>
      <c r="L116" s="22">
        <f t="shared" si="35"/>
        <v>313.5</v>
      </c>
      <c r="M116" s="22">
        <f>SUM(M103:M115)</f>
        <v>7177</v>
      </c>
      <c r="N116" s="22">
        <f t="shared" ref="N116:Q116" si="36">SUM(N103:N115)</f>
        <v>234.5</v>
      </c>
      <c r="O116" s="22">
        <f t="shared" si="36"/>
        <v>5744</v>
      </c>
      <c r="P116" s="22">
        <f t="shared" si="36"/>
        <v>710</v>
      </c>
      <c r="Q116" s="22">
        <f t="shared" si="36"/>
        <v>3106</v>
      </c>
      <c r="R116" s="22">
        <f>SUM(R103:R115)</f>
        <v>2465</v>
      </c>
      <c r="S116" s="22">
        <f t="shared" ref="S116:X116" si="37">SUM(S103:S115)</f>
        <v>604</v>
      </c>
      <c r="T116" s="22">
        <f t="shared" si="37"/>
        <v>0</v>
      </c>
      <c r="U116" s="22">
        <f t="shared" si="37"/>
        <v>4826</v>
      </c>
      <c r="V116" s="22">
        <f t="shared" si="37"/>
        <v>42.5</v>
      </c>
      <c r="W116" s="22">
        <f t="shared" si="37"/>
        <v>6497</v>
      </c>
      <c r="X116" s="22">
        <f t="shared" si="37"/>
        <v>377.5</v>
      </c>
      <c r="Y116" s="33">
        <f>K117+M117+O117+Q117+S117+U117+W117</f>
        <v>34097</v>
      </c>
    </row>
    <row r="117" spans="1:25" x14ac:dyDescent="0.3">
      <c r="A117" s="24">
        <v>5437.76</v>
      </c>
      <c r="B117" s="24">
        <v>6564.93</v>
      </c>
      <c r="C117" s="24">
        <v>5197.16</v>
      </c>
      <c r="D117" s="24">
        <v>3749</v>
      </c>
      <c r="E117" s="24">
        <v>530</v>
      </c>
      <c r="F117" s="24">
        <v>5417.76</v>
      </c>
      <c r="G117" s="24">
        <v>5783.06</v>
      </c>
      <c r="H117" s="22">
        <f>SUM(A117:G117)+I108</f>
        <v>52109.62</v>
      </c>
      <c r="I117" s="33" t="s">
        <v>1</v>
      </c>
      <c r="K117" s="24">
        <v>6143</v>
      </c>
      <c r="L117" s="24">
        <v>313.5</v>
      </c>
      <c r="M117" s="24">
        <v>7177</v>
      </c>
      <c r="N117" s="24">
        <v>234.5</v>
      </c>
      <c r="O117" s="24">
        <v>5744</v>
      </c>
      <c r="P117" s="24">
        <v>710</v>
      </c>
      <c r="Q117" s="24">
        <v>3106</v>
      </c>
      <c r="R117" s="24">
        <v>2465</v>
      </c>
      <c r="S117" s="24">
        <v>604</v>
      </c>
      <c r="T117" s="24">
        <v>0</v>
      </c>
      <c r="U117" s="24">
        <v>4826</v>
      </c>
      <c r="V117" s="24">
        <v>42.5</v>
      </c>
      <c r="W117" s="24">
        <v>6497</v>
      </c>
      <c r="X117" s="24">
        <v>377.5</v>
      </c>
      <c r="Y117" s="33">
        <f>L117+N117+P117+R117+T117+V117+X117</f>
        <v>4143</v>
      </c>
    </row>
    <row r="118" spans="1:25" ht="15" thickBot="1" x14ac:dyDescent="0.35">
      <c r="A118" s="34">
        <f>A116-A117</f>
        <v>0</v>
      </c>
      <c r="B118" s="35">
        <f>B116-B117</f>
        <v>0</v>
      </c>
      <c r="C118" s="35">
        <f t="shared" ref="C118:G118" si="38">C116-C117</f>
        <v>0</v>
      </c>
      <c r="D118" s="35">
        <f t="shared" si="38"/>
        <v>0</v>
      </c>
      <c r="E118" s="35">
        <f t="shared" si="38"/>
        <v>0</v>
      </c>
      <c r="F118" s="35">
        <f t="shared" si="38"/>
        <v>0</v>
      </c>
      <c r="G118" s="35">
        <f t="shared" si="38"/>
        <v>0</v>
      </c>
      <c r="H118" s="35"/>
      <c r="I118" s="36"/>
      <c r="K118" s="86">
        <f t="shared" ref="K118:L118" si="39">K116-K117</f>
        <v>0</v>
      </c>
      <c r="L118" s="86">
        <f t="shared" si="39"/>
        <v>0</v>
      </c>
      <c r="M118" s="86">
        <f>M116-M117</f>
        <v>0</v>
      </c>
      <c r="N118" s="86">
        <f t="shared" ref="N118:X118" si="40">N116-N117</f>
        <v>0</v>
      </c>
      <c r="O118" s="86">
        <f t="shared" si="40"/>
        <v>0</v>
      </c>
      <c r="P118" s="86">
        <f t="shared" si="40"/>
        <v>0</v>
      </c>
      <c r="Q118" s="86">
        <f t="shared" si="40"/>
        <v>0</v>
      </c>
      <c r="R118" s="86">
        <f t="shared" si="40"/>
        <v>0</v>
      </c>
      <c r="S118" s="86">
        <f t="shared" si="40"/>
        <v>0</v>
      </c>
      <c r="T118" s="86">
        <f t="shared" si="40"/>
        <v>0</v>
      </c>
      <c r="U118" s="86">
        <f t="shared" si="40"/>
        <v>0</v>
      </c>
      <c r="V118" s="86">
        <f t="shared" si="40"/>
        <v>0</v>
      </c>
      <c r="W118" s="86">
        <f t="shared" si="40"/>
        <v>0</v>
      </c>
      <c r="X118" s="86">
        <f t="shared" si="40"/>
        <v>0</v>
      </c>
      <c r="Y118" s="87"/>
    </row>
    <row r="119" spans="1:25" ht="15" thickTop="1" x14ac:dyDescent="0.3"/>
  </sheetData>
  <phoneticPr fontId="1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C549-4288-4A8B-A4CC-50BC21B55258}">
  <dimension ref="A1:X96"/>
  <sheetViews>
    <sheetView topLeftCell="A38" workbookViewId="0">
      <selection activeCell="H83" sqref="H83"/>
    </sheetView>
  </sheetViews>
  <sheetFormatPr defaultRowHeight="14.4" x14ac:dyDescent="0.3"/>
  <cols>
    <col min="1" max="1" width="11.88671875" customWidth="1"/>
    <col min="2" max="2" width="11.6640625" customWidth="1"/>
    <col min="3" max="3" width="12.5546875" customWidth="1"/>
    <col min="4" max="4" width="12.33203125" customWidth="1"/>
    <col min="5" max="5" width="12.44140625" customWidth="1"/>
    <col min="6" max="6" width="11.33203125" customWidth="1"/>
    <col min="7" max="7" width="10.88671875" customWidth="1"/>
    <col min="8" max="8" width="11.109375" customWidth="1"/>
    <col min="9" max="9" width="13" bestFit="1" customWidth="1"/>
    <col min="11" max="11" width="12.6640625" customWidth="1"/>
    <col min="12" max="12" width="12" customWidth="1"/>
    <col min="13" max="13" width="12.33203125" customWidth="1"/>
    <col min="14" max="14" width="11.5546875" customWidth="1"/>
    <col min="15" max="15" width="10.6640625" customWidth="1"/>
    <col min="16" max="16" width="11.109375" customWidth="1"/>
    <col min="17" max="17" width="10.6640625" customWidth="1"/>
    <col min="18" max="18" width="11" customWidth="1"/>
    <col min="19" max="19" width="10.109375" customWidth="1"/>
    <col min="20" max="20" width="11.109375" customWidth="1"/>
    <col min="21" max="21" width="12" customWidth="1"/>
    <col min="22" max="22" width="11" customWidth="1"/>
    <col min="23" max="23" width="10.33203125" bestFit="1" customWidth="1"/>
    <col min="24" max="24" width="10.6640625" bestFit="1" customWidth="1"/>
  </cols>
  <sheetData>
    <row r="1" spans="1:24" ht="15" thickBot="1" x14ac:dyDescent="0.35"/>
    <row r="2" spans="1:24" x14ac:dyDescent="0.3">
      <c r="A2" s="17">
        <v>45385</v>
      </c>
      <c r="B2" s="17">
        <v>45386</v>
      </c>
      <c r="C2" s="17">
        <v>45387</v>
      </c>
      <c r="D2" s="17">
        <v>45388</v>
      </c>
      <c r="E2" s="17">
        <v>45389</v>
      </c>
      <c r="F2" s="17">
        <v>45390</v>
      </c>
      <c r="G2" s="17">
        <v>45391</v>
      </c>
      <c r="H2" s="39"/>
      <c r="I2" s="13"/>
      <c r="K2" s="59">
        <v>45385</v>
      </c>
      <c r="L2" s="59"/>
      <c r="M2" s="59">
        <v>45386</v>
      </c>
      <c r="N2" s="59"/>
      <c r="O2" s="59">
        <v>45387</v>
      </c>
      <c r="P2" s="59"/>
      <c r="Q2" s="59">
        <v>45388</v>
      </c>
      <c r="R2" s="59"/>
      <c r="S2" s="59">
        <v>45389</v>
      </c>
      <c r="T2" s="59"/>
      <c r="U2" s="59">
        <v>45390</v>
      </c>
      <c r="V2" s="59"/>
      <c r="W2" s="59">
        <v>45391</v>
      </c>
      <c r="X2" s="59"/>
    </row>
    <row r="3" spans="1:24" ht="15" thickBot="1" x14ac:dyDescent="0.35">
      <c r="A3" s="21">
        <v>995</v>
      </c>
      <c r="B3" s="22">
        <v>1065</v>
      </c>
      <c r="C3" s="22">
        <v>1125</v>
      </c>
      <c r="D3" s="22">
        <v>635</v>
      </c>
      <c r="E3" s="22">
        <v>530</v>
      </c>
      <c r="F3" s="22">
        <v>1245</v>
      </c>
      <c r="G3" s="22">
        <v>1928.06</v>
      </c>
      <c r="H3" s="37"/>
      <c r="I3" s="14">
        <v>4005.15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4">
        <v>2950</v>
      </c>
      <c r="B4" s="22">
        <v>3910</v>
      </c>
      <c r="C4" s="22">
        <v>2640</v>
      </c>
      <c r="D4" s="22">
        <v>1220</v>
      </c>
      <c r="E4" s="25"/>
      <c r="F4" s="22">
        <v>2510</v>
      </c>
      <c r="G4" s="22">
        <v>2670</v>
      </c>
      <c r="H4" s="37"/>
      <c r="I4" s="14">
        <v>3948.5</v>
      </c>
      <c r="K4" s="75">
        <v>29</v>
      </c>
      <c r="L4" s="76">
        <v>253.5</v>
      </c>
      <c r="M4" s="77">
        <v>435</v>
      </c>
      <c r="N4" s="77">
        <v>234.5</v>
      </c>
      <c r="O4" s="77">
        <v>335</v>
      </c>
      <c r="P4" s="77">
        <v>50</v>
      </c>
      <c r="Q4" s="77">
        <v>300</v>
      </c>
      <c r="R4" s="77">
        <v>2370</v>
      </c>
      <c r="S4" s="78">
        <v>84</v>
      </c>
      <c r="T4" s="69"/>
      <c r="U4" s="63">
        <v>270</v>
      </c>
      <c r="V4" s="63">
        <v>42.5</v>
      </c>
      <c r="W4" s="63">
        <v>500</v>
      </c>
      <c r="X4" s="63">
        <v>140</v>
      </c>
    </row>
    <row r="5" spans="1:24" x14ac:dyDescent="0.3">
      <c r="A5" s="24">
        <v>1492.76</v>
      </c>
      <c r="B5" s="22">
        <v>1589.93</v>
      </c>
      <c r="C5" s="22">
        <v>1432.16</v>
      </c>
      <c r="D5" s="26">
        <v>1894</v>
      </c>
      <c r="E5" s="22"/>
      <c r="F5" s="22">
        <v>1662.76</v>
      </c>
      <c r="G5" s="22">
        <v>1185</v>
      </c>
      <c r="H5" s="37"/>
      <c r="I5" s="15">
        <v>1183.7</v>
      </c>
      <c r="K5" s="21">
        <v>455</v>
      </c>
      <c r="L5" s="79">
        <v>60</v>
      </c>
      <c r="M5" s="43">
        <v>447</v>
      </c>
      <c r="N5" s="43"/>
      <c r="O5" s="43">
        <v>234</v>
      </c>
      <c r="P5" s="43">
        <v>60</v>
      </c>
      <c r="Q5" s="80">
        <v>336</v>
      </c>
      <c r="R5" s="80">
        <v>95</v>
      </c>
      <c r="S5" s="43">
        <v>520</v>
      </c>
      <c r="T5" s="22"/>
      <c r="U5" s="22">
        <v>296</v>
      </c>
      <c r="V5" s="22"/>
      <c r="W5" s="22">
        <v>4970</v>
      </c>
      <c r="X5" s="22"/>
    </row>
    <row r="6" spans="1:24" x14ac:dyDescent="0.3">
      <c r="A6" s="24"/>
      <c r="B6" s="22"/>
      <c r="C6" s="22"/>
      <c r="D6" s="25"/>
      <c r="E6" s="22"/>
      <c r="F6" s="22"/>
      <c r="G6" s="22"/>
      <c r="H6" s="37"/>
      <c r="I6" s="15">
        <v>6317.6</v>
      </c>
      <c r="K6" s="21">
        <v>354</v>
      </c>
      <c r="L6" s="79"/>
      <c r="M6" s="43">
        <v>5555</v>
      </c>
      <c r="N6" s="43"/>
      <c r="O6" s="43">
        <v>4375</v>
      </c>
      <c r="P6" s="43">
        <v>600</v>
      </c>
      <c r="Q6" s="80">
        <v>2470</v>
      </c>
      <c r="R6" s="81"/>
      <c r="S6" s="43"/>
      <c r="T6" s="22"/>
      <c r="U6" s="22">
        <v>3580</v>
      </c>
      <c r="V6" s="22"/>
      <c r="W6" s="22">
        <v>614</v>
      </c>
      <c r="X6" s="22">
        <v>237.5</v>
      </c>
    </row>
    <row r="7" spans="1:24" x14ac:dyDescent="0.3">
      <c r="A7" s="129"/>
      <c r="B7" s="22"/>
      <c r="C7" s="22"/>
      <c r="D7" s="22"/>
      <c r="E7" s="22"/>
      <c r="F7" s="22"/>
      <c r="G7" s="22"/>
      <c r="H7" s="37"/>
      <c r="I7" s="15">
        <v>3975</v>
      </c>
      <c r="K7" s="21">
        <v>4925</v>
      </c>
      <c r="L7" s="79"/>
      <c r="M7" s="43">
        <v>740</v>
      </c>
      <c r="N7" s="43"/>
      <c r="O7" s="43">
        <v>800</v>
      </c>
      <c r="P7" s="43"/>
      <c r="Q7" s="43"/>
      <c r="R7" s="43"/>
      <c r="S7" s="43"/>
      <c r="T7" s="22"/>
      <c r="U7" s="22">
        <v>680</v>
      </c>
      <c r="V7" s="22"/>
      <c r="W7" s="22">
        <v>390</v>
      </c>
      <c r="X7" s="22"/>
    </row>
    <row r="8" spans="1:24" x14ac:dyDescent="0.3">
      <c r="A8" s="24"/>
      <c r="B8" s="22"/>
      <c r="C8" s="22"/>
      <c r="D8" s="22"/>
      <c r="E8" s="22"/>
      <c r="F8" s="22"/>
      <c r="G8" s="22"/>
      <c r="H8" s="37"/>
      <c r="I8" s="54"/>
      <c r="K8" s="128">
        <v>380</v>
      </c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>
        <v>23</v>
      </c>
      <c r="X8" s="22"/>
    </row>
    <row r="9" spans="1:24" ht="15" thickBot="1" x14ac:dyDescent="0.35">
      <c r="A9" s="24"/>
      <c r="B9" s="22"/>
      <c r="C9" s="22"/>
      <c r="D9" s="22"/>
      <c r="E9" s="22"/>
      <c r="F9" s="22"/>
      <c r="G9" s="22"/>
      <c r="H9" s="37"/>
      <c r="I9" s="16">
        <f>SUM(I3:I8)</f>
        <v>19429.95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4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4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8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8"/>
      <c r="V16" s="28"/>
      <c r="W16" s="22"/>
      <c r="X16" s="22"/>
    </row>
    <row r="17" spans="1:24" x14ac:dyDescent="0.3">
      <c r="A17" s="24">
        <f t="shared" ref="A17:G17" si="0">SUM(A3:A16)</f>
        <v>5437.76</v>
      </c>
      <c r="B17" s="24">
        <f t="shared" si="0"/>
        <v>6564.93</v>
      </c>
      <c r="C17" s="24">
        <f t="shared" si="0"/>
        <v>5197.16</v>
      </c>
      <c r="D17" s="24">
        <f t="shared" si="0"/>
        <v>3749</v>
      </c>
      <c r="E17" s="24">
        <f t="shared" si="0"/>
        <v>530</v>
      </c>
      <c r="F17" s="24">
        <f t="shared" si="0"/>
        <v>5417.76</v>
      </c>
      <c r="G17" s="24">
        <f t="shared" si="0"/>
        <v>5783.0599999999995</v>
      </c>
      <c r="H17" s="29">
        <f>SUM(A17:G17)+I9</f>
        <v>52109.619999999995</v>
      </c>
      <c r="I17" s="30" t="s">
        <v>7</v>
      </c>
      <c r="K17" s="24">
        <f t="shared" ref="K17:L17" si="1">SUM(K4:K16)</f>
        <v>6143</v>
      </c>
      <c r="L17" s="22">
        <f t="shared" si="1"/>
        <v>313.5</v>
      </c>
      <c r="M17" s="22">
        <f>SUM(M4:M16)</f>
        <v>7177</v>
      </c>
      <c r="N17" s="22">
        <f t="shared" ref="N17:Q17" si="2">SUM(N4:N16)</f>
        <v>234.5</v>
      </c>
      <c r="O17" s="22">
        <f t="shared" si="2"/>
        <v>5744</v>
      </c>
      <c r="P17" s="22">
        <f t="shared" si="2"/>
        <v>710</v>
      </c>
      <c r="Q17" s="22">
        <f t="shared" si="2"/>
        <v>3106</v>
      </c>
      <c r="R17" s="22">
        <f>SUM(R4:R16)</f>
        <v>2465</v>
      </c>
      <c r="S17" s="22">
        <f t="shared" ref="S17:W17" si="3">SUM(S4:S16)</f>
        <v>604</v>
      </c>
      <c r="T17" s="22">
        <f t="shared" si="3"/>
        <v>0</v>
      </c>
      <c r="U17" s="22">
        <f t="shared" si="3"/>
        <v>4826</v>
      </c>
      <c r="V17" s="22">
        <f t="shared" si="3"/>
        <v>42.5</v>
      </c>
      <c r="W17" s="22">
        <f t="shared" si="3"/>
        <v>6497</v>
      </c>
      <c r="X17" s="22">
        <f t="shared" ref="X17" si="4">SUM(X4:X16)</f>
        <v>377.5</v>
      </c>
    </row>
    <row r="18" spans="1:24" x14ac:dyDescent="0.3">
      <c r="A18" s="24">
        <v>5437.76</v>
      </c>
      <c r="B18" s="24">
        <v>6564.93</v>
      </c>
      <c r="C18" s="24">
        <v>5197.16</v>
      </c>
      <c r="D18" s="24">
        <v>3749</v>
      </c>
      <c r="E18" s="24">
        <v>530</v>
      </c>
      <c r="F18" s="24">
        <v>5417.76</v>
      </c>
      <c r="G18" s="24">
        <v>5783.06</v>
      </c>
      <c r="H18" s="22">
        <f>SUM(A18:G18)+I9</f>
        <v>52109.62</v>
      </c>
      <c r="I18" s="33" t="s">
        <v>1</v>
      </c>
      <c r="K18" s="24">
        <v>6143</v>
      </c>
      <c r="L18" s="24">
        <v>313.5</v>
      </c>
      <c r="M18" s="24">
        <v>7177</v>
      </c>
      <c r="N18" s="24">
        <v>234.5</v>
      </c>
      <c r="O18" s="24">
        <v>5744</v>
      </c>
      <c r="P18" s="24">
        <v>710</v>
      </c>
      <c r="Q18" s="24">
        <v>3106</v>
      </c>
      <c r="R18" s="24">
        <v>2465</v>
      </c>
      <c r="S18" s="24">
        <v>604</v>
      </c>
      <c r="T18" s="24">
        <v>0</v>
      </c>
      <c r="U18" s="24">
        <v>4826</v>
      </c>
      <c r="V18" s="24">
        <v>42.5</v>
      </c>
      <c r="W18" s="24">
        <v>6497</v>
      </c>
      <c r="X18" s="24">
        <v>377.5</v>
      </c>
    </row>
    <row r="19" spans="1:24" ht="15" thickBot="1" x14ac:dyDescent="0.35">
      <c r="A19" s="34">
        <f>A17-A18</f>
        <v>0</v>
      </c>
      <c r="B19" s="35">
        <f>B17-B18</f>
        <v>0</v>
      </c>
      <c r="C19" s="35">
        <f t="shared" ref="C19:G19" si="5">C17-C18</f>
        <v>0</v>
      </c>
      <c r="D19" s="35">
        <f t="shared" si="5"/>
        <v>0</v>
      </c>
      <c r="E19" s="35">
        <f t="shared" si="5"/>
        <v>0</v>
      </c>
      <c r="F19" s="35">
        <f t="shared" si="5"/>
        <v>0</v>
      </c>
      <c r="G19" s="35">
        <f t="shared" si="5"/>
        <v>0</v>
      </c>
      <c r="H19" s="35"/>
      <c r="I19" s="36"/>
      <c r="K19" s="86">
        <f t="shared" ref="K19:L19" si="6">K17-K18</f>
        <v>0</v>
      </c>
      <c r="L19" s="86">
        <f t="shared" si="6"/>
        <v>0</v>
      </c>
      <c r="M19" s="86">
        <f>M17-M18</f>
        <v>0</v>
      </c>
      <c r="N19" s="86">
        <f t="shared" ref="N19:W19" si="7">N17-N18</f>
        <v>0</v>
      </c>
      <c r="O19" s="86">
        <f t="shared" si="7"/>
        <v>0</v>
      </c>
      <c r="P19" s="86">
        <f t="shared" si="7"/>
        <v>0</v>
      </c>
      <c r="Q19" s="86">
        <f t="shared" si="7"/>
        <v>0</v>
      </c>
      <c r="R19" s="86">
        <f t="shared" si="7"/>
        <v>0</v>
      </c>
      <c r="S19" s="86">
        <f t="shared" si="7"/>
        <v>0</v>
      </c>
      <c r="T19" s="86">
        <f t="shared" si="7"/>
        <v>0</v>
      </c>
      <c r="U19" s="86">
        <f t="shared" si="7"/>
        <v>0</v>
      </c>
      <c r="V19" s="86">
        <f t="shared" si="7"/>
        <v>0</v>
      </c>
      <c r="W19" s="86">
        <f t="shared" si="7"/>
        <v>0</v>
      </c>
      <c r="X19" s="86">
        <f t="shared" ref="X19" si="8">X17-X18</f>
        <v>0</v>
      </c>
    </row>
    <row r="20" spans="1:24" ht="15.6" thickTop="1" thickBot="1" x14ac:dyDescent="0.35"/>
    <row r="21" spans="1:24" x14ac:dyDescent="0.3">
      <c r="A21" s="17">
        <v>45392</v>
      </c>
      <c r="B21" s="17">
        <v>45393</v>
      </c>
      <c r="C21" s="17">
        <v>45394</v>
      </c>
      <c r="D21" s="17">
        <v>45395</v>
      </c>
      <c r="E21" s="17">
        <v>45396</v>
      </c>
      <c r="F21" s="17">
        <v>45397</v>
      </c>
      <c r="G21" s="17">
        <v>45398</v>
      </c>
      <c r="H21" s="17"/>
      <c r="I21" s="13"/>
      <c r="K21" s="59">
        <v>45392</v>
      </c>
      <c r="L21" s="59"/>
      <c r="M21" s="59">
        <v>45393</v>
      </c>
      <c r="N21" s="59"/>
      <c r="O21" s="59">
        <v>45394</v>
      </c>
      <c r="P21" s="59"/>
      <c r="Q21" s="59">
        <v>45395</v>
      </c>
      <c r="R21" s="59"/>
      <c r="S21" s="59">
        <v>45396</v>
      </c>
      <c r="T21" s="59"/>
      <c r="U21" s="59">
        <v>45397</v>
      </c>
      <c r="V21" s="59"/>
      <c r="W21" s="59">
        <v>45398</v>
      </c>
      <c r="X21" s="59"/>
    </row>
    <row r="22" spans="1:24" ht="15" thickBot="1" x14ac:dyDescent="0.35">
      <c r="A22" s="21">
        <v>1125</v>
      </c>
      <c r="B22" s="22">
        <v>1080</v>
      </c>
      <c r="C22" s="22">
        <v>1020</v>
      </c>
      <c r="D22" s="22">
        <v>920</v>
      </c>
      <c r="E22" s="22">
        <v>410</v>
      </c>
      <c r="F22" s="22">
        <v>1547.46</v>
      </c>
      <c r="G22" s="22">
        <v>1195</v>
      </c>
      <c r="H22" s="37"/>
      <c r="I22" s="14">
        <v>4395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</row>
    <row r="23" spans="1:24" x14ac:dyDescent="0.3">
      <c r="A23" s="24">
        <f>2805</f>
        <v>2805</v>
      </c>
      <c r="B23" s="22">
        <v>2530</v>
      </c>
      <c r="C23" s="22">
        <v>2600</v>
      </c>
      <c r="D23" s="22">
        <v>1670</v>
      </c>
      <c r="E23" s="25"/>
      <c r="F23" s="22">
        <v>2960</v>
      </c>
      <c r="G23" s="22">
        <v>2220</v>
      </c>
      <c r="H23" s="37"/>
      <c r="I23" s="14">
        <v>5922.75</v>
      </c>
      <c r="K23" s="75">
        <v>370</v>
      </c>
      <c r="L23" s="76">
        <v>57.5</v>
      </c>
      <c r="M23" s="77">
        <v>340</v>
      </c>
      <c r="N23" s="77">
        <v>409.5</v>
      </c>
      <c r="O23" s="77">
        <v>286</v>
      </c>
      <c r="P23" s="77">
        <v>57.5</v>
      </c>
      <c r="Q23" s="77">
        <v>28</v>
      </c>
      <c r="R23" s="77">
        <v>117.5</v>
      </c>
      <c r="S23" s="78">
        <v>84</v>
      </c>
      <c r="T23" s="69">
        <v>15</v>
      </c>
      <c r="U23" s="63">
        <v>740</v>
      </c>
      <c r="V23" s="63">
        <v>42.5</v>
      </c>
      <c r="W23" s="63">
        <v>26</v>
      </c>
      <c r="X23" s="63">
        <v>57.5</v>
      </c>
    </row>
    <row r="24" spans="1:24" x14ac:dyDescent="0.3">
      <c r="A24" s="24">
        <v>1935.83</v>
      </c>
      <c r="B24" s="22">
        <v>1589.93</v>
      </c>
      <c r="C24" s="22">
        <v>1863</v>
      </c>
      <c r="D24" s="26">
        <v>1796.19</v>
      </c>
      <c r="E24" s="22"/>
      <c r="F24" s="22">
        <v>1080</v>
      </c>
      <c r="G24" s="22">
        <v>1547.46</v>
      </c>
      <c r="H24" s="37"/>
      <c r="I24" s="15">
        <v>631.08000000000004</v>
      </c>
      <c r="K24" s="21">
        <v>300</v>
      </c>
      <c r="L24" s="79">
        <v>1530</v>
      </c>
      <c r="M24" s="43">
        <v>480</v>
      </c>
      <c r="N24" s="43">
        <v>124.9</v>
      </c>
      <c r="O24" s="43">
        <v>3610</v>
      </c>
      <c r="P24" s="43">
        <v>437.9</v>
      </c>
      <c r="Q24" s="80">
        <v>210</v>
      </c>
      <c r="R24" s="80">
        <v>1680</v>
      </c>
      <c r="S24" s="43">
        <v>620</v>
      </c>
      <c r="T24" s="22"/>
      <c r="U24" s="22">
        <v>4005</v>
      </c>
      <c r="V24" s="22">
        <v>210</v>
      </c>
      <c r="W24" s="22">
        <v>335</v>
      </c>
      <c r="X24" s="22">
        <v>800</v>
      </c>
    </row>
    <row r="25" spans="1:24" x14ac:dyDescent="0.3">
      <c r="A25" s="24"/>
      <c r="B25" s="22"/>
      <c r="C25" s="22"/>
      <c r="D25" s="25"/>
      <c r="E25" s="22"/>
      <c r="F25" s="22"/>
      <c r="G25" s="22"/>
      <c r="H25" s="37"/>
      <c r="I25" s="15">
        <v>5289.97</v>
      </c>
      <c r="K25" s="21">
        <v>3410</v>
      </c>
      <c r="L25" s="79">
        <v>3580</v>
      </c>
      <c r="M25" s="43">
        <v>3890</v>
      </c>
      <c r="N25" s="43"/>
      <c r="O25" s="43">
        <v>1100</v>
      </c>
      <c r="P25" s="43">
        <v>60</v>
      </c>
      <c r="Q25" s="80">
        <v>464</v>
      </c>
      <c r="R25" s="81"/>
      <c r="S25" s="43"/>
      <c r="T25" s="22"/>
      <c r="U25" s="22">
        <v>387</v>
      </c>
      <c r="V25" s="22"/>
      <c r="W25" s="22">
        <v>456</v>
      </c>
      <c r="X25" s="22"/>
    </row>
    <row r="26" spans="1:24" x14ac:dyDescent="0.3">
      <c r="A26" s="129"/>
      <c r="B26" s="22"/>
      <c r="C26" s="22"/>
      <c r="D26" s="22"/>
      <c r="E26" s="22"/>
      <c r="F26" s="22"/>
      <c r="G26" s="22"/>
      <c r="H26" s="37"/>
      <c r="I26" s="15">
        <v>4005.15</v>
      </c>
      <c r="K26" s="21">
        <v>500</v>
      </c>
      <c r="L26" s="79"/>
      <c r="M26" s="43">
        <v>500</v>
      </c>
      <c r="N26" s="43"/>
      <c r="O26" s="43">
        <v>370</v>
      </c>
      <c r="P26" s="43"/>
      <c r="Q26" s="43">
        <v>3300</v>
      </c>
      <c r="R26" s="43"/>
      <c r="S26" s="43"/>
      <c r="T26" s="22"/>
      <c r="U26" s="22">
        <v>395</v>
      </c>
      <c r="V26" s="22"/>
      <c r="W26" s="22">
        <v>3695</v>
      </c>
      <c r="X26" s="22"/>
    </row>
    <row r="27" spans="1:24" x14ac:dyDescent="0.3">
      <c r="A27" s="24"/>
      <c r="B27" s="22"/>
      <c r="C27" s="22"/>
      <c r="D27" s="22"/>
      <c r="E27" s="22"/>
      <c r="F27" s="22"/>
      <c r="G27" s="22"/>
      <c r="H27" s="37"/>
      <c r="I27" s="130">
        <v>370</v>
      </c>
      <c r="K27" s="128"/>
      <c r="L27" s="79"/>
      <c r="M27" s="43"/>
      <c r="N27" s="43"/>
      <c r="O27" s="43"/>
      <c r="P27" s="43"/>
      <c r="Q27" s="43">
        <v>240</v>
      </c>
      <c r="R27" s="43"/>
      <c r="S27" s="43"/>
      <c r="T27" s="22"/>
      <c r="U27" s="22"/>
      <c r="V27" s="22"/>
      <c r="W27" s="22">
        <v>740</v>
      </c>
      <c r="X27" s="22"/>
    </row>
    <row r="28" spans="1:24" ht="15" thickBot="1" x14ac:dyDescent="0.35">
      <c r="A28" s="24"/>
      <c r="B28" s="22"/>
      <c r="C28" s="22"/>
      <c r="D28" s="22"/>
      <c r="E28" s="22"/>
      <c r="F28" s="22"/>
      <c r="G28" s="22"/>
      <c r="H28" s="37"/>
      <c r="I28" s="16">
        <f>SUM(I22:I27)</f>
        <v>20613.95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22"/>
    </row>
    <row r="29" spans="1:24" ht="15" thickTop="1" x14ac:dyDescent="0.3">
      <c r="A29" s="24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4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4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4"/>
      <c r="B35" s="22"/>
      <c r="C35" s="22"/>
      <c r="D35" s="22"/>
      <c r="E35" s="22"/>
      <c r="F35" s="28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8"/>
      <c r="V35" s="28"/>
      <c r="W35" s="28"/>
      <c r="X35" s="28"/>
    </row>
    <row r="36" spans="1:24" x14ac:dyDescent="0.3">
      <c r="A36" s="24">
        <f t="shared" ref="A36:G36" si="9">SUM(A22:A35)</f>
        <v>5865.83</v>
      </c>
      <c r="B36" s="24">
        <f t="shared" si="9"/>
        <v>5199.93</v>
      </c>
      <c r="C36" s="24">
        <f t="shared" si="9"/>
        <v>5483</v>
      </c>
      <c r="D36" s="24">
        <f t="shared" si="9"/>
        <v>4386.1900000000005</v>
      </c>
      <c r="E36" s="24">
        <f t="shared" si="9"/>
        <v>410</v>
      </c>
      <c r="F36" s="24">
        <f t="shared" si="9"/>
        <v>5587.46</v>
      </c>
      <c r="G36" s="24">
        <f t="shared" si="9"/>
        <v>4962.46</v>
      </c>
      <c r="H36" s="29">
        <f>SUM(A36:G36)+I28</f>
        <v>52508.820000000007</v>
      </c>
      <c r="I36" s="30" t="s">
        <v>7</v>
      </c>
      <c r="K36" s="24">
        <f t="shared" ref="K36:L36" si="10">SUM(K23:K35)</f>
        <v>4580</v>
      </c>
      <c r="L36" s="22">
        <f t="shared" si="10"/>
        <v>5167.5</v>
      </c>
      <c r="M36" s="22">
        <f>SUM(M23:M35)</f>
        <v>5210</v>
      </c>
      <c r="N36" s="22">
        <f t="shared" ref="N36:Q36" si="11">SUM(N23:N35)</f>
        <v>534.4</v>
      </c>
      <c r="O36" s="22">
        <f t="shared" si="11"/>
        <v>5366</v>
      </c>
      <c r="P36" s="22">
        <f t="shared" si="11"/>
        <v>555.4</v>
      </c>
      <c r="Q36" s="22">
        <f t="shared" si="11"/>
        <v>4242</v>
      </c>
      <c r="R36" s="22">
        <f>SUM(R23:R35)</f>
        <v>1797.5</v>
      </c>
      <c r="S36" s="22">
        <f t="shared" ref="S36:V36" si="12">SUM(S23:S35)</f>
        <v>704</v>
      </c>
      <c r="T36" s="22">
        <f t="shared" si="12"/>
        <v>15</v>
      </c>
      <c r="U36" s="22">
        <f t="shared" si="12"/>
        <v>5527</v>
      </c>
      <c r="V36" s="22">
        <f t="shared" si="12"/>
        <v>252.5</v>
      </c>
      <c r="W36" s="22">
        <f t="shared" ref="W36:X36" si="13">SUM(W23:W35)</f>
        <v>5252</v>
      </c>
      <c r="X36" s="22">
        <f t="shared" si="13"/>
        <v>857.5</v>
      </c>
    </row>
    <row r="37" spans="1:24" x14ac:dyDescent="0.3">
      <c r="A37" s="24">
        <v>5865.83</v>
      </c>
      <c r="B37" s="24">
        <v>5199.93</v>
      </c>
      <c r="C37" s="24">
        <v>5483</v>
      </c>
      <c r="D37" s="24">
        <v>4386.1899999999996</v>
      </c>
      <c r="E37" s="24">
        <v>410</v>
      </c>
      <c r="F37" s="24">
        <v>5587.46</v>
      </c>
      <c r="G37" s="24">
        <v>4962.46</v>
      </c>
      <c r="H37" s="22">
        <f>SUM(A37:G37)+I28</f>
        <v>52508.82</v>
      </c>
      <c r="I37" s="33" t="s">
        <v>1</v>
      </c>
      <c r="K37" s="24">
        <v>4580</v>
      </c>
      <c r="L37" s="24">
        <v>5167.5</v>
      </c>
      <c r="M37" s="24">
        <v>5210</v>
      </c>
      <c r="N37" s="24">
        <v>534.4</v>
      </c>
      <c r="O37" s="24">
        <v>5366</v>
      </c>
      <c r="P37" s="24">
        <v>555.4</v>
      </c>
      <c r="Q37" s="24">
        <v>4242</v>
      </c>
      <c r="R37" s="24">
        <v>1797.5</v>
      </c>
      <c r="S37" s="24">
        <v>704</v>
      </c>
      <c r="T37" s="24">
        <v>15</v>
      </c>
      <c r="U37" s="24">
        <v>5527</v>
      </c>
      <c r="V37" s="24">
        <v>42.5</v>
      </c>
      <c r="W37" s="24">
        <v>5252</v>
      </c>
      <c r="X37" s="24">
        <v>857.5</v>
      </c>
    </row>
    <row r="38" spans="1:24" ht="15" thickBot="1" x14ac:dyDescent="0.35">
      <c r="A38" s="34">
        <f>A36-A37</f>
        <v>0</v>
      </c>
      <c r="B38" s="35">
        <f>B36-B37</f>
        <v>0</v>
      </c>
      <c r="C38" s="35">
        <f t="shared" ref="C38:H38" si="14">C36-C37</f>
        <v>0</v>
      </c>
      <c r="D38" s="35">
        <f t="shared" si="14"/>
        <v>0</v>
      </c>
      <c r="E38" s="35">
        <f t="shared" si="14"/>
        <v>0</v>
      </c>
      <c r="F38" s="35">
        <f t="shared" si="14"/>
        <v>0</v>
      </c>
      <c r="G38" s="35">
        <f t="shared" si="14"/>
        <v>0</v>
      </c>
      <c r="H38" s="35">
        <f t="shared" si="14"/>
        <v>0</v>
      </c>
      <c r="I38" s="36"/>
      <c r="K38" s="86">
        <f t="shared" ref="K38:L38" si="15">K36-K37</f>
        <v>0</v>
      </c>
      <c r="L38" s="86">
        <f t="shared" si="15"/>
        <v>0</v>
      </c>
      <c r="M38" s="86">
        <f>M36-M37</f>
        <v>0</v>
      </c>
      <c r="N38" s="86">
        <f t="shared" ref="N38:V38" si="16">N36-N37</f>
        <v>0</v>
      </c>
      <c r="O38" s="86">
        <f t="shared" si="16"/>
        <v>0</v>
      </c>
      <c r="P38" s="86">
        <f t="shared" si="16"/>
        <v>0</v>
      </c>
      <c r="Q38" s="86">
        <f t="shared" si="16"/>
        <v>0</v>
      </c>
      <c r="R38" s="86">
        <f t="shared" si="16"/>
        <v>0</v>
      </c>
      <c r="S38" s="86">
        <f t="shared" si="16"/>
        <v>0</v>
      </c>
      <c r="T38" s="86">
        <f t="shared" si="16"/>
        <v>0</v>
      </c>
      <c r="U38" s="86">
        <f t="shared" si="16"/>
        <v>0</v>
      </c>
      <c r="V38" s="86">
        <f t="shared" si="16"/>
        <v>210</v>
      </c>
      <c r="W38" s="86">
        <f t="shared" ref="W38:X38" si="17">W36-W37</f>
        <v>0</v>
      </c>
      <c r="X38" s="86">
        <f t="shared" si="17"/>
        <v>0</v>
      </c>
    </row>
    <row r="39" spans="1:24" ht="15" thickTop="1" x14ac:dyDescent="0.3"/>
    <row r="40" spans="1:24" ht="15" thickBot="1" x14ac:dyDescent="0.35"/>
    <row r="41" spans="1:24" x14ac:dyDescent="0.3">
      <c r="A41" s="17">
        <v>45399</v>
      </c>
      <c r="B41" s="17">
        <v>45400</v>
      </c>
      <c r="C41" s="17">
        <v>45401</v>
      </c>
      <c r="D41" s="17">
        <v>45402</v>
      </c>
      <c r="E41" s="17">
        <v>45403</v>
      </c>
      <c r="F41" s="17">
        <v>45404</v>
      </c>
      <c r="G41" s="17">
        <v>45405</v>
      </c>
      <c r="H41" s="17"/>
      <c r="I41" s="13"/>
      <c r="K41" s="59">
        <v>45399</v>
      </c>
      <c r="L41" s="59"/>
      <c r="M41" s="59">
        <v>45400</v>
      </c>
      <c r="N41" s="59"/>
      <c r="O41" s="59">
        <v>45401</v>
      </c>
      <c r="P41" s="59"/>
      <c r="Q41" s="59">
        <v>45402</v>
      </c>
      <c r="R41" s="59"/>
      <c r="S41" s="59">
        <v>45403</v>
      </c>
      <c r="T41" s="59"/>
      <c r="U41" s="59">
        <v>45404</v>
      </c>
      <c r="V41" s="59"/>
      <c r="W41" s="59">
        <v>45405</v>
      </c>
      <c r="X41" s="59"/>
    </row>
    <row r="42" spans="1:24" ht="15" thickBot="1" x14ac:dyDescent="0.35">
      <c r="A42" s="21">
        <v>1165</v>
      </c>
      <c r="B42" s="22">
        <v>935</v>
      </c>
      <c r="C42" s="22">
        <v>850</v>
      </c>
      <c r="D42" s="22">
        <v>860</v>
      </c>
      <c r="E42" s="22">
        <v>240</v>
      </c>
      <c r="F42" s="22">
        <v>975</v>
      </c>
      <c r="G42" s="22">
        <v>1170</v>
      </c>
      <c r="H42" s="37"/>
      <c r="I42" s="14">
        <v>5922.75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26" t="s">
        <v>11</v>
      </c>
    </row>
    <row r="43" spans="1:24" x14ac:dyDescent="0.3">
      <c r="A43" s="24">
        <v>2610</v>
      </c>
      <c r="B43" s="22">
        <v>2555</v>
      </c>
      <c r="C43" s="22">
        <v>2130</v>
      </c>
      <c r="D43" s="22">
        <v>1375</v>
      </c>
      <c r="E43" s="25"/>
      <c r="F43" s="22">
        <v>3135</v>
      </c>
      <c r="G43" s="22">
        <v>2730</v>
      </c>
      <c r="H43" s="37"/>
      <c r="I43" s="14">
        <v>4117.5</v>
      </c>
      <c r="K43" s="75">
        <v>340</v>
      </c>
      <c r="L43" s="76">
        <v>35</v>
      </c>
      <c r="M43" s="77">
        <v>430</v>
      </c>
      <c r="N43" s="77">
        <v>35</v>
      </c>
      <c r="O43" s="77">
        <v>395</v>
      </c>
      <c r="P43" s="77">
        <v>50</v>
      </c>
      <c r="Q43" s="77">
        <v>28</v>
      </c>
      <c r="R43" s="77">
        <v>98</v>
      </c>
      <c r="S43" s="78">
        <v>84</v>
      </c>
      <c r="T43" s="69"/>
      <c r="U43" s="63">
        <v>370</v>
      </c>
      <c r="V43" s="63">
        <v>25</v>
      </c>
      <c r="W43" s="63">
        <v>26</v>
      </c>
      <c r="X43" s="63">
        <v>50</v>
      </c>
    </row>
    <row r="44" spans="1:24" x14ac:dyDescent="0.3">
      <c r="A44" s="24">
        <v>1274.3900000000001</v>
      </c>
      <c r="B44" s="22">
        <v>1589.93</v>
      </c>
      <c r="C44" s="22">
        <v>1589.93</v>
      </c>
      <c r="D44" s="26">
        <v>1894</v>
      </c>
      <c r="E44" s="22"/>
      <c r="F44" s="22">
        <v>788.85</v>
      </c>
      <c r="G44" s="22">
        <v>1104.3900000000001</v>
      </c>
      <c r="H44" s="37"/>
      <c r="I44" s="15">
        <v>5289.97</v>
      </c>
      <c r="K44" s="21">
        <v>289</v>
      </c>
      <c r="L44" s="79">
        <v>170</v>
      </c>
      <c r="M44" s="43">
        <v>429</v>
      </c>
      <c r="N44" s="43"/>
      <c r="O44" s="43">
        <v>210</v>
      </c>
      <c r="P44" s="43">
        <v>120</v>
      </c>
      <c r="Q44" s="80">
        <v>270</v>
      </c>
      <c r="R44" s="80">
        <v>170</v>
      </c>
      <c r="S44" s="43">
        <v>760</v>
      </c>
      <c r="T44" s="22"/>
      <c r="U44" s="22">
        <v>343</v>
      </c>
      <c r="V44" s="22">
        <v>85</v>
      </c>
      <c r="W44" s="22">
        <v>305</v>
      </c>
      <c r="X44" s="22">
        <v>80</v>
      </c>
    </row>
    <row r="45" spans="1:24" x14ac:dyDescent="0.3">
      <c r="A45" s="24"/>
      <c r="B45" s="22"/>
      <c r="C45" s="22"/>
      <c r="D45" s="25"/>
      <c r="E45" s="22"/>
      <c r="F45" s="22"/>
      <c r="G45" s="22"/>
      <c r="H45" s="37"/>
      <c r="I45" s="15">
        <v>1110</v>
      </c>
      <c r="K45" s="21">
        <v>3220</v>
      </c>
      <c r="L45" s="79"/>
      <c r="M45" s="43">
        <v>3430</v>
      </c>
      <c r="N45" s="43"/>
      <c r="O45" s="43">
        <v>3695</v>
      </c>
      <c r="P45" s="43"/>
      <c r="Q45" s="80">
        <v>300</v>
      </c>
      <c r="R45" s="81">
        <v>780</v>
      </c>
      <c r="S45" s="43"/>
      <c r="T45" s="22"/>
      <c r="U45" s="22">
        <v>4130</v>
      </c>
      <c r="V45" s="22"/>
      <c r="W45" s="22">
        <v>474</v>
      </c>
      <c r="X45" s="22">
        <v>409.5</v>
      </c>
    </row>
    <row r="46" spans="1:24" x14ac:dyDescent="0.3">
      <c r="A46" s="129"/>
      <c r="B46" s="22"/>
      <c r="C46" s="22"/>
      <c r="D46" s="22"/>
      <c r="E46" s="22"/>
      <c r="F46" s="22"/>
      <c r="G46" s="22"/>
      <c r="H46" s="37"/>
      <c r="I46" s="15">
        <v>4709.8</v>
      </c>
      <c r="K46" s="21">
        <v>760</v>
      </c>
      <c r="L46" s="79"/>
      <c r="M46" s="43">
        <v>620</v>
      </c>
      <c r="N46" s="43"/>
      <c r="O46" s="43">
        <v>1100</v>
      </c>
      <c r="P46" s="43"/>
      <c r="Q46" s="43">
        <v>1900</v>
      </c>
      <c r="R46" s="43"/>
      <c r="S46" s="43"/>
      <c r="T46" s="22"/>
      <c r="U46" s="22">
        <v>720</v>
      </c>
      <c r="V46" s="22"/>
      <c r="W46" s="22">
        <v>3575</v>
      </c>
      <c r="X46" s="22"/>
    </row>
    <row r="47" spans="1:24" x14ac:dyDescent="0.3">
      <c r="A47" s="24"/>
      <c r="B47" s="22"/>
      <c r="C47" s="22"/>
      <c r="D47" s="22"/>
      <c r="E47" s="22"/>
      <c r="F47" s="22"/>
      <c r="G47" s="22"/>
      <c r="H47" s="37"/>
      <c r="I47" s="130">
        <v>861.68</v>
      </c>
      <c r="K47" s="128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>
        <v>960</v>
      </c>
      <c r="X47" s="22"/>
    </row>
    <row r="48" spans="1:24" ht="15" thickBot="1" x14ac:dyDescent="0.35">
      <c r="A48" s="24"/>
      <c r="B48" s="22"/>
      <c r="C48" s="22"/>
      <c r="D48" s="22"/>
      <c r="E48" s="22"/>
      <c r="F48" s="22"/>
      <c r="G48" s="22"/>
      <c r="H48" s="37"/>
      <c r="I48" s="16">
        <f>SUM(I42:I47)</f>
        <v>22011.7</v>
      </c>
      <c r="K48" s="21"/>
      <c r="L48" s="79"/>
      <c r="M48" s="43"/>
      <c r="N48" s="43"/>
      <c r="O48" s="43"/>
      <c r="P48" s="43"/>
      <c r="Q48" s="43"/>
      <c r="R48" s="43"/>
      <c r="S48" s="43"/>
      <c r="T48" s="22"/>
      <c r="U48" s="22"/>
      <c r="V48" s="22"/>
      <c r="W48" s="22"/>
      <c r="X48" s="22"/>
    </row>
    <row r="49" spans="1:24" ht="15" thickTop="1" x14ac:dyDescent="0.3">
      <c r="A49" s="24"/>
      <c r="B49" s="22"/>
      <c r="C49" s="22"/>
      <c r="D49" s="22"/>
      <c r="E49" s="22"/>
      <c r="F49" s="22"/>
      <c r="G49" s="22"/>
      <c r="H49" s="22"/>
      <c r="I49" s="40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4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4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4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4"/>
      <c r="B55" s="22"/>
      <c r="C55" s="22"/>
      <c r="D55" s="22"/>
      <c r="E55" s="22"/>
      <c r="F55" s="28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8"/>
      <c r="V55" s="28"/>
      <c r="W55" s="28"/>
      <c r="X55" s="28"/>
    </row>
    <row r="56" spans="1:24" x14ac:dyDescent="0.3">
      <c r="A56" s="24">
        <f t="shared" ref="A56" si="18">SUM(A42:A55)</f>
        <v>5049.3900000000003</v>
      </c>
      <c r="B56" s="24">
        <f t="shared" ref="B56:G56" si="19">SUM(B42:B55)</f>
        <v>5079.93</v>
      </c>
      <c r="C56" s="24">
        <f t="shared" si="19"/>
        <v>4569.93</v>
      </c>
      <c r="D56" s="24">
        <f t="shared" si="19"/>
        <v>4129</v>
      </c>
      <c r="E56" s="24">
        <f t="shared" si="19"/>
        <v>240</v>
      </c>
      <c r="F56" s="24">
        <f t="shared" si="19"/>
        <v>4898.8500000000004</v>
      </c>
      <c r="G56" s="24">
        <f t="shared" si="19"/>
        <v>5004.3900000000003</v>
      </c>
      <c r="H56" s="29">
        <f>SUM(A56:G56)+I48</f>
        <v>50983.19</v>
      </c>
      <c r="I56" s="30" t="s">
        <v>7</v>
      </c>
      <c r="K56" s="24">
        <f t="shared" ref="K56" si="20">SUM(K43:K55)</f>
        <v>4609</v>
      </c>
      <c r="L56" s="24">
        <f t="shared" ref="L56:S56" si="21">SUM(L43:L55)</f>
        <v>205</v>
      </c>
      <c r="M56" s="24">
        <f t="shared" si="21"/>
        <v>4909</v>
      </c>
      <c r="N56" s="24">
        <f t="shared" si="21"/>
        <v>35</v>
      </c>
      <c r="O56" s="24">
        <f t="shared" si="21"/>
        <v>5400</v>
      </c>
      <c r="P56" s="24">
        <f t="shared" si="21"/>
        <v>170</v>
      </c>
      <c r="Q56" s="24">
        <f t="shared" si="21"/>
        <v>2498</v>
      </c>
      <c r="R56" s="24">
        <f t="shared" si="21"/>
        <v>1048</v>
      </c>
      <c r="S56" s="24">
        <f t="shared" si="21"/>
        <v>844</v>
      </c>
      <c r="T56" s="22">
        <f t="shared" ref="T56:X56" si="22">SUM(T43:T55)</f>
        <v>0</v>
      </c>
      <c r="U56" s="22">
        <f t="shared" si="22"/>
        <v>5563</v>
      </c>
      <c r="V56" s="22">
        <f t="shared" si="22"/>
        <v>110</v>
      </c>
      <c r="W56" s="22">
        <f t="shared" si="22"/>
        <v>5340</v>
      </c>
      <c r="X56" s="22">
        <f t="shared" si="22"/>
        <v>539.5</v>
      </c>
    </row>
    <row r="57" spans="1:24" x14ac:dyDescent="0.3">
      <c r="A57" s="24">
        <v>5049.3900000000003</v>
      </c>
      <c r="B57" s="24">
        <v>5079.93</v>
      </c>
      <c r="C57" s="24">
        <v>4569.93</v>
      </c>
      <c r="D57" s="24">
        <v>4129</v>
      </c>
      <c r="E57" s="24">
        <v>240</v>
      </c>
      <c r="F57" s="24">
        <v>4898.8500000000004</v>
      </c>
      <c r="G57" s="24">
        <v>5004.3900000000003</v>
      </c>
      <c r="H57" s="22">
        <f>SUM(A57:G57)+I48</f>
        <v>50983.19</v>
      </c>
      <c r="I57" s="33" t="s">
        <v>1</v>
      </c>
      <c r="K57" s="24">
        <v>4609</v>
      </c>
      <c r="L57" s="24">
        <v>205</v>
      </c>
      <c r="M57" s="24">
        <v>4909</v>
      </c>
      <c r="N57" s="24">
        <v>35</v>
      </c>
      <c r="O57" s="24">
        <v>5400</v>
      </c>
      <c r="P57" s="24">
        <v>170</v>
      </c>
      <c r="Q57" s="24">
        <v>2498</v>
      </c>
      <c r="R57" s="24">
        <v>1048</v>
      </c>
      <c r="S57" s="24">
        <v>844</v>
      </c>
      <c r="T57" s="24">
        <v>0</v>
      </c>
      <c r="U57" s="22">
        <v>5563</v>
      </c>
      <c r="V57" s="22">
        <v>110</v>
      </c>
      <c r="W57" s="22">
        <v>5340</v>
      </c>
      <c r="X57" s="24">
        <v>539.5</v>
      </c>
    </row>
    <row r="58" spans="1:24" ht="15" thickBot="1" x14ac:dyDescent="0.35">
      <c r="A58" s="34">
        <f>A56-A57</f>
        <v>0</v>
      </c>
      <c r="B58" s="35">
        <f>B56-B57</f>
        <v>0</v>
      </c>
      <c r="C58" s="35">
        <f t="shared" ref="C58:H58" si="23">C56-C57</f>
        <v>0</v>
      </c>
      <c r="D58" s="35">
        <f t="shared" si="23"/>
        <v>0</v>
      </c>
      <c r="E58" s="35">
        <f t="shared" si="23"/>
        <v>0</v>
      </c>
      <c r="F58" s="35">
        <f t="shared" si="23"/>
        <v>0</v>
      </c>
      <c r="G58" s="35">
        <f t="shared" si="23"/>
        <v>0</v>
      </c>
      <c r="H58" s="35">
        <f t="shared" si="23"/>
        <v>0</v>
      </c>
      <c r="I58" s="36"/>
      <c r="K58" s="86">
        <f t="shared" ref="K58:L58" si="24">K56-K57</f>
        <v>0</v>
      </c>
      <c r="L58" s="86">
        <f t="shared" si="24"/>
        <v>0</v>
      </c>
      <c r="M58" s="86">
        <f>M56-M57</f>
        <v>0</v>
      </c>
      <c r="N58" s="86">
        <f t="shared" ref="N58:X58" si="25">N56-N57</f>
        <v>0</v>
      </c>
      <c r="O58" s="86">
        <f t="shared" si="25"/>
        <v>0</v>
      </c>
      <c r="P58" s="86">
        <f t="shared" si="25"/>
        <v>0</v>
      </c>
      <c r="Q58" s="86">
        <f t="shared" si="25"/>
        <v>0</v>
      </c>
      <c r="R58" s="86">
        <f t="shared" si="25"/>
        <v>0</v>
      </c>
      <c r="S58" s="86">
        <f t="shared" si="25"/>
        <v>0</v>
      </c>
      <c r="T58" s="86">
        <f t="shared" si="25"/>
        <v>0</v>
      </c>
      <c r="U58" s="86">
        <f t="shared" si="25"/>
        <v>0</v>
      </c>
      <c r="V58" s="86">
        <f t="shared" si="25"/>
        <v>0</v>
      </c>
      <c r="W58" s="86">
        <f t="shared" si="25"/>
        <v>0</v>
      </c>
      <c r="X58" s="86">
        <f t="shared" si="25"/>
        <v>0</v>
      </c>
    </row>
    <row r="59" spans="1:24" ht="15.6" thickTop="1" thickBot="1" x14ac:dyDescent="0.35"/>
    <row r="60" spans="1:24" x14ac:dyDescent="0.3">
      <c r="A60" s="17">
        <v>45406</v>
      </c>
      <c r="B60" s="17" t="s">
        <v>31</v>
      </c>
      <c r="C60" s="17">
        <v>45408</v>
      </c>
      <c r="D60" s="17">
        <v>45409</v>
      </c>
      <c r="E60" s="17">
        <v>45410</v>
      </c>
      <c r="F60" s="17">
        <v>45411</v>
      </c>
      <c r="G60" s="17">
        <v>45412</v>
      </c>
      <c r="H60" s="17"/>
      <c r="I60" s="13"/>
      <c r="K60" s="59">
        <v>45406</v>
      </c>
      <c r="L60" s="59"/>
      <c r="M60" s="59">
        <v>45407</v>
      </c>
      <c r="N60" s="59"/>
      <c r="O60" s="59">
        <v>45408</v>
      </c>
      <c r="P60" s="59"/>
      <c r="Q60" s="59">
        <v>45409</v>
      </c>
      <c r="R60" s="59"/>
      <c r="S60" s="59">
        <v>45410</v>
      </c>
      <c r="T60" s="59"/>
      <c r="U60" s="59">
        <v>45411</v>
      </c>
      <c r="V60" s="59"/>
      <c r="W60" s="59">
        <v>45412</v>
      </c>
      <c r="X60" s="59"/>
    </row>
    <row r="61" spans="1:24" ht="15" thickBot="1" x14ac:dyDescent="0.35">
      <c r="A61" s="21">
        <v>1115</v>
      </c>
      <c r="B61" s="22">
        <v>1070</v>
      </c>
      <c r="C61" s="22">
        <v>1419.93</v>
      </c>
      <c r="D61" s="22">
        <v>635</v>
      </c>
      <c r="E61" s="22">
        <v>240</v>
      </c>
      <c r="F61" s="22">
        <v>1210</v>
      </c>
      <c r="G61" s="22">
        <v>1285</v>
      </c>
      <c r="H61" s="37"/>
      <c r="I61" s="14">
        <v>5527.9</v>
      </c>
      <c r="J61" s="1"/>
      <c r="K61" s="124" t="s">
        <v>10</v>
      </c>
      <c r="L61" s="125" t="s">
        <v>11</v>
      </c>
      <c r="M61" s="126" t="s">
        <v>10</v>
      </c>
      <c r="N61" s="126" t="s">
        <v>11</v>
      </c>
      <c r="O61" s="126" t="s">
        <v>10</v>
      </c>
      <c r="P61" s="126" t="s">
        <v>11</v>
      </c>
      <c r="Q61" s="126" t="s">
        <v>10</v>
      </c>
      <c r="R61" s="126" t="s">
        <v>11</v>
      </c>
      <c r="S61" s="126" t="s">
        <v>10</v>
      </c>
      <c r="T61" s="126" t="s">
        <v>11</v>
      </c>
      <c r="U61" s="126" t="s">
        <v>10</v>
      </c>
      <c r="V61" s="126" t="s">
        <v>11</v>
      </c>
      <c r="W61" s="126" t="s">
        <v>10</v>
      </c>
      <c r="X61" s="126" t="s">
        <v>11</v>
      </c>
    </row>
    <row r="62" spans="1:24" x14ac:dyDescent="0.3">
      <c r="A62" s="24">
        <v>2505</v>
      </c>
      <c r="B62" s="22">
        <v>2745</v>
      </c>
      <c r="C62" s="22">
        <v>2875</v>
      </c>
      <c r="D62" s="22">
        <v>1440</v>
      </c>
      <c r="E62" s="25"/>
      <c r="F62" s="22">
        <v>3320</v>
      </c>
      <c r="G62" s="22">
        <v>2750</v>
      </c>
      <c r="H62" s="37"/>
      <c r="I62" s="14">
        <v>3645</v>
      </c>
      <c r="K62" s="75">
        <v>364</v>
      </c>
      <c r="L62" s="76">
        <v>35</v>
      </c>
      <c r="M62" s="77">
        <v>360</v>
      </c>
      <c r="N62" s="77">
        <v>425</v>
      </c>
      <c r="O62" s="77">
        <v>1200</v>
      </c>
      <c r="P62" s="77">
        <v>50</v>
      </c>
      <c r="Q62" s="77">
        <v>330</v>
      </c>
      <c r="R62" s="77">
        <v>42.5</v>
      </c>
      <c r="S62" s="78">
        <v>84</v>
      </c>
      <c r="T62" s="69"/>
      <c r="U62" s="63">
        <v>395</v>
      </c>
      <c r="V62" s="63">
        <v>83</v>
      </c>
      <c r="W62" s="63">
        <v>370</v>
      </c>
      <c r="X62" s="63">
        <v>57.5</v>
      </c>
    </row>
    <row r="63" spans="1:24" x14ac:dyDescent="0.3">
      <c r="A63" s="24">
        <v>1334.99</v>
      </c>
      <c r="B63" s="22">
        <v>1419.93</v>
      </c>
      <c r="C63" s="22">
        <v>840</v>
      </c>
      <c r="D63" s="26"/>
      <c r="E63" s="22"/>
      <c r="F63" s="22">
        <v>1262.1600000000001</v>
      </c>
      <c r="G63" s="22">
        <v>1377.46</v>
      </c>
      <c r="H63" s="37"/>
      <c r="I63" s="15">
        <v>740</v>
      </c>
      <c r="K63" s="21">
        <v>327</v>
      </c>
      <c r="L63" s="79"/>
      <c r="M63" s="43">
        <v>450</v>
      </c>
      <c r="N63" s="43"/>
      <c r="O63" s="43">
        <v>3470</v>
      </c>
      <c r="P63" s="43">
        <v>120</v>
      </c>
      <c r="Q63" s="80">
        <v>318</v>
      </c>
      <c r="R63" s="80"/>
      <c r="S63" s="43">
        <v>760</v>
      </c>
      <c r="T63" s="22"/>
      <c r="U63" s="22">
        <v>387</v>
      </c>
      <c r="V63" s="22"/>
      <c r="W63" s="22">
        <v>474</v>
      </c>
      <c r="X63" s="22">
        <v>1740</v>
      </c>
    </row>
    <row r="64" spans="1:24" x14ac:dyDescent="0.3">
      <c r="A64" s="24"/>
      <c r="B64" s="22"/>
      <c r="C64" s="22"/>
      <c r="D64" s="25"/>
      <c r="E64" s="22"/>
      <c r="F64" s="22"/>
      <c r="G64" s="22"/>
      <c r="H64" s="37"/>
      <c r="I64" s="15">
        <v>5605.51</v>
      </c>
      <c r="K64" s="21">
        <v>3545</v>
      </c>
      <c r="L64" s="79"/>
      <c r="M64" s="43">
        <v>3480</v>
      </c>
      <c r="N64" s="43"/>
      <c r="O64" s="43">
        <v>400</v>
      </c>
      <c r="P64" s="43"/>
      <c r="Q64" s="80">
        <v>2360</v>
      </c>
      <c r="R64" s="81"/>
      <c r="S64" s="43">
        <v>240</v>
      </c>
      <c r="T64" s="22"/>
      <c r="U64" s="22">
        <v>3915</v>
      </c>
      <c r="V64" s="22"/>
      <c r="W64" s="22">
        <v>3320</v>
      </c>
      <c r="X64" s="22">
        <v>1599</v>
      </c>
    </row>
    <row r="65" spans="1:24" x14ac:dyDescent="0.3">
      <c r="A65" s="129"/>
      <c r="B65" s="22"/>
      <c r="C65" s="22"/>
      <c r="D65" s="22"/>
      <c r="E65" s="22"/>
      <c r="F65" s="22"/>
      <c r="G65" s="22"/>
      <c r="H65" s="37"/>
      <c r="I65" s="15">
        <v>3471.13</v>
      </c>
      <c r="K65" s="21">
        <v>960</v>
      </c>
      <c r="L65" s="79"/>
      <c r="M65" s="43">
        <v>1200</v>
      </c>
      <c r="N65" s="43"/>
      <c r="O65" s="43">
        <v>292</v>
      </c>
      <c r="P65" s="43"/>
      <c r="Q65" s="43"/>
      <c r="R65" s="43"/>
      <c r="S65" s="43"/>
      <c r="T65" s="22"/>
      <c r="U65" s="22" t="s">
        <v>32</v>
      </c>
      <c r="V65" s="22"/>
      <c r="W65" s="22">
        <v>1340</v>
      </c>
      <c r="X65" s="22"/>
    </row>
    <row r="66" spans="1:24" x14ac:dyDescent="0.3">
      <c r="A66" s="24"/>
      <c r="B66" s="22"/>
      <c r="C66" s="22"/>
      <c r="D66" s="22"/>
      <c r="E66" s="22"/>
      <c r="F66" s="22"/>
      <c r="G66" s="22"/>
      <c r="H66" s="37"/>
      <c r="I66" s="130"/>
      <c r="K66" s="128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22"/>
    </row>
    <row r="67" spans="1:24" ht="15" thickBot="1" x14ac:dyDescent="0.35">
      <c r="A67" s="24"/>
      <c r="B67" s="22"/>
      <c r="C67" s="22"/>
      <c r="D67" s="22"/>
      <c r="E67" s="22"/>
      <c r="F67" s="22"/>
      <c r="G67" s="22"/>
      <c r="H67" s="37"/>
      <c r="I67" s="16">
        <f>SUM(I61:I66)</f>
        <v>18989.54</v>
      </c>
      <c r="K67" s="21"/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/>
      <c r="X67" s="22"/>
    </row>
    <row r="68" spans="1:24" ht="15" thickTop="1" x14ac:dyDescent="0.3">
      <c r="A68" s="24"/>
      <c r="B68" s="22"/>
      <c r="C68" s="22"/>
      <c r="D68" s="22"/>
      <c r="E68" s="22"/>
      <c r="F68" s="22"/>
      <c r="G68" s="22"/>
      <c r="H68" s="22"/>
      <c r="I68" s="40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3">
      <c r="A69" s="24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4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4"/>
      <c r="B74" s="22"/>
      <c r="C74" s="22"/>
      <c r="D74" s="22"/>
      <c r="E74" s="22"/>
      <c r="F74" s="28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8"/>
      <c r="V74" s="28"/>
      <c r="W74" s="28"/>
      <c r="X74" s="28"/>
    </row>
    <row r="75" spans="1:24" x14ac:dyDescent="0.3">
      <c r="A75" s="24">
        <v>4954.99</v>
      </c>
      <c r="B75" s="24">
        <f t="shared" ref="B75:G75" si="26">SUM(B61:B74)</f>
        <v>5234.93</v>
      </c>
      <c r="C75" s="24">
        <f t="shared" si="26"/>
        <v>5134.93</v>
      </c>
      <c r="D75" s="24">
        <f t="shared" si="26"/>
        <v>2075</v>
      </c>
      <c r="E75" s="24">
        <f t="shared" si="26"/>
        <v>240</v>
      </c>
      <c r="F75" s="24">
        <f t="shared" si="26"/>
        <v>5792.16</v>
      </c>
      <c r="G75" s="24">
        <f t="shared" si="26"/>
        <v>5412.46</v>
      </c>
      <c r="H75" s="29">
        <f>SUM(A75:G75)+I67</f>
        <v>47834.009999999995</v>
      </c>
      <c r="I75" s="30" t="s">
        <v>7</v>
      </c>
      <c r="K75" s="24">
        <f t="shared" ref="K75:X75" si="27">SUM(K62:K74)</f>
        <v>5196</v>
      </c>
      <c r="L75" s="24">
        <f t="shared" si="27"/>
        <v>35</v>
      </c>
      <c r="M75" s="24">
        <f t="shared" si="27"/>
        <v>5490</v>
      </c>
      <c r="N75" s="24">
        <f t="shared" si="27"/>
        <v>425</v>
      </c>
      <c r="O75" s="24">
        <f t="shared" si="27"/>
        <v>5362</v>
      </c>
      <c r="P75" s="24">
        <f t="shared" si="27"/>
        <v>170</v>
      </c>
      <c r="Q75" s="24">
        <f t="shared" si="27"/>
        <v>3008</v>
      </c>
      <c r="R75" s="24">
        <f t="shared" si="27"/>
        <v>42.5</v>
      </c>
      <c r="S75" s="24">
        <f t="shared" si="27"/>
        <v>1084</v>
      </c>
      <c r="T75" s="22">
        <f t="shared" si="27"/>
        <v>0</v>
      </c>
      <c r="U75" s="22">
        <f t="shared" si="27"/>
        <v>4697</v>
      </c>
      <c r="V75" s="22">
        <f t="shared" si="27"/>
        <v>83</v>
      </c>
      <c r="W75" s="22">
        <f>SUM(W62:W74)</f>
        <v>5504</v>
      </c>
      <c r="X75" s="22">
        <f t="shared" si="27"/>
        <v>3396.5</v>
      </c>
    </row>
    <row r="76" spans="1:24" x14ac:dyDescent="0.3">
      <c r="A76" s="24">
        <v>4954.99</v>
      </c>
      <c r="B76" s="24">
        <v>5234.93</v>
      </c>
      <c r="C76" s="24">
        <v>5134.93</v>
      </c>
      <c r="D76" s="24">
        <v>2075</v>
      </c>
      <c r="E76" s="24">
        <v>240</v>
      </c>
      <c r="F76" s="24">
        <v>5792.16</v>
      </c>
      <c r="G76" s="24">
        <v>5412.46</v>
      </c>
      <c r="H76" s="22">
        <f>SUM(A76:G76)+I67</f>
        <v>47834.009999999995</v>
      </c>
      <c r="I76" s="33" t="s">
        <v>1</v>
      </c>
      <c r="K76" s="24">
        <v>5196</v>
      </c>
      <c r="L76" s="24">
        <v>35</v>
      </c>
      <c r="M76" s="24">
        <v>5490</v>
      </c>
      <c r="N76" s="24">
        <v>425</v>
      </c>
      <c r="O76" s="24">
        <v>5362</v>
      </c>
      <c r="P76" s="24">
        <v>170</v>
      </c>
      <c r="Q76" s="24">
        <v>3008</v>
      </c>
      <c r="R76" s="24">
        <v>42.5</v>
      </c>
      <c r="S76" s="24">
        <v>844</v>
      </c>
      <c r="T76" s="22">
        <v>5877</v>
      </c>
      <c r="U76" s="22">
        <v>5877</v>
      </c>
      <c r="V76" s="22">
        <v>83</v>
      </c>
      <c r="W76" s="22">
        <v>5504</v>
      </c>
      <c r="X76" s="22">
        <v>3396.5</v>
      </c>
    </row>
    <row r="77" spans="1:24" ht="15" thickBot="1" x14ac:dyDescent="0.35">
      <c r="A77" s="34">
        <f>A75-A76</f>
        <v>0</v>
      </c>
      <c r="B77" s="35">
        <f>B75-B76</f>
        <v>0</v>
      </c>
      <c r="C77" s="35">
        <f t="shared" ref="C77:H77" si="28">C75-C76</f>
        <v>0</v>
      </c>
      <c r="D77" s="35">
        <f t="shared" si="28"/>
        <v>0</v>
      </c>
      <c r="E77" s="35">
        <f t="shared" si="28"/>
        <v>0</v>
      </c>
      <c r="F77" s="35">
        <f t="shared" si="28"/>
        <v>0</v>
      </c>
      <c r="G77" s="35">
        <f t="shared" si="28"/>
        <v>0</v>
      </c>
      <c r="H77" s="35">
        <f t="shared" si="28"/>
        <v>0</v>
      </c>
      <c r="I77" s="36"/>
      <c r="K77" s="86">
        <f t="shared" ref="K77:L77" si="29">K75-K76</f>
        <v>0</v>
      </c>
      <c r="L77" s="86">
        <f t="shared" si="29"/>
        <v>0</v>
      </c>
      <c r="M77" s="86">
        <f>M75-M76</f>
        <v>0</v>
      </c>
      <c r="N77" s="86">
        <f t="shared" ref="N77:V77" si="30">N75-N76</f>
        <v>0</v>
      </c>
      <c r="O77" s="86">
        <f t="shared" si="30"/>
        <v>0</v>
      </c>
      <c r="P77" s="86">
        <f t="shared" si="30"/>
        <v>0</v>
      </c>
      <c r="Q77" s="86">
        <f t="shared" si="30"/>
        <v>0</v>
      </c>
      <c r="R77" s="86">
        <f t="shared" si="30"/>
        <v>0</v>
      </c>
      <c r="S77" s="86">
        <f t="shared" si="30"/>
        <v>240</v>
      </c>
      <c r="T77" s="86">
        <f t="shared" si="30"/>
        <v>-5877</v>
      </c>
      <c r="U77" s="86">
        <f t="shared" si="30"/>
        <v>-1180</v>
      </c>
      <c r="V77" s="86">
        <f t="shared" si="30"/>
        <v>0</v>
      </c>
      <c r="W77" s="86">
        <f>W75-W76</f>
        <v>0</v>
      </c>
      <c r="X77" s="86">
        <f>X75-X76</f>
        <v>0</v>
      </c>
    </row>
    <row r="78" spans="1:24" ht="15.6" thickTop="1" thickBot="1" x14ac:dyDescent="0.35"/>
    <row r="79" spans="1:24" x14ac:dyDescent="0.3">
      <c r="A79" s="17">
        <v>45532</v>
      </c>
      <c r="B79" s="17">
        <v>45533</v>
      </c>
      <c r="C79" s="17">
        <v>45534</v>
      </c>
      <c r="D79" s="17">
        <v>45535</v>
      </c>
      <c r="E79" s="17">
        <v>45536</v>
      </c>
      <c r="F79" s="17">
        <v>45537</v>
      </c>
      <c r="G79" s="17">
        <v>45507</v>
      </c>
      <c r="H79" s="17"/>
      <c r="I79" s="13"/>
      <c r="K79" s="59" t="s">
        <v>33</v>
      </c>
      <c r="L79" s="59"/>
      <c r="M79" s="59">
        <v>45533</v>
      </c>
      <c r="N79" s="59"/>
      <c r="O79" s="59">
        <v>45534</v>
      </c>
      <c r="P79" s="59"/>
      <c r="Q79" s="59" t="s">
        <v>34</v>
      </c>
      <c r="R79" s="59"/>
      <c r="S79" s="59">
        <v>45536</v>
      </c>
      <c r="T79" s="59"/>
      <c r="U79" s="59">
        <v>45537</v>
      </c>
      <c r="V79" s="59"/>
      <c r="W79" s="59">
        <v>45538</v>
      </c>
      <c r="X79" s="59"/>
    </row>
    <row r="80" spans="1:24" ht="15" thickBot="1" x14ac:dyDescent="0.35">
      <c r="A80" s="21">
        <v>1105</v>
      </c>
      <c r="B80" s="22">
        <v>1215</v>
      </c>
      <c r="C80" s="22"/>
      <c r="D80" s="22"/>
      <c r="E80" s="22"/>
      <c r="F80" s="22"/>
      <c r="G80" s="22"/>
      <c r="H80" s="37"/>
      <c r="I80" s="14"/>
      <c r="K80" s="124" t="s">
        <v>10</v>
      </c>
      <c r="L80" s="125" t="s">
        <v>11</v>
      </c>
      <c r="M80" s="126" t="s">
        <v>10</v>
      </c>
      <c r="N80" s="126" t="s">
        <v>11</v>
      </c>
      <c r="O80" s="126" t="s">
        <v>10</v>
      </c>
      <c r="P80" s="126" t="s">
        <v>11</v>
      </c>
      <c r="Q80" s="126" t="s">
        <v>10</v>
      </c>
      <c r="R80" s="126" t="s">
        <v>11</v>
      </c>
      <c r="S80" s="126" t="s">
        <v>10</v>
      </c>
      <c r="T80" s="126" t="s">
        <v>11</v>
      </c>
      <c r="U80" s="126" t="s">
        <v>10</v>
      </c>
      <c r="V80" s="126" t="s">
        <v>11</v>
      </c>
      <c r="W80" s="126" t="s">
        <v>10</v>
      </c>
      <c r="X80" s="126" t="s">
        <v>11</v>
      </c>
    </row>
    <row r="81" spans="1:24" x14ac:dyDescent="0.3">
      <c r="A81" s="24">
        <v>2825</v>
      </c>
      <c r="B81" s="22">
        <v>725</v>
      </c>
      <c r="C81" s="22"/>
      <c r="D81" s="22"/>
      <c r="E81" s="25"/>
      <c r="F81" s="22"/>
      <c r="G81" s="22"/>
      <c r="H81" s="37"/>
      <c r="I81" s="14"/>
      <c r="K81" s="75">
        <v>28</v>
      </c>
      <c r="L81" s="76">
        <v>70</v>
      </c>
      <c r="M81" s="77">
        <v>60</v>
      </c>
      <c r="N81" s="77"/>
      <c r="O81" s="77"/>
      <c r="P81" s="77"/>
      <c r="Q81" s="77"/>
      <c r="R81" s="77"/>
      <c r="S81" s="78"/>
      <c r="T81" s="69"/>
      <c r="U81" s="63"/>
      <c r="V81" s="63"/>
      <c r="W81" s="63"/>
      <c r="X81" s="63"/>
    </row>
    <row r="82" spans="1:24" x14ac:dyDescent="0.3">
      <c r="A82" s="24">
        <v>1659.6</v>
      </c>
      <c r="B82" s="22"/>
      <c r="C82" s="22"/>
      <c r="D82" s="26"/>
      <c r="E82" s="22"/>
      <c r="F82" s="22"/>
      <c r="G82" s="22"/>
      <c r="H82" s="37"/>
      <c r="I82" s="15"/>
      <c r="K82" s="21">
        <v>600</v>
      </c>
      <c r="L82" s="79"/>
      <c r="M82" s="43">
        <v>1100</v>
      </c>
      <c r="N82" s="43"/>
      <c r="O82" s="43"/>
      <c r="P82" s="43"/>
      <c r="Q82" s="80"/>
      <c r="R82" s="80"/>
      <c r="S82" s="43"/>
      <c r="T82" s="22"/>
      <c r="U82" s="22"/>
      <c r="V82" s="22"/>
      <c r="W82" s="22"/>
      <c r="X82" s="22"/>
    </row>
    <row r="83" spans="1:24" x14ac:dyDescent="0.3">
      <c r="A83" s="24"/>
      <c r="B83" s="22"/>
      <c r="C83" s="22"/>
      <c r="D83" s="25"/>
      <c r="E83" s="22"/>
      <c r="F83" s="22"/>
      <c r="G83" s="22"/>
      <c r="H83" s="37"/>
      <c r="I83" s="15"/>
      <c r="K83" s="21">
        <v>304</v>
      </c>
      <c r="L83" s="79"/>
      <c r="M83" s="43">
        <v>141</v>
      </c>
      <c r="N83" s="43"/>
      <c r="O83" s="43"/>
      <c r="P83" s="43"/>
      <c r="Q83" s="80"/>
      <c r="R83" s="81"/>
      <c r="S83" s="43"/>
      <c r="T83" s="22"/>
      <c r="U83" s="22"/>
      <c r="V83" s="22"/>
      <c r="W83" s="22"/>
      <c r="X83" s="22"/>
    </row>
    <row r="84" spans="1:24" x14ac:dyDescent="0.3">
      <c r="A84" s="129"/>
      <c r="B84" s="22"/>
      <c r="C84" s="22"/>
      <c r="D84" s="22"/>
      <c r="E84" s="22"/>
      <c r="F84" s="22"/>
      <c r="G84" s="22"/>
      <c r="H84" s="37"/>
      <c r="I84" s="15"/>
      <c r="K84" s="21">
        <v>2330</v>
      </c>
      <c r="L84" s="79"/>
      <c r="M84" s="43">
        <v>360</v>
      </c>
      <c r="N84" s="43"/>
      <c r="O84" s="43"/>
      <c r="P84" s="43"/>
      <c r="Q84" s="43"/>
      <c r="R84" s="43"/>
      <c r="S84" s="43"/>
      <c r="T84" s="22"/>
      <c r="U84" s="22"/>
      <c r="V84" s="22"/>
      <c r="W84" s="22"/>
      <c r="X84" s="22"/>
    </row>
    <row r="85" spans="1:24" x14ac:dyDescent="0.3">
      <c r="A85" s="24"/>
      <c r="B85" s="22"/>
      <c r="C85" s="22"/>
      <c r="D85" s="22"/>
      <c r="E85" s="22"/>
      <c r="F85" s="22"/>
      <c r="G85" s="22"/>
      <c r="H85" s="37"/>
      <c r="I85" s="130"/>
      <c r="K85" s="128">
        <v>540</v>
      </c>
      <c r="L85" s="79"/>
      <c r="M85" s="43"/>
      <c r="N85" s="43"/>
      <c r="O85" s="43"/>
      <c r="P85" s="43"/>
      <c r="Q85" s="43"/>
      <c r="R85" s="43"/>
      <c r="S85" s="43"/>
      <c r="T85" s="22"/>
      <c r="U85" s="22"/>
      <c r="V85" s="22"/>
      <c r="W85" s="22"/>
      <c r="X85" s="22"/>
    </row>
    <row r="86" spans="1:24" ht="15" thickBot="1" x14ac:dyDescent="0.35">
      <c r="A86" s="24"/>
      <c r="B86" s="22"/>
      <c r="C86" s="22"/>
      <c r="D86" s="22"/>
      <c r="E86" s="22"/>
      <c r="F86" s="22"/>
      <c r="G86" s="22"/>
      <c r="H86" s="37"/>
      <c r="I86" s="16">
        <f>SUM(I80:I85)</f>
        <v>0</v>
      </c>
      <c r="K86" s="21"/>
      <c r="L86" s="79"/>
      <c r="M86" s="43"/>
      <c r="N86" s="43"/>
      <c r="O86" s="43"/>
      <c r="P86" s="43"/>
      <c r="Q86" s="43"/>
      <c r="R86" s="43"/>
      <c r="S86" s="43"/>
      <c r="T86" s="22"/>
      <c r="U86" s="22"/>
      <c r="V86" s="22"/>
      <c r="W86" s="22"/>
      <c r="X86" s="22"/>
    </row>
    <row r="87" spans="1:24" ht="15" thickTop="1" x14ac:dyDescent="0.3">
      <c r="A87" s="24"/>
      <c r="B87" s="22"/>
      <c r="C87" s="22"/>
      <c r="D87" s="22"/>
      <c r="E87" s="22"/>
      <c r="F87" s="22"/>
      <c r="G87" s="22"/>
      <c r="H87" s="22"/>
      <c r="I87" s="40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3">
      <c r="A88" s="24"/>
      <c r="B88" s="22"/>
      <c r="C88" s="22"/>
      <c r="D88" s="22"/>
      <c r="E88" s="22"/>
      <c r="F88" s="22"/>
      <c r="G88" s="22"/>
      <c r="H88" s="22"/>
      <c r="I88" s="27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3">
      <c r="A89" s="24"/>
      <c r="B89" s="22"/>
      <c r="C89" s="22"/>
      <c r="D89" s="22"/>
      <c r="E89" s="22"/>
      <c r="F89" s="22"/>
      <c r="G89" s="22"/>
      <c r="H89" s="22"/>
      <c r="I89" s="27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3">
      <c r="A90" s="24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3">
      <c r="A91" s="24"/>
      <c r="B91" s="22"/>
      <c r="C91" s="22"/>
      <c r="D91" s="22"/>
      <c r="E91" s="22"/>
      <c r="F91" s="22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3">
      <c r="A92" s="24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3">
      <c r="A93" s="24">
        <f>SUM(A80:A92)</f>
        <v>5589.6</v>
      </c>
      <c r="B93" s="24">
        <f t="shared" ref="B93:G93" si="31">SUM(B80:B92)</f>
        <v>1940</v>
      </c>
      <c r="C93" s="24">
        <f t="shared" si="31"/>
        <v>0</v>
      </c>
      <c r="D93" s="24">
        <f t="shared" si="31"/>
        <v>0</v>
      </c>
      <c r="E93" s="24">
        <f t="shared" si="31"/>
        <v>0</v>
      </c>
      <c r="F93" s="24">
        <f t="shared" si="31"/>
        <v>0</v>
      </c>
      <c r="G93" s="24">
        <f t="shared" si="31"/>
        <v>0</v>
      </c>
      <c r="H93" s="22"/>
      <c r="I93" s="23"/>
      <c r="K93" s="24">
        <f t="shared" ref="K93:W93" si="32">SUM(K80:K92)</f>
        <v>3802</v>
      </c>
      <c r="L93" s="24">
        <f t="shared" si="32"/>
        <v>70</v>
      </c>
      <c r="M93" s="24">
        <f t="shared" si="32"/>
        <v>1661</v>
      </c>
      <c r="N93" s="24">
        <f t="shared" si="32"/>
        <v>0</v>
      </c>
      <c r="O93" s="24">
        <f t="shared" si="32"/>
        <v>0</v>
      </c>
      <c r="P93" s="24">
        <f t="shared" si="32"/>
        <v>0</v>
      </c>
      <c r="Q93" s="24">
        <f t="shared" si="32"/>
        <v>0</v>
      </c>
      <c r="R93" s="24">
        <f t="shared" si="32"/>
        <v>0</v>
      </c>
      <c r="S93" s="24">
        <f t="shared" si="32"/>
        <v>0</v>
      </c>
      <c r="T93" s="24">
        <f t="shared" si="32"/>
        <v>0</v>
      </c>
      <c r="U93" s="24">
        <f t="shared" si="32"/>
        <v>0</v>
      </c>
      <c r="V93" s="24">
        <f t="shared" si="32"/>
        <v>0</v>
      </c>
      <c r="W93" s="24">
        <f t="shared" si="32"/>
        <v>0</v>
      </c>
      <c r="X93" s="28"/>
    </row>
    <row r="94" spans="1:24" x14ac:dyDescent="0.3">
      <c r="A94" s="24">
        <v>5589.6</v>
      </c>
      <c r="B94" s="24">
        <v>2015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9">
        <f>SUM(A94:G94)+I86</f>
        <v>7604.6</v>
      </c>
      <c r="I94" s="30" t="s">
        <v>7</v>
      </c>
      <c r="K94" s="24">
        <v>3802</v>
      </c>
      <c r="L94" s="24">
        <v>70</v>
      </c>
      <c r="M94" s="24">
        <v>1661</v>
      </c>
      <c r="N94" s="24">
        <f t="shared" ref="N94:X94" si="33">SUM(N81:N93)</f>
        <v>0</v>
      </c>
      <c r="O94" s="24">
        <f t="shared" si="33"/>
        <v>0</v>
      </c>
      <c r="P94" s="24">
        <f t="shared" si="33"/>
        <v>0</v>
      </c>
      <c r="Q94" s="24">
        <f t="shared" si="33"/>
        <v>0</v>
      </c>
      <c r="R94" s="24">
        <f t="shared" si="33"/>
        <v>0</v>
      </c>
      <c r="S94" s="24">
        <f t="shared" si="33"/>
        <v>0</v>
      </c>
      <c r="T94" s="24">
        <f t="shared" si="33"/>
        <v>0</v>
      </c>
      <c r="U94" s="24">
        <f t="shared" si="33"/>
        <v>0</v>
      </c>
      <c r="V94" s="24">
        <f t="shared" si="33"/>
        <v>0</v>
      </c>
      <c r="W94" s="24">
        <f t="shared" si="33"/>
        <v>0</v>
      </c>
      <c r="X94" s="24">
        <f t="shared" si="33"/>
        <v>0</v>
      </c>
    </row>
    <row r="95" spans="1:24" ht="15" thickBot="1" x14ac:dyDescent="0.35">
      <c r="A95" s="34">
        <f>A93-A94</f>
        <v>0</v>
      </c>
      <c r="B95" s="24">
        <v>0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2">
        <f>SUM(A95:G95)+I86</f>
        <v>0</v>
      </c>
      <c r="I95" s="33" t="s">
        <v>1</v>
      </c>
      <c r="K95" s="86">
        <f t="shared" ref="K95:M95" si="34">K93-K94</f>
        <v>0</v>
      </c>
      <c r="L95" s="86">
        <f t="shared" si="34"/>
        <v>0</v>
      </c>
      <c r="M95" s="86">
        <f t="shared" si="34"/>
        <v>0</v>
      </c>
      <c r="N95" s="24">
        <f t="shared" ref="N95:X95" si="35">SUM(N82:N94)</f>
        <v>0</v>
      </c>
      <c r="O95" s="24">
        <f t="shared" si="35"/>
        <v>0</v>
      </c>
      <c r="P95" s="24">
        <f t="shared" si="35"/>
        <v>0</v>
      </c>
      <c r="Q95" s="24">
        <f t="shared" si="35"/>
        <v>0</v>
      </c>
      <c r="R95" s="24">
        <f t="shared" si="35"/>
        <v>0</v>
      </c>
      <c r="S95" s="24">
        <f t="shared" si="35"/>
        <v>0</v>
      </c>
      <c r="T95" s="24">
        <f t="shared" si="35"/>
        <v>0</v>
      </c>
      <c r="U95" s="24">
        <f t="shared" si="35"/>
        <v>0</v>
      </c>
      <c r="V95" s="24">
        <f t="shared" si="35"/>
        <v>0</v>
      </c>
      <c r="W95" s="24">
        <f t="shared" si="35"/>
        <v>0</v>
      </c>
      <c r="X95" s="24">
        <f t="shared" si="35"/>
        <v>0</v>
      </c>
    </row>
    <row r="96" spans="1:24" ht="15" thickTop="1" x14ac:dyDescent="0.3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EF68-01DC-4112-8036-299787ED39BF}">
  <dimension ref="A1:X77"/>
  <sheetViews>
    <sheetView topLeftCell="E55" zoomScale="84" zoomScaleNormal="84" workbookViewId="0">
      <selection activeCell="G79" sqref="G79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7" width="11.33203125" bestFit="1" customWidth="1"/>
    <col min="8" max="8" width="10.88671875" bestFit="1" customWidth="1"/>
    <col min="9" max="9" width="13" bestFit="1" customWidth="1"/>
    <col min="11" max="11" width="12" customWidth="1"/>
    <col min="12" max="12" width="12.33203125" bestFit="1" customWidth="1"/>
    <col min="13" max="13" width="13.6640625" customWidth="1"/>
    <col min="14" max="14" width="12.33203125" bestFit="1" customWidth="1"/>
    <col min="15" max="15" width="11.33203125" customWidth="1"/>
    <col min="16" max="16" width="12.33203125" bestFit="1" customWidth="1"/>
    <col min="17" max="17" width="12.5546875" customWidth="1"/>
    <col min="18" max="18" width="12.33203125" bestFit="1" customWidth="1"/>
    <col min="19" max="19" width="14.5546875" customWidth="1"/>
    <col min="20" max="20" width="12.33203125" bestFit="1" customWidth="1"/>
    <col min="21" max="21" width="14.44140625" customWidth="1"/>
    <col min="22" max="22" width="12.33203125" bestFit="1" customWidth="1"/>
    <col min="23" max="23" width="11.44140625" customWidth="1"/>
    <col min="24" max="24" width="12.33203125" bestFit="1" customWidth="1"/>
  </cols>
  <sheetData>
    <row r="1" spans="1:24" x14ac:dyDescent="0.3">
      <c r="A1" s="17">
        <v>45413</v>
      </c>
      <c r="B1" s="17">
        <v>45414</v>
      </c>
      <c r="C1" s="17">
        <v>45415</v>
      </c>
      <c r="D1" s="17">
        <v>45416</v>
      </c>
      <c r="E1" s="17">
        <v>45417</v>
      </c>
      <c r="F1" s="17">
        <v>45418</v>
      </c>
      <c r="G1" s="17">
        <v>45419</v>
      </c>
      <c r="H1" s="17"/>
      <c r="I1" s="13"/>
      <c r="K1" s="59">
        <v>45413</v>
      </c>
      <c r="L1" s="59"/>
      <c r="M1" s="59">
        <v>45414</v>
      </c>
      <c r="N1" s="59"/>
      <c r="O1" s="59">
        <v>45415</v>
      </c>
      <c r="P1" s="59"/>
      <c r="Q1" s="59">
        <v>45416</v>
      </c>
      <c r="R1" s="59"/>
      <c r="S1" s="59">
        <v>45417</v>
      </c>
      <c r="T1" s="59"/>
      <c r="U1" s="59">
        <v>45418</v>
      </c>
      <c r="V1" s="59"/>
      <c r="W1" s="59">
        <v>45419</v>
      </c>
      <c r="X1" s="59"/>
    </row>
    <row r="2" spans="1:24" ht="15" thickBot="1" x14ac:dyDescent="0.35">
      <c r="A2" s="21">
        <v>2615</v>
      </c>
      <c r="B2" s="22">
        <v>1262.1600000000001</v>
      </c>
      <c r="C2" s="22">
        <v>1125</v>
      </c>
      <c r="D2" s="22">
        <v>1355</v>
      </c>
      <c r="E2" s="22">
        <v>650</v>
      </c>
      <c r="F2" s="22">
        <v>905</v>
      </c>
      <c r="G2" s="22">
        <v>905</v>
      </c>
      <c r="H2" s="37"/>
      <c r="I2" s="14">
        <v>5824.04</v>
      </c>
      <c r="J2" s="1"/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26" t="s">
        <v>11</v>
      </c>
    </row>
    <row r="3" spans="1:24" x14ac:dyDescent="0.3">
      <c r="A3" s="24">
        <v>820</v>
      </c>
      <c r="B3" s="22">
        <v>3410</v>
      </c>
      <c r="C3" s="22">
        <v>3115</v>
      </c>
      <c r="D3" s="22">
        <v>1710</v>
      </c>
      <c r="E3" s="25"/>
      <c r="F3" s="22">
        <v>3100</v>
      </c>
      <c r="G3" s="22">
        <v>2135</v>
      </c>
      <c r="H3" s="37"/>
      <c r="I3" s="14">
        <v>3800</v>
      </c>
      <c r="K3" s="75">
        <v>2565</v>
      </c>
      <c r="L3" s="76">
        <v>1980</v>
      </c>
      <c r="M3" s="77">
        <v>840</v>
      </c>
      <c r="N3" s="77">
        <v>578</v>
      </c>
      <c r="O3" s="77">
        <v>335</v>
      </c>
      <c r="P3" s="77">
        <v>80</v>
      </c>
      <c r="Q3" s="77">
        <v>56</v>
      </c>
      <c r="R3" s="77">
        <v>409.5</v>
      </c>
      <c r="S3" s="78">
        <v>420</v>
      </c>
      <c r="T3" s="69"/>
      <c r="U3" s="63">
        <v>495</v>
      </c>
      <c r="V3" s="63">
        <v>403</v>
      </c>
      <c r="W3" s="63">
        <v>425</v>
      </c>
      <c r="X3" s="63">
        <v>65</v>
      </c>
    </row>
    <row r="4" spans="1:24" x14ac:dyDescent="0.3">
      <c r="A4" s="24"/>
      <c r="B4" s="22">
        <v>1015</v>
      </c>
      <c r="C4" s="22">
        <v>1377.46</v>
      </c>
      <c r="D4" s="26">
        <v>1493.4</v>
      </c>
      <c r="E4" s="22"/>
      <c r="F4" s="22">
        <v>1419.93</v>
      </c>
      <c r="G4" s="22">
        <v>1177.22</v>
      </c>
      <c r="H4" s="37"/>
      <c r="I4" s="15">
        <v>3471.13</v>
      </c>
      <c r="K4" s="21">
        <v>395</v>
      </c>
      <c r="L4" s="79">
        <v>50</v>
      </c>
      <c r="M4" s="43">
        <v>4695</v>
      </c>
      <c r="N4" s="43">
        <v>60</v>
      </c>
      <c r="O4" s="43">
        <v>240</v>
      </c>
      <c r="P4" s="43"/>
      <c r="Q4" s="80">
        <v>310</v>
      </c>
      <c r="R4" s="80">
        <v>50</v>
      </c>
      <c r="S4" s="43">
        <v>84</v>
      </c>
      <c r="T4" s="22"/>
      <c r="U4" s="22">
        <v>387</v>
      </c>
      <c r="V4" s="22"/>
      <c r="W4" s="22">
        <v>312</v>
      </c>
      <c r="X4" s="22">
        <v>60</v>
      </c>
    </row>
    <row r="5" spans="1:24" x14ac:dyDescent="0.3">
      <c r="A5" s="24"/>
      <c r="B5" s="22"/>
      <c r="C5" s="22"/>
      <c r="D5" s="25"/>
      <c r="E5" s="22"/>
      <c r="F5" s="22"/>
      <c r="G5" s="22"/>
      <c r="H5" s="37"/>
      <c r="I5" s="15">
        <v>5921.05</v>
      </c>
      <c r="K5" s="21">
        <v>321</v>
      </c>
      <c r="L5" s="79">
        <v>52</v>
      </c>
      <c r="M5" s="43">
        <v>471</v>
      </c>
      <c r="N5" s="43"/>
      <c r="O5" s="43">
        <v>4455</v>
      </c>
      <c r="P5" s="43"/>
      <c r="Q5" s="80">
        <v>458</v>
      </c>
      <c r="R5" s="81">
        <v>50</v>
      </c>
      <c r="S5" s="43"/>
      <c r="T5" s="22"/>
      <c r="U5" s="22">
        <v>3985</v>
      </c>
      <c r="V5" s="22"/>
      <c r="W5" s="22">
        <v>3335</v>
      </c>
      <c r="X5" s="22"/>
    </row>
    <row r="6" spans="1:24" x14ac:dyDescent="0.3">
      <c r="A6" s="129"/>
      <c r="B6" s="22"/>
      <c r="C6" s="22"/>
      <c r="D6" s="22"/>
      <c r="E6" s="22"/>
      <c r="F6" s="22"/>
      <c r="G6" s="22"/>
      <c r="H6" s="37"/>
      <c r="I6" s="15">
        <v>776.74</v>
      </c>
      <c r="K6" s="21"/>
      <c r="L6" s="79"/>
      <c r="M6" s="43">
        <v>395</v>
      </c>
      <c r="N6" s="43"/>
      <c r="O6" s="43">
        <v>660</v>
      </c>
      <c r="P6" s="43"/>
      <c r="Q6" s="43">
        <v>3140</v>
      </c>
      <c r="R6" s="43"/>
      <c r="S6" s="43"/>
      <c r="T6" s="22"/>
      <c r="U6" s="22">
        <v>720</v>
      </c>
      <c r="V6" s="22"/>
      <c r="W6" s="22">
        <v>780</v>
      </c>
      <c r="X6" s="22"/>
    </row>
    <row r="7" spans="1:24" x14ac:dyDescent="0.3">
      <c r="A7" s="24"/>
      <c r="B7" s="22"/>
      <c r="C7" s="22"/>
      <c r="D7" s="22"/>
      <c r="E7" s="22"/>
      <c r="F7" s="22"/>
      <c r="G7" s="22"/>
      <c r="H7" s="37"/>
      <c r="I7" s="130"/>
      <c r="K7" s="128"/>
      <c r="L7" s="79"/>
      <c r="M7" s="43"/>
      <c r="N7" s="43"/>
      <c r="O7" s="43"/>
      <c r="P7" s="43"/>
      <c r="Q7" s="43">
        <v>52</v>
      </c>
      <c r="R7" s="43"/>
      <c r="S7" s="43"/>
      <c r="T7" s="22"/>
      <c r="U7" s="22"/>
      <c r="V7" s="22"/>
      <c r="W7" s="22"/>
      <c r="X7" s="22"/>
    </row>
    <row r="8" spans="1:24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19792.960000000003</v>
      </c>
      <c r="K8" s="21"/>
      <c r="L8" s="79"/>
      <c r="M8" s="43"/>
      <c r="N8" s="43"/>
      <c r="O8" s="43"/>
      <c r="P8" s="43"/>
      <c r="Q8" s="43">
        <v>240</v>
      </c>
      <c r="R8" s="43"/>
      <c r="S8" s="43"/>
      <c r="T8" s="22"/>
      <c r="U8" s="22"/>
      <c r="V8" s="22"/>
      <c r="W8" s="22"/>
      <c r="X8" s="22"/>
    </row>
    <row r="9" spans="1:24" ht="15" thickTop="1" x14ac:dyDescent="0.3">
      <c r="A9" s="24"/>
      <c r="B9" s="22"/>
      <c r="C9" s="22"/>
      <c r="D9" s="22"/>
      <c r="E9" s="22"/>
      <c r="F9" s="22"/>
      <c r="G9" s="22"/>
      <c r="H9" s="22"/>
      <c r="I9" s="40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3">
      <c r="A10" s="24"/>
      <c r="B10" s="22"/>
      <c r="C10" s="22"/>
      <c r="D10" s="22"/>
      <c r="E10" s="22"/>
      <c r="F10" s="22"/>
      <c r="G10" s="22"/>
      <c r="H10" s="22"/>
      <c r="I10" s="27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6.5" customHeight="1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>
        <f t="shared" ref="A16:G16" si="0">SUM(A2:A15)</f>
        <v>3435</v>
      </c>
      <c r="B16" s="24">
        <f t="shared" si="0"/>
        <v>5687.16</v>
      </c>
      <c r="C16" s="24">
        <f t="shared" si="0"/>
        <v>5617.46</v>
      </c>
      <c r="D16" s="24">
        <f t="shared" si="0"/>
        <v>4558.3999999999996</v>
      </c>
      <c r="E16" s="24">
        <f t="shared" si="0"/>
        <v>650</v>
      </c>
      <c r="F16" s="24">
        <f t="shared" si="0"/>
        <v>5424.93</v>
      </c>
      <c r="G16" s="24">
        <f t="shared" si="0"/>
        <v>4217.22</v>
      </c>
      <c r="H16" s="29">
        <f>SUM(A16:G16)+I8</f>
        <v>49383.130000000005</v>
      </c>
      <c r="I16" s="30" t="s">
        <v>7</v>
      </c>
      <c r="K16" s="24">
        <f t="shared" ref="K16:X16" si="1">SUM(K3:K15)</f>
        <v>3281</v>
      </c>
      <c r="L16" s="24">
        <f t="shared" si="1"/>
        <v>2082</v>
      </c>
      <c r="M16" s="24">
        <f t="shared" si="1"/>
        <v>6401</v>
      </c>
      <c r="N16" s="24">
        <f t="shared" si="1"/>
        <v>638</v>
      </c>
      <c r="O16" s="24">
        <f t="shared" si="1"/>
        <v>5690</v>
      </c>
      <c r="P16" s="24">
        <f t="shared" si="1"/>
        <v>80</v>
      </c>
      <c r="Q16" s="24">
        <f t="shared" si="1"/>
        <v>4256</v>
      </c>
      <c r="R16" s="24">
        <f t="shared" si="1"/>
        <v>509.5</v>
      </c>
      <c r="S16" s="24">
        <f t="shared" si="1"/>
        <v>504</v>
      </c>
      <c r="T16" s="22">
        <f t="shared" si="1"/>
        <v>0</v>
      </c>
      <c r="U16" s="22">
        <f t="shared" si="1"/>
        <v>5587</v>
      </c>
      <c r="V16" s="22">
        <f t="shared" si="1"/>
        <v>403</v>
      </c>
      <c r="W16" s="22">
        <f t="shared" si="1"/>
        <v>4852</v>
      </c>
      <c r="X16" s="22">
        <f t="shared" si="1"/>
        <v>125</v>
      </c>
    </row>
    <row r="17" spans="1:24" x14ac:dyDescent="0.3">
      <c r="A17" s="24">
        <v>3435</v>
      </c>
      <c r="B17" s="24">
        <f>4942.16+745</f>
        <v>5687.16</v>
      </c>
      <c r="C17" s="24">
        <v>5617.46</v>
      </c>
      <c r="D17" s="24">
        <v>4558.3999999999996</v>
      </c>
      <c r="E17" s="24">
        <v>650</v>
      </c>
      <c r="F17" s="24">
        <v>5424.93</v>
      </c>
      <c r="G17" s="24">
        <v>4217.22</v>
      </c>
      <c r="H17" s="22">
        <f>SUM(A17:G17)+I8</f>
        <v>49383.130000000005</v>
      </c>
      <c r="I17" s="33" t="s">
        <v>1</v>
      </c>
      <c r="K17" s="24">
        <v>3281</v>
      </c>
      <c r="L17" s="24">
        <v>2082</v>
      </c>
      <c r="M17" s="24">
        <v>6401</v>
      </c>
      <c r="N17" s="24">
        <v>638</v>
      </c>
      <c r="O17" s="24">
        <v>5690</v>
      </c>
      <c r="P17" s="24">
        <v>80</v>
      </c>
      <c r="Q17" s="24">
        <v>4256</v>
      </c>
      <c r="R17" s="24">
        <v>509.5</v>
      </c>
      <c r="S17" s="24">
        <v>504</v>
      </c>
      <c r="T17" s="22">
        <v>0</v>
      </c>
      <c r="U17" s="22">
        <v>5587</v>
      </c>
      <c r="V17" s="22">
        <v>403</v>
      </c>
      <c r="W17" s="22">
        <v>4852</v>
      </c>
      <c r="X17" s="22">
        <v>125</v>
      </c>
    </row>
    <row r="18" spans="1:24" ht="15" thickBot="1" x14ac:dyDescent="0.35">
      <c r="A18" s="34">
        <f>A16-A17</f>
        <v>0</v>
      </c>
      <c r="B18" s="35">
        <f>B16-B17</f>
        <v>0</v>
      </c>
      <c r="C18" s="35">
        <f t="shared" ref="C18:H18" si="2">C16-C17</f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 t="shared" si="2"/>
        <v>0</v>
      </c>
      <c r="H18" s="35">
        <f t="shared" si="2"/>
        <v>0</v>
      </c>
      <c r="I18" s="36"/>
      <c r="K18" s="86">
        <f t="shared" ref="K18:L18" si="3">K16-K17</f>
        <v>0</v>
      </c>
      <c r="L18" s="86">
        <f t="shared" si="3"/>
        <v>0</v>
      </c>
      <c r="M18" s="86">
        <f>M16-M17</f>
        <v>0</v>
      </c>
      <c r="N18" s="86">
        <f t="shared" ref="N18:V18" si="4">N16-N17</f>
        <v>0</v>
      </c>
      <c r="O18" s="86">
        <f t="shared" si="4"/>
        <v>0</v>
      </c>
      <c r="P18" s="86">
        <f t="shared" si="4"/>
        <v>0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>W16-W17</f>
        <v>0</v>
      </c>
      <c r="X18" s="86">
        <f>X16-X17</f>
        <v>0</v>
      </c>
    </row>
    <row r="19" spans="1:24" ht="15.6" thickTop="1" thickBot="1" x14ac:dyDescent="0.35"/>
    <row r="20" spans="1:24" x14ac:dyDescent="0.3">
      <c r="A20" s="17">
        <v>45420</v>
      </c>
      <c r="B20" s="17">
        <v>45421</v>
      </c>
      <c r="C20" s="17">
        <v>45422</v>
      </c>
      <c r="D20" s="17">
        <v>45423</v>
      </c>
      <c r="E20" s="17">
        <v>45424</v>
      </c>
      <c r="F20" s="17">
        <v>45425</v>
      </c>
      <c r="G20" s="17">
        <v>45426</v>
      </c>
      <c r="H20" s="17"/>
      <c r="I20" s="13"/>
      <c r="K20" s="59">
        <v>45420</v>
      </c>
      <c r="L20" s="59"/>
      <c r="M20" s="59">
        <v>45421</v>
      </c>
      <c r="N20" s="59"/>
      <c r="O20" s="59">
        <v>45422</v>
      </c>
      <c r="P20" s="59"/>
      <c r="Q20" s="59">
        <v>45423</v>
      </c>
      <c r="R20" s="59"/>
      <c r="S20" s="59">
        <v>45424</v>
      </c>
      <c r="T20" s="59"/>
      <c r="U20" s="59">
        <v>45425</v>
      </c>
      <c r="V20" s="59"/>
      <c r="W20" s="59">
        <v>45426</v>
      </c>
      <c r="X20" s="59"/>
    </row>
    <row r="21" spans="1:24" ht="15" thickBot="1" x14ac:dyDescent="0.35">
      <c r="A21" s="21">
        <v>788.85</v>
      </c>
      <c r="B21" s="22">
        <v>1185</v>
      </c>
      <c r="C21" s="22">
        <v>1923.6</v>
      </c>
      <c r="D21" s="22">
        <v>685</v>
      </c>
      <c r="E21" s="22">
        <v>495</v>
      </c>
      <c r="F21" s="22">
        <v>890</v>
      </c>
      <c r="G21" s="22">
        <v>1778.06</v>
      </c>
      <c r="H21" s="37"/>
      <c r="I21" s="14">
        <v>6515.03</v>
      </c>
      <c r="J21" s="1"/>
      <c r="K21" s="124" t="s">
        <v>10</v>
      </c>
      <c r="L21" s="125" t="s">
        <v>11</v>
      </c>
      <c r="M21" s="126" t="s">
        <v>10</v>
      </c>
      <c r="N21" s="126" t="s">
        <v>11</v>
      </c>
      <c r="O21" s="126" t="s">
        <v>10</v>
      </c>
      <c r="P21" s="126" t="s">
        <v>11</v>
      </c>
      <c r="Q21" s="126" t="s">
        <v>10</v>
      </c>
      <c r="R21" s="126" t="s">
        <v>11</v>
      </c>
      <c r="S21" s="126" t="s">
        <v>10</v>
      </c>
      <c r="T21" s="126" t="s">
        <v>11</v>
      </c>
      <c r="U21" s="126" t="s">
        <v>10</v>
      </c>
      <c r="V21" s="126" t="s">
        <v>11</v>
      </c>
      <c r="W21" s="126" t="s">
        <v>10</v>
      </c>
      <c r="X21" s="126" t="s">
        <v>11</v>
      </c>
    </row>
    <row r="22" spans="1:24" x14ac:dyDescent="0.3">
      <c r="A22" s="24">
        <v>2715</v>
      </c>
      <c r="B22" s="22">
        <v>2675</v>
      </c>
      <c r="C22" s="22">
        <v>3055</v>
      </c>
      <c r="D22" s="22">
        <v>1290</v>
      </c>
      <c r="E22" s="25"/>
      <c r="F22" s="22">
        <v>2940</v>
      </c>
      <c r="G22" s="22">
        <v>2450</v>
      </c>
      <c r="H22" s="37"/>
      <c r="I22" s="14">
        <v>3410</v>
      </c>
      <c r="K22" s="75">
        <v>740</v>
      </c>
      <c r="L22" s="76">
        <v>72.5</v>
      </c>
      <c r="M22" s="77">
        <v>458</v>
      </c>
      <c r="N22" s="77">
        <v>35</v>
      </c>
      <c r="O22" s="77">
        <v>840</v>
      </c>
      <c r="P22" s="77">
        <v>57.5</v>
      </c>
      <c r="Q22" s="77">
        <v>28</v>
      </c>
      <c r="R22" s="77">
        <v>30</v>
      </c>
      <c r="S22" s="78">
        <v>84</v>
      </c>
      <c r="T22" s="69"/>
      <c r="U22" s="63">
        <v>365</v>
      </c>
      <c r="V22" s="63">
        <v>37.5</v>
      </c>
      <c r="W22" s="63">
        <v>740</v>
      </c>
      <c r="X22" s="63">
        <v>7.5</v>
      </c>
    </row>
    <row r="23" spans="1:24" x14ac:dyDescent="0.3">
      <c r="A23" s="24">
        <v>1230</v>
      </c>
      <c r="B23" s="22">
        <v>1419.93</v>
      </c>
      <c r="C23" s="22">
        <v>1185</v>
      </c>
      <c r="D23" s="26"/>
      <c r="E23" s="22"/>
      <c r="F23" s="22">
        <v>1735.47</v>
      </c>
      <c r="G23" s="22">
        <v>1010</v>
      </c>
      <c r="H23" s="37"/>
      <c r="I23" s="15">
        <v>370</v>
      </c>
      <c r="K23" s="21">
        <v>3080</v>
      </c>
      <c r="L23" s="79">
        <v>60</v>
      </c>
      <c r="M23" s="43">
        <v>435</v>
      </c>
      <c r="N23" s="43">
        <v>200</v>
      </c>
      <c r="O23" s="43">
        <v>3800</v>
      </c>
      <c r="P23" s="43">
        <v>370</v>
      </c>
      <c r="Q23" s="80">
        <v>300</v>
      </c>
      <c r="R23" s="80"/>
      <c r="S23" s="43">
        <v>550</v>
      </c>
      <c r="T23" s="22"/>
      <c r="U23" s="22">
        <v>364</v>
      </c>
      <c r="V23" s="22"/>
      <c r="W23" s="22">
        <v>3475</v>
      </c>
      <c r="X23" s="22">
        <v>1980</v>
      </c>
    </row>
    <row r="24" spans="1:24" x14ac:dyDescent="0.3">
      <c r="A24" s="24"/>
      <c r="B24" s="22"/>
      <c r="C24" s="22"/>
      <c r="D24" s="25"/>
      <c r="E24" s="22"/>
      <c r="F24" s="22"/>
      <c r="G24" s="22"/>
      <c r="H24" s="37"/>
      <c r="I24" s="15">
        <v>4005.15</v>
      </c>
      <c r="K24" s="21">
        <v>321</v>
      </c>
      <c r="L24" s="79"/>
      <c r="M24" s="43">
        <v>3695</v>
      </c>
      <c r="N24" s="43">
        <v>60</v>
      </c>
      <c r="O24" s="43">
        <v>402</v>
      </c>
      <c r="P24" s="43"/>
      <c r="Q24" s="80">
        <v>330</v>
      </c>
      <c r="R24" s="81"/>
      <c r="S24" s="43"/>
      <c r="T24" s="22"/>
      <c r="U24" s="22">
        <v>4105</v>
      </c>
      <c r="V24" s="22"/>
      <c r="W24" s="22">
        <v>421</v>
      </c>
      <c r="X24" s="22">
        <v>464</v>
      </c>
    </row>
    <row r="25" spans="1:24" x14ac:dyDescent="0.3">
      <c r="A25" s="129"/>
      <c r="B25" s="22"/>
      <c r="C25" s="22"/>
      <c r="D25" s="22"/>
      <c r="E25" s="22"/>
      <c r="F25" s="22"/>
      <c r="G25" s="22"/>
      <c r="H25" s="37"/>
      <c r="I25" s="15">
        <v>5921.05</v>
      </c>
      <c r="K25" s="21">
        <v>400</v>
      </c>
      <c r="L25" s="79"/>
      <c r="M25" s="43">
        <v>900</v>
      </c>
      <c r="N25" s="43"/>
      <c r="O25" s="43">
        <v>390</v>
      </c>
      <c r="P25" s="43"/>
      <c r="Q25" s="43">
        <v>1890</v>
      </c>
      <c r="R25" s="43"/>
      <c r="S25" s="43"/>
      <c r="T25" s="22"/>
      <c r="U25" s="22">
        <v>660</v>
      </c>
      <c r="V25" s="22"/>
      <c r="W25" s="22">
        <v>365</v>
      </c>
      <c r="X25" s="22">
        <v>60</v>
      </c>
    </row>
    <row r="26" spans="1:24" x14ac:dyDescent="0.3">
      <c r="A26" s="24"/>
      <c r="B26" s="22"/>
      <c r="C26" s="22"/>
      <c r="D26" s="22"/>
      <c r="E26" s="22"/>
      <c r="F26" s="22"/>
      <c r="G26" s="22"/>
      <c r="H26" s="37"/>
      <c r="I26" s="130">
        <v>776.74</v>
      </c>
      <c r="K26" s="128"/>
      <c r="L26" s="79"/>
      <c r="M26" s="43"/>
      <c r="N26" s="43"/>
      <c r="O26" s="43"/>
      <c r="P26" s="43"/>
      <c r="Q26" s="43"/>
      <c r="R26" s="43"/>
      <c r="S26" s="43"/>
      <c r="T26" s="22"/>
      <c r="U26" s="22"/>
      <c r="V26" s="22"/>
      <c r="W26" s="22"/>
      <c r="X26" s="22">
        <v>15</v>
      </c>
    </row>
    <row r="27" spans="1:24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 t="shared" ref="I27" si="5">SUM(I21:I26)</f>
        <v>20997.97</v>
      </c>
      <c r="K27" s="21"/>
      <c r="L27" s="79"/>
      <c r="M27" s="43"/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22">
        <v>15</v>
      </c>
    </row>
    <row r="28" spans="1:24" ht="15" thickTop="1" x14ac:dyDescent="0.3">
      <c r="A28" s="24"/>
      <c r="B28" s="22"/>
      <c r="C28" s="22"/>
      <c r="D28" s="22"/>
      <c r="E28" s="22"/>
      <c r="F28" s="22"/>
      <c r="G28" s="22"/>
      <c r="H28" s="22"/>
      <c r="I28" s="40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>
        <v>500</v>
      </c>
    </row>
    <row r="29" spans="1:24" x14ac:dyDescent="0.3">
      <c r="A29" s="24"/>
      <c r="B29" s="22"/>
      <c r="C29" s="22"/>
      <c r="D29" s="22"/>
      <c r="E29" s="22"/>
      <c r="F29" s="22"/>
      <c r="G29" s="22"/>
      <c r="H29" s="22"/>
      <c r="I29" s="27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>
        <v>7.5</v>
      </c>
    </row>
    <row r="30" spans="1:24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8"/>
      <c r="X34" s="28"/>
    </row>
    <row r="35" spans="1:24" x14ac:dyDescent="0.3">
      <c r="A35" s="24">
        <f t="shared" ref="A35:G35" si="6">SUM(A21:A34)</f>
        <v>4733.8500000000004</v>
      </c>
      <c r="B35" s="24">
        <f t="shared" si="6"/>
        <v>5279.93</v>
      </c>
      <c r="C35" s="24">
        <f t="shared" si="6"/>
        <v>6163.6</v>
      </c>
      <c r="D35" s="24">
        <f t="shared" si="6"/>
        <v>1975</v>
      </c>
      <c r="E35" s="24">
        <f t="shared" si="6"/>
        <v>495</v>
      </c>
      <c r="F35" s="24">
        <f t="shared" si="6"/>
        <v>5565.47</v>
      </c>
      <c r="G35" s="24">
        <f t="shared" si="6"/>
        <v>5238.0599999999995</v>
      </c>
      <c r="H35" s="29">
        <f t="shared" ref="H35" si="7">SUM(A35:G35)+I27</f>
        <v>50448.880000000005</v>
      </c>
      <c r="I35" s="30" t="s">
        <v>7</v>
      </c>
      <c r="K35" s="24">
        <f t="shared" ref="K35:X35" si="8">SUM(K22:K34)</f>
        <v>4541</v>
      </c>
      <c r="L35" s="24">
        <f t="shared" si="8"/>
        <v>132.5</v>
      </c>
      <c r="M35" s="24">
        <f t="shared" si="8"/>
        <v>5488</v>
      </c>
      <c r="N35" s="24">
        <f t="shared" si="8"/>
        <v>295</v>
      </c>
      <c r="O35" s="24">
        <f t="shared" si="8"/>
        <v>5432</v>
      </c>
      <c r="P35" s="24">
        <f t="shared" si="8"/>
        <v>427.5</v>
      </c>
      <c r="Q35" s="24">
        <f t="shared" si="8"/>
        <v>2548</v>
      </c>
      <c r="R35" s="24">
        <f t="shared" si="8"/>
        <v>30</v>
      </c>
      <c r="S35" s="24">
        <f t="shared" si="8"/>
        <v>634</v>
      </c>
      <c r="T35" s="22">
        <f t="shared" si="8"/>
        <v>0</v>
      </c>
      <c r="U35" s="22">
        <f t="shared" si="8"/>
        <v>5494</v>
      </c>
      <c r="V35" s="22">
        <f t="shared" si="8"/>
        <v>37.5</v>
      </c>
      <c r="W35" s="22">
        <f t="shared" si="8"/>
        <v>5001</v>
      </c>
      <c r="X35" s="22">
        <f t="shared" si="8"/>
        <v>3049</v>
      </c>
    </row>
    <row r="36" spans="1:24" x14ac:dyDescent="0.3">
      <c r="A36" s="24">
        <v>4733.8500000000004</v>
      </c>
      <c r="B36" s="24">
        <v>5279.93</v>
      </c>
      <c r="C36" s="24">
        <v>6163.6</v>
      </c>
      <c r="D36" s="24">
        <v>1975</v>
      </c>
      <c r="E36" s="24">
        <v>495</v>
      </c>
      <c r="F36" s="24">
        <v>5565.47</v>
      </c>
      <c r="G36" s="24">
        <v>5238.0600000000004</v>
      </c>
      <c r="H36" s="22">
        <f t="shared" ref="H36" si="9">SUM(A36:G36)+I27</f>
        <v>50448.880000000005</v>
      </c>
      <c r="I36" s="33" t="s">
        <v>1</v>
      </c>
      <c r="K36" s="24">
        <v>4541</v>
      </c>
      <c r="L36" s="24">
        <v>132.5</v>
      </c>
      <c r="M36" s="24">
        <v>5488</v>
      </c>
      <c r="N36" s="24">
        <v>295</v>
      </c>
      <c r="O36" s="24">
        <v>5432</v>
      </c>
      <c r="P36" s="24">
        <v>427.5</v>
      </c>
      <c r="Q36" s="24">
        <v>2548</v>
      </c>
      <c r="R36" s="24">
        <v>30</v>
      </c>
      <c r="S36" s="24">
        <v>634</v>
      </c>
      <c r="T36" s="22">
        <v>0</v>
      </c>
      <c r="U36" s="22">
        <v>5494</v>
      </c>
      <c r="V36" s="22">
        <v>37.5</v>
      </c>
      <c r="W36" s="22">
        <v>5001</v>
      </c>
      <c r="X36" s="22">
        <v>3049</v>
      </c>
    </row>
    <row r="37" spans="1:24" ht="15" thickBot="1" x14ac:dyDescent="0.35">
      <c r="A37" s="34">
        <f t="shared" ref="A37:H37" si="10">A35-A36</f>
        <v>0</v>
      </c>
      <c r="B37" s="35">
        <f t="shared" si="10"/>
        <v>0</v>
      </c>
      <c r="C37" s="35">
        <f t="shared" si="10"/>
        <v>0</v>
      </c>
      <c r="D37" s="35">
        <f t="shared" si="10"/>
        <v>0</v>
      </c>
      <c r="E37" s="35">
        <f t="shared" si="10"/>
        <v>0</v>
      </c>
      <c r="F37" s="35">
        <f t="shared" si="10"/>
        <v>0</v>
      </c>
      <c r="G37" s="35">
        <f t="shared" si="10"/>
        <v>0</v>
      </c>
      <c r="H37" s="35">
        <f t="shared" si="10"/>
        <v>0</v>
      </c>
      <c r="I37" s="36"/>
      <c r="K37" s="86">
        <f t="shared" ref="K37:X37" si="11">K35-K36</f>
        <v>0</v>
      </c>
      <c r="L37" s="86">
        <f t="shared" si="11"/>
        <v>0</v>
      </c>
      <c r="M37" s="86">
        <f t="shared" si="11"/>
        <v>0</v>
      </c>
      <c r="N37" s="86">
        <f t="shared" si="11"/>
        <v>0</v>
      </c>
      <c r="O37" s="86">
        <f t="shared" si="11"/>
        <v>0</v>
      </c>
      <c r="P37" s="86">
        <f t="shared" si="11"/>
        <v>0</v>
      </c>
      <c r="Q37" s="86">
        <f t="shared" si="11"/>
        <v>0</v>
      </c>
      <c r="R37" s="86">
        <f t="shared" si="11"/>
        <v>0</v>
      </c>
      <c r="S37" s="86">
        <f t="shared" si="11"/>
        <v>0</v>
      </c>
      <c r="T37" s="86">
        <f t="shared" si="11"/>
        <v>0</v>
      </c>
      <c r="U37" s="86">
        <f t="shared" si="11"/>
        <v>0</v>
      </c>
      <c r="V37" s="86">
        <f t="shared" si="11"/>
        <v>0</v>
      </c>
      <c r="W37" s="86">
        <f t="shared" si="11"/>
        <v>0</v>
      </c>
      <c r="X37" s="86">
        <f t="shared" si="11"/>
        <v>0</v>
      </c>
    </row>
    <row r="38" spans="1:24" ht="15.6" thickTop="1" thickBot="1" x14ac:dyDescent="0.35"/>
    <row r="39" spans="1:24" ht="15" thickBot="1" x14ac:dyDescent="0.35">
      <c r="A39" s="17">
        <v>45427</v>
      </c>
      <c r="B39" s="17">
        <v>45428</v>
      </c>
      <c r="C39" s="17">
        <v>45429</v>
      </c>
      <c r="D39" s="17">
        <v>45430</v>
      </c>
      <c r="E39" s="17">
        <v>45431</v>
      </c>
      <c r="F39" s="17">
        <v>45432</v>
      </c>
      <c r="G39" s="17">
        <v>45433</v>
      </c>
      <c r="H39" s="17"/>
      <c r="I39" s="13"/>
    </row>
    <row r="40" spans="1:24" x14ac:dyDescent="0.3">
      <c r="A40" s="21">
        <v>1035</v>
      </c>
      <c r="B40" s="22">
        <v>1235</v>
      </c>
      <c r="C40" s="22">
        <v>1050</v>
      </c>
      <c r="D40" s="22">
        <v>965</v>
      </c>
      <c r="E40" s="22">
        <v>240</v>
      </c>
      <c r="F40" s="22">
        <v>1608.06</v>
      </c>
      <c r="G40" s="22">
        <v>1210</v>
      </c>
      <c r="H40" s="37"/>
      <c r="I40" s="14">
        <v>3605</v>
      </c>
      <c r="K40" s="59">
        <v>45427</v>
      </c>
      <c r="L40" s="59"/>
      <c r="M40" s="59">
        <v>45428</v>
      </c>
      <c r="N40" s="59"/>
      <c r="O40" s="59">
        <v>45429</v>
      </c>
      <c r="P40" s="59"/>
      <c r="Q40" s="59">
        <v>45430</v>
      </c>
      <c r="R40" s="59"/>
      <c r="S40" s="59">
        <v>45431</v>
      </c>
      <c r="T40" s="59"/>
      <c r="U40" s="59">
        <v>45432</v>
      </c>
      <c r="V40" s="59"/>
      <c r="W40" s="59">
        <v>45433</v>
      </c>
      <c r="X40" s="59"/>
    </row>
    <row r="41" spans="1:24" ht="15" thickBot="1" x14ac:dyDescent="0.35">
      <c r="A41" s="24">
        <v>2435</v>
      </c>
      <c r="B41" s="22">
        <v>2290</v>
      </c>
      <c r="C41" s="22">
        <v>3305</v>
      </c>
      <c r="D41" s="22">
        <v>915</v>
      </c>
      <c r="E41" s="25"/>
      <c r="F41" s="22">
        <v>2790</v>
      </c>
      <c r="G41" s="22">
        <v>3080</v>
      </c>
      <c r="H41" s="37"/>
      <c r="I41" s="14">
        <v>6218.89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</row>
    <row r="42" spans="1:24" x14ac:dyDescent="0.3">
      <c r="A42" s="24">
        <v>1650.53</v>
      </c>
      <c r="B42" s="22">
        <v>1693</v>
      </c>
      <c r="C42" s="22">
        <v>1893.24</v>
      </c>
      <c r="D42" s="26">
        <v>1954.6</v>
      </c>
      <c r="E42" s="22"/>
      <c r="F42" s="22">
        <v>1365</v>
      </c>
      <c r="G42" s="22">
        <v>1262.1600000000001</v>
      </c>
      <c r="H42" s="37"/>
      <c r="I42" s="15">
        <v>5605.51</v>
      </c>
      <c r="K42" s="75">
        <v>29</v>
      </c>
      <c r="L42" s="76">
        <v>22.5</v>
      </c>
      <c r="M42" s="77">
        <v>28</v>
      </c>
      <c r="N42" s="77">
        <v>42.5</v>
      </c>
      <c r="O42" s="77">
        <v>395</v>
      </c>
      <c r="P42" s="77">
        <v>2056</v>
      </c>
      <c r="Q42" s="77">
        <v>28</v>
      </c>
      <c r="R42" s="77">
        <v>7.5</v>
      </c>
      <c r="S42" s="78">
        <v>84</v>
      </c>
      <c r="T42" s="69"/>
      <c r="U42" s="63">
        <v>1000</v>
      </c>
      <c r="V42" s="63">
        <v>42.5</v>
      </c>
      <c r="W42" s="63">
        <v>365</v>
      </c>
      <c r="X42" s="63">
        <v>57.5</v>
      </c>
    </row>
    <row r="43" spans="1:24" x14ac:dyDescent="0.3">
      <c r="A43" s="24"/>
      <c r="B43" s="22"/>
      <c r="C43" s="22"/>
      <c r="D43" s="25"/>
      <c r="E43" s="22"/>
      <c r="F43" s="22"/>
      <c r="G43" s="22"/>
      <c r="H43" s="37"/>
      <c r="I43" s="15">
        <v>230.6</v>
      </c>
      <c r="K43" s="21">
        <v>425</v>
      </c>
      <c r="L43" s="79"/>
      <c r="M43" s="43">
        <v>395</v>
      </c>
      <c r="N43" s="43">
        <v>409.5</v>
      </c>
      <c r="O43" s="43">
        <v>432</v>
      </c>
      <c r="P43" s="43"/>
      <c r="Q43" s="80">
        <v>310</v>
      </c>
      <c r="R43" s="80">
        <v>982</v>
      </c>
      <c r="S43" s="43">
        <v>760</v>
      </c>
      <c r="T43" s="22"/>
      <c r="U43" s="22">
        <v>4371</v>
      </c>
      <c r="V43" s="22">
        <v>60</v>
      </c>
      <c r="W43" s="22">
        <v>448</v>
      </c>
      <c r="X43" s="22"/>
    </row>
    <row r="44" spans="1:24" x14ac:dyDescent="0.3">
      <c r="A44" s="129"/>
      <c r="B44" s="22"/>
      <c r="C44" s="22"/>
      <c r="D44" s="22"/>
      <c r="E44" s="22"/>
      <c r="F44" s="22"/>
      <c r="G44" s="22"/>
      <c r="H44" s="37"/>
      <c r="I44" s="15">
        <v>3471.13</v>
      </c>
      <c r="K44" s="21">
        <v>299</v>
      </c>
      <c r="L44" s="79"/>
      <c r="M44" s="43">
        <v>436</v>
      </c>
      <c r="N44" s="43">
        <v>1260</v>
      </c>
      <c r="O44" s="43">
        <v>3685</v>
      </c>
      <c r="P44" s="43"/>
      <c r="Q44" s="80">
        <v>156</v>
      </c>
      <c r="R44" s="81"/>
      <c r="S44" s="43"/>
      <c r="T44" s="22"/>
      <c r="U44" s="22">
        <v>369</v>
      </c>
      <c r="V44" s="22"/>
      <c r="W44" s="22">
        <v>2975</v>
      </c>
      <c r="X44" s="22"/>
    </row>
    <row r="45" spans="1:24" x14ac:dyDescent="0.3">
      <c r="A45" s="24"/>
      <c r="B45" s="22"/>
      <c r="C45" s="22"/>
      <c r="D45" s="22"/>
      <c r="E45" s="22"/>
      <c r="F45" s="22"/>
      <c r="G45" s="22"/>
      <c r="H45" s="37"/>
      <c r="I45" s="130"/>
      <c r="K45" s="21">
        <v>3195</v>
      </c>
      <c r="L45" s="79"/>
      <c r="M45" s="43">
        <v>3785</v>
      </c>
      <c r="N45" s="43"/>
      <c r="O45" s="43">
        <v>800</v>
      </c>
      <c r="P45" s="43"/>
      <c r="Q45" s="43">
        <v>1240</v>
      </c>
      <c r="R45" s="43"/>
      <c r="S45" s="43"/>
      <c r="T45" s="22"/>
      <c r="U45" s="22"/>
      <c r="V45" s="22"/>
      <c r="W45" s="22">
        <v>1160</v>
      </c>
      <c r="X45" s="22"/>
    </row>
    <row r="46" spans="1:24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 t="shared" ref="I46" si="12">SUM(I40:I45)</f>
        <v>19131.13</v>
      </c>
      <c r="K46" s="128">
        <v>720</v>
      </c>
      <c r="L46" s="79"/>
      <c r="M46" s="43">
        <v>840</v>
      </c>
      <c r="N46" s="43"/>
      <c r="O46" s="43"/>
      <c r="P46" s="43"/>
      <c r="Q46" s="43"/>
      <c r="R46" s="43"/>
      <c r="S46" s="43"/>
      <c r="T46" s="22"/>
      <c r="U46" s="22"/>
      <c r="V46" s="22"/>
      <c r="W46" s="22"/>
      <c r="X46" s="22"/>
    </row>
    <row r="47" spans="1:24" ht="15" thickTop="1" x14ac:dyDescent="0.3">
      <c r="A47" s="24"/>
      <c r="B47" s="22"/>
      <c r="C47" s="22"/>
      <c r="D47" s="22"/>
      <c r="E47" s="22"/>
      <c r="F47" s="22"/>
      <c r="G47" s="22"/>
      <c r="H47" s="22"/>
      <c r="I47" s="40"/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/>
      <c r="X47" s="22"/>
    </row>
    <row r="48" spans="1:24" x14ac:dyDescent="0.3">
      <c r="A48" s="24"/>
      <c r="B48" s="22"/>
      <c r="C48" s="22"/>
      <c r="D48" s="22"/>
      <c r="E48" s="22"/>
      <c r="F48" s="22"/>
      <c r="G48" s="22"/>
      <c r="H48" s="22"/>
      <c r="I48" s="27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3">
      <c r="A49" s="24"/>
      <c r="B49" s="22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>
        <f t="shared" ref="A54:G54" si="13">SUM(A40:A53)</f>
        <v>5120.53</v>
      </c>
      <c r="B54" s="24">
        <f t="shared" si="13"/>
        <v>5218</v>
      </c>
      <c r="C54" s="24">
        <f t="shared" si="13"/>
        <v>6248.24</v>
      </c>
      <c r="D54" s="24">
        <f t="shared" si="13"/>
        <v>3834.6</v>
      </c>
      <c r="E54" s="24">
        <f t="shared" si="13"/>
        <v>240</v>
      </c>
      <c r="F54" s="24">
        <f t="shared" si="13"/>
        <v>5763.0599999999995</v>
      </c>
      <c r="G54" s="24">
        <f t="shared" si="13"/>
        <v>5552.16</v>
      </c>
      <c r="H54" s="29">
        <f t="shared" ref="H54" si="14">SUM(A54:G54)+I46</f>
        <v>51107.719999999994</v>
      </c>
      <c r="I54" s="30" t="s">
        <v>7</v>
      </c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8"/>
      <c r="V54" s="28"/>
      <c r="W54" s="28"/>
      <c r="X54" s="28"/>
    </row>
    <row r="55" spans="1:24" x14ac:dyDescent="0.3">
      <c r="A55" s="24">
        <v>5120.53</v>
      </c>
      <c r="B55" s="24">
        <v>5218</v>
      </c>
      <c r="C55" s="24">
        <v>6248.24</v>
      </c>
      <c r="D55" s="24">
        <v>3834.6</v>
      </c>
      <c r="E55" s="24">
        <v>240</v>
      </c>
      <c r="F55" s="24">
        <v>5763.06</v>
      </c>
      <c r="G55" s="24">
        <v>5552.16</v>
      </c>
      <c r="H55" s="22">
        <f t="shared" ref="H55" si="15">SUM(A55:G55)+I46</f>
        <v>51107.72</v>
      </c>
      <c r="I55" s="33" t="s">
        <v>1</v>
      </c>
      <c r="K55" s="24">
        <f t="shared" ref="K55:X56" si="16">SUM(K42:K54)</f>
        <v>4668</v>
      </c>
      <c r="L55" s="24">
        <f t="shared" si="16"/>
        <v>22.5</v>
      </c>
      <c r="M55" s="24">
        <f t="shared" si="16"/>
        <v>5484</v>
      </c>
      <c r="N55" s="24">
        <f t="shared" si="16"/>
        <v>1712</v>
      </c>
      <c r="O55" s="24">
        <f t="shared" si="16"/>
        <v>5312</v>
      </c>
      <c r="P55" s="24">
        <f t="shared" si="16"/>
        <v>2056</v>
      </c>
      <c r="Q55" s="24">
        <f t="shared" si="16"/>
        <v>1734</v>
      </c>
      <c r="R55" s="24">
        <f t="shared" si="16"/>
        <v>989.5</v>
      </c>
      <c r="S55" s="24">
        <f t="shared" si="16"/>
        <v>844</v>
      </c>
      <c r="T55" s="22">
        <f t="shared" si="16"/>
        <v>0</v>
      </c>
      <c r="U55" s="22">
        <f t="shared" si="16"/>
        <v>5740</v>
      </c>
      <c r="V55" s="22">
        <f t="shared" si="16"/>
        <v>102.5</v>
      </c>
      <c r="W55" s="22">
        <f t="shared" si="16"/>
        <v>4948</v>
      </c>
      <c r="X55" s="22">
        <f t="shared" si="16"/>
        <v>57.5</v>
      </c>
    </row>
    <row r="56" spans="1:24" ht="15" thickBot="1" x14ac:dyDescent="0.35">
      <c r="A56" s="34">
        <f t="shared" ref="A56:H56" si="17">A54-A55</f>
        <v>0</v>
      </c>
      <c r="B56" s="35">
        <f t="shared" si="17"/>
        <v>0</v>
      </c>
      <c r="C56" s="35">
        <f t="shared" si="17"/>
        <v>0</v>
      </c>
      <c r="D56" s="35">
        <f t="shared" si="17"/>
        <v>0</v>
      </c>
      <c r="E56" s="35">
        <f t="shared" si="17"/>
        <v>0</v>
      </c>
      <c r="F56" s="35">
        <f t="shared" si="17"/>
        <v>0</v>
      </c>
      <c r="G56" s="35">
        <f t="shared" si="17"/>
        <v>0</v>
      </c>
      <c r="H56" s="35">
        <f t="shared" si="17"/>
        <v>0</v>
      </c>
      <c r="I56" s="36"/>
      <c r="K56" s="24">
        <v>4668</v>
      </c>
      <c r="L56" s="24">
        <v>22.5</v>
      </c>
      <c r="M56" s="24">
        <v>5484</v>
      </c>
      <c r="N56" s="24">
        <v>1712</v>
      </c>
      <c r="O56" s="24">
        <v>5312</v>
      </c>
      <c r="P56" s="24">
        <v>2056</v>
      </c>
      <c r="Q56" s="24">
        <v>1734</v>
      </c>
      <c r="R56" s="24">
        <v>989.5</v>
      </c>
      <c r="S56" s="24">
        <v>844</v>
      </c>
      <c r="T56" s="24">
        <f t="shared" si="16"/>
        <v>0</v>
      </c>
      <c r="U56" s="24">
        <v>5740</v>
      </c>
      <c r="V56" s="24">
        <v>102.5</v>
      </c>
      <c r="W56" s="24">
        <v>4948</v>
      </c>
      <c r="X56" s="24">
        <v>57.5</v>
      </c>
    </row>
    <row r="57" spans="1:24" ht="15.6" thickTop="1" thickBot="1" x14ac:dyDescent="0.35">
      <c r="K57" s="86">
        <f t="shared" ref="K57:X57" si="18">K55-K56</f>
        <v>0</v>
      </c>
      <c r="L57" s="86">
        <f t="shared" si="18"/>
        <v>0</v>
      </c>
      <c r="M57" s="86">
        <f t="shared" si="18"/>
        <v>0</v>
      </c>
      <c r="N57" s="86">
        <f t="shared" si="18"/>
        <v>0</v>
      </c>
      <c r="O57" s="86">
        <f t="shared" si="18"/>
        <v>0</v>
      </c>
      <c r="P57" s="86">
        <f t="shared" si="18"/>
        <v>0</v>
      </c>
      <c r="Q57" s="86">
        <f t="shared" si="18"/>
        <v>0</v>
      </c>
      <c r="R57" s="86">
        <f t="shared" si="18"/>
        <v>0</v>
      </c>
      <c r="S57" s="86">
        <f t="shared" si="18"/>
        <v>0</v>
      </c>
      <c r="T57" s="86">
        <f t="shared" si="18"/>
        <v>0</v>
      </c>
      <c r="U57" s="86">
        <f t="shared" si="18"/>
        <v>0</v>
      </c>
      <c r="V57" s="86">
        <f t="shared" si="18"/>
        <v>0</v>
      </c>
      <c r="W57" s="86">
        <f t="shared" si="18"/>
        <v>0</v>
      </c>
      <c r="X57" s="86">
        <f t="shared" si="18"/>
        <v>0</v>
      </c>
    </row>
    <row r="58" spans="1:24" ht="15" thickBot="1" x14ac:dyDescent="0.35"/>
    <row r="59" spans="1:24" x14ac:dyDescent="0.3">
      <c r="A59" s="17">
        <v>45434</v>
      </c>
      <c r="B59" s="17">
        <v>45435</v>
      </c>
      <c r="C59" s="17">
        <v>45436</v>
      </c>
      <c r="D59" s="17">
        <v>45437</v>
      </c>
      <c r="E59" s="17">
        <v>45438</v>
      </c>
      <c r="F59" s="17">
        <v>45439</v>
      </c>
      <c r="G59" s="17">
        <v>45440</v>
      </c>
      <c r="H59" s="17"/>
      <c r="I59" s="13"/>
      <c r="K59" s="59" t="s">
        <v>35</v>
      </c>
      <c r="L59" s="59"/>
      <c r="M59" s="59" t="s">
        <v>36</v>
      </c>
      <c r="N59" s="59"/>
      <c r="O59" s="59" t="s">
        <v>37</v>
      </c>
      <c r="P59" s="59"/>
      <c r="Q59" s="59" t="s">
        <v>38</v>
      </c>
      <c r="R59" s="59"/>
      <c r="S59" s="59" t="s">
        <v>39</v>
      </c>
      <c r="T59" s="59"/>
      <c r="U59" s="59" t="s">
        <v>40</v>
      </c>
      <c r="V59" s="59"/>
      <c r="W59" s="59" t="s">
        <v>41</v>
      </c>
      <c r="X59" s="59"/>
    </row>
    <row r="60" spans="1:24" ht="15" thickBot="1" x14ac:dyDescent="0.35">
      <c r="A60" s="21">
        <v>1334.99</v>
      </c>
      <c r="B60" s="22">
        <v>1130</v>
      </c>
      <c r="C60" s="22">
        <v>1060</v>
      </c>
      <c r="D60" s="22">
        <v>1177.8599999999999</v>
      </c>
      <c r="E60" s="22">
        <v>530</v>
      </c>
      <c r="F60" s="22">
        <v>990</v>
      </c>
      <c r="G60" s="22">
        <v>1015</v>
      </c>
      <c r="H60" s="37"/>
      <c r="I60" s="14">
        <v>370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</row>
    <row r="61" spans="1:24" x14ac:dyDescent="0.3">
      <c r="A61" s="24">
        <v>2690</v>
      </c>
      <c r="B61" s="22">
        <v>2885</v>
      </c>
      <c r="C61" s="22">
        <v>3420</v>
      </c>
      <c r="D61" s="22">
        <v>1195</v>
      </c>
      <c r="E61" s="25"/>
      <c r="F61" s="22">
        <v>2950</v>
      </c>
      <c r="G61" s="22">
        <v>2870</v>
      </c>
      <c r="H61" s="37"/>
      <c r="I61" s="14">
        <v>3420</v>
      </c>
      <c r="K61" s="77">
        <v>880</v>
      </c>
      <c r="L61" s="76">
        <v>117.5</v>
      </c>
      <c r="M61" s="77">
        <v>29</v>
      </c>
      <c r="N61" s="77">
        <v>60</v>
      </c>
      <c r="O61" s="77">
        <v>960</v>
      </c>
      <c r="P61" s="77">
        <v>313.5</v>
      </c>
      <c r="Q61" s="77">
        <v>1590</v>
      </c>
      <c r="R61" s="77">
        <v>40</v>
      </c>
      <c r="S61" s="78">
        <v>84</v>
      </c>
      <c r="T61" s="69"/>
      <c r="U61" s="63">
        <v>335</v>
      </c>
      <c r="V61" s="63">
        <v>42.5</v>
      </c>
      <c r="W61" s="63">
        <v>340</v>
      </c>
      <c r="X61" s="63">
        <v>125</v>
      </c>
    </row>
    <row r="62" spans="1:24" x14ac:dyDescent="0.3">
      <c r="A62" s="24">
        <v>1195</v>
      </c>
      <c r="B62" s="22">
        <v>1262.1600000000001</v>
      </c>
      <c r="C62" s="22">
        <v>1693</v>
      </c>
      <c r="D62" s="26">
        <v>780</v>
      </c>
      <c r="E62" s="22"/>
      <c r="F62" s="22">
        <v>1377.46</v>
      </c>
      <c r="G62" s="22">
        <v>1650.53</v>
      </c>
      <c r="H62" s="37"/>
      <c r="I62" s="15">
        <v>6317.6</v>
      </c>
      <c r="K62" s="43">
        <v>3125</v>
      </c>
      <c r="L62" s="79"/>
      <c r="M62" s="43">
        <v>430</v>
      </c>
      <c r="N62" s="43"/>
      <c r="O62" s="43">
        <v>3390</v>
      </c>
      <c r="P62" s="43"/>
      <c r="Q62" s="80">
        <v>156</v>
      </c>
      <c r="R62" s="80">
        <v>2020</v>
      </c>
      <c r="S62" s="43">
        <v>510</v>
      </c>
      <c r="T62" s="22"/>
      <c r="U62" s="22">
        <v>445</v>
      </c>
      <c r="V62" s="22">
        <v>110</v>
      </c>
      <c r="W62" s="22">
        <v>490</v>
      </c>
      <c r="X62" s="22">
        <v>409.5</v>
      </c>
    </row>
    <row r="63" spans="1:24" x14ac:dyDescent="0.3">
      <c r="A63" s="24"/>
      <c r="B63" s="22"/>
      <c r="C63" s="22"/>
      <c r="D63" s="25"/>
      <c r="E63" s="22"/>
      <c r="F63" s="22"/>
      <c r="G63" s="22"/>
      <c r="H63" s="37"/>
      <c r="I63" s="15">
        <v>5289.97</v>
      </c>
      <c r="K63" s="43">
        <v>295</v>
      </c>
      <c r="L63" s="79"/>
      <c r="M63" s="43">
        <v>445</v>
      </c>
      <c r="N63" s="43"/>
      <c r="O63" s="43">
        <v>370</v>
      </c>
      <c r="P63" s="43"/>
      <c r="Q63" s="80">
        <v>28</v>
      </c>
      <c r="R63" s="81"/>
      <c r="S63" s="43"/>
      <c r="T63" s="22"/>
      <c r="U63" s="22">
        <v>4515</v>
      </c>
      <c r="V63" s="22"/>
      <c r="W63" s="22">
        <v>3830</v>
      </c>
      <c r="X63" s="22">
        <v>1680</v>
      </c>
    </row>
    <row r="64" spans="1:24" x14ac:dyDescent="0.3">
      <c r="A64" s="129"/>
      <c r="B64" s="22"/>
      <c r="C64" s="22"/>
      <c r="D64" s="22"/>
      <c r="E64" s="22"/>
      <c r="F64" s="22"/>
      <c r="G64" s="22"/>
      <c r="H64" s="37"/>
      <c r="I64" s="15">
        <v>3738.14</v>
      </c>
      <c r="K64" s="43">
        <v>395</v>
      </c>
      <c r="L64" s="79"/>
      <c r="M64" s="43">
        <v>3630</v>
      </c>
      <c r="N64" s="43"/>
      <c r="O64" s="43">
        <v>370</v>
      </c>
      <c r="P64" s="43"/>
      <c r="Q64" s="43">
        <v>270</v>
      </c>
      <c r="R64" s="43"/>
      <c r="S64" s="43"/>
      <c r="T64" s="22"/>
      <c r="U64" s="22">
        <v>870</v>
      </c>
      <c r="V64" s="22"/>
      <c r="W64" s="22">
        <v>1140</v>
      </c>
      <c r="X64" s="22"/>
    </row>
    <row r="65" spans="1:24" x14ac:dyDescent="0.3">
      <c r="A65" s="24"/>
      <c r="B65" s="22"/>
      <c r="C65" s="22"/>
      <c r="D65" s="22"/>
      <c r="E65" s="22"/>
      <c r="F65" s="22"/>
      <c r="G65" s="22"/>
      <c r="H65" s="37"/>
      <c r="I65" s="130">
        <v>461.2</v>
      </c>
      <c r="K65" s="43"/>
      <c r="L65" s="79"/>
      <c r="M65" s="43">
        <v>810</v>
      </c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22"/>
    </row>
    <row r="66" spans="1:24" ht="15" thickBot="1" x14ac:dyDescent="0.35">
      <c r="A66" s="24"/>
      <c r="B66" s="22"/>
      <c r="C66" s="22"/>
      <c r="D66" s="22"/>
      <c r="E66" s="22"/>
      <c r="F66" s="22"/>
      <c r="G66" s="22"/>
      <c r="H66" s="37"/>
      <c r="I66" s="16">
        <f t="shared" ref="I66" si="19">SUM(I60:I65)</f>
        <v>19596.91</v>
      </c>
      <c r="K66" s="43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22"/>
    </row>
    <row r="67" spans="1:24" ht="15" thickTop="1" x14ac:dyDescent="0.3">
      <c r="A67" s="24"/>
      <c r="B67" s="22"/>
      <c r="C67" s="22"/>
      <c r="D67" s="22"/>
      <c r="E67" s="22"/>
      <c r="F67" s="22"/>
      <c r="G67" s="22"/>
      <c r="H67" s="22"/>
      <c r="I67" s="40"/>
      <c r="K67" s="22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3">
      <c r="A68" s="24"/>
      <c r="B68" s="22"/>
      <c r="C68" s="22"/>
      <c r="D68" s="22"/>
      <c r="E68" s="22"/>
      <c r="F68" s="22"/>
      <c r="G68" s="22"/>
      <c r="H68" s="22"/>
      <c r="I68" s="27"/>
      <c r="K68" s="22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3">
      <c r="A69" s="24"/>
      <c r="B69" s="22"/>
      <c r="C69" s="22"/>
      <c r="D69" s="22"/>
      <c r="E69" s="22"/>
      <c r="F69" s="22"/>
      <c r="G69" s="22"/>
      <c r="H69" s="22"/>
      <c r="I69" s="27"/>
      <c r="K69" s="22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2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2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2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8"/>
      <c r="G73" s="22"/>
      <c r="H73" s="22"/>
      <c r="I73" s="23"/>
      <c r="K73" s="22"/>
      <c r="L73" s="56"/>
      <c r="M73" s="22"/>
      <c r="N73" s="22"/>
      <c r="O73" s="22"/>
      <c r="P73" s="22"/>
      <c r="Q73" s="22"/>
      <c r="R73" s="22"/>
      <c r="S73" s="22"/>
      <c r="T73" s="22"/>
      <c r="U73" s="28"/>
      <c r="V73" s="28"/>
      <c r="W73" s="28"/>
      <c r="X73" s="28"/>
    </row>
    <row r="74" spans="1:24" x14ac:dyDescent="0.3">
      <c r="A74" s="24">
        <f t="shared" ref="A74:G74" si="20">SUM(A60:A73)</f>
        <v>5219.99</v>
      </c>
      <c r="B74" s="24">
        <f t="shared" si="20"/>
        <v>5277.16</v>
      </c>
      <c r="C74" s="24">
        <f t="shared" si="20"/>
        <v>6173</v>
      </c>
      <c r="D74" s="24">
        <f t="shared" si="20"/>
        <v>3152.8599999999997</v>
      </c>
      <c r="E74" s="24">
        <f t="shared" si="20"/>
        <v>530</v>
      </c>
      <c r="F74" s="24">
        <f t="shared" si="20"/>
        <v>5317.46</v>
      </c>
      <c r="G74" s="24">
        <f t="shared" si="20"/>
        <v>5535.53</v>
      </c>
      <c r="H74" s="29">
        <f t="shared" ref="H74" si="21">SUM(A74:G74)+I66</f>
        <v>50802.91</v>
      </c>
      <c r="I74" s="30" t="s">
        <v>7</v>
      </c>
      <c r="K74" s="24">
        <f t="shared" ref="K74" si="22">SUM(K61:K73)</f>
        <v>4695</v>
      </c>
      <c r="L74" s="24">
        <f t="shared" ref="L74:X74" si="23">SUM(L61:L73)</f>
        <v>117.5</v>
      </c>
      <c r="M74" s="24">
        <f t="shared" si="23"/>
        <v>5344</v>
      </c>
      <c r="N74" s="24">
        <f t="shared" si="23"/>
        <v>60</v>
      </c>
      <c r="O74" s="24">
        <f t="shared" si="23"/>
        <v>5090</v>
      </c>
      <c r="P74" s="24">
        <f t="shared" si="23"/>
        <v>313.5</v>
      </c>
      <c r="Q74" s="24">
        <f t="shared" si="23"/>
        <v>2044</v>
      </c>
      <c r="R74" s="24">
        <f t="shared" si="23"/>
        <v>2060</v>
      </c>
      <c r="S74" s="24">
        <f t="shared" si="23"/>
        <v>594</v>
      </c>
      <c r="T74" s="22">
        <f t="shared" si="23"/>
        <v>0</v>
      </c>
      <c r="U74" s="22">
        <f t="shared" si="23"/>
        <v>6165</v>
      </c>
      <c r="V74" s="22">
        <f t="shared" si="23"/>
        <v>152.5</v>
      </c>
      <c r="W74" s="22">
        <f t="shared" si="23"/>
        <v>5800</v>
      </c>
      <c r="X74" s="22">
        <f t="shared" si="23"/>
        <v>2214.5</v>
      </c>
    </row>
    <row r="75" spans="1:24" x14ac:dyDescent="0.3">
      <c r="A75" s="24">
        <v>5219.99</v>
      </c>
      <c r="B75" s="24">
        <v>5277.16</v>
      </c>
      <c r="C75" s="24">
        <v>6173</v>
      </c>
      <c r="D75" s="24">
        <v>3152.86</v>
      </c>
      <c r="E75" s="24">
        <v>530</v>
      </c>
      <c r="F75" s="24">
        <v>5317.46</v>
      </c>
      <c r="G75" s="24">
        <f>5535.53-157.77</f>
        <v>5377.7599999999993</v>
      </c>
      <c r="H75" s="22">
        <f t="shared" ref="H75" si="24">SUM(A75:G75)+I66</f>
        <v>50645.14</v>
      </c>
      <c r="I75" s="33" t="s">
        <v>1</v>
      </c>
      <c r="K75" s="24">
        <v>4695</v>
      </c>
      <c r="L75" s="24">
        <v>117.5</v>
      </c>
      <c r="M75" s="24">
        <v>5344</v>
      </c>
      <c r="N75" s="24">
        <v>60</v>
      </c>
      <c r="O75" s="24">
        <v>5090</v>
      </c>
      <c r="P75" s="24">
        <v>313.5</v>
      </c>
      <c r="Q75" s="24">
        <v>2044</v>
      </c>
      <c r="R75" s="24">
        <v>2060</v>
      </c>
      <c r="S75" s="24">
        <v>594</v>
      </c>
      <c r="T75" s="24">
        <v>0</v>
      </c>
      <c r="U75" s="24">
        <v>6165</v>
      </c>
      <c r="V75" s="24">
        <v>152.5</v>
      </c>
      <c r="W75" s="24">
        <v>5800</v>
      </c>
      <c r="X75" s="24">
        <v>2214.5</v>
      </c>
    </row>
    <row r="76" spans="1:24" ht="15" thickBot="1" x14ac:dyDescent="0.35">
      <c r="A76" s="34">
        <f t="shared" ref="A76:H76" si="25">A74-A75</f>
        <v>0</v>
      </c>
      <c r="B76" s="35">
        <f t="shared" si="25"/>
        <v>0</v>
      </c>
      <c r="C76" s="35">
        <f t="shared" si="25"/>
        <v>0</v>
      </c>
      <c r="D76" s="35">
        <f t="shared" si="25"/>
        <v>0</v>
      </c>
      <c r="E76" s="35">
        <f t="shared" si="25"/>
        <v>0</v>
      </c>
      <c r="F76" s="35">
        <f t="shared" si="25"/>
        <v>0</v>
      </c>
      <c r="G76" s="35">
        <f t="shared" si="25"/>
        <v>157.77000000000044</v>
      </c>
      <c r="H76" s="35">
        <f t="shared" si="25"/>
        <v>157.77000000000407</v>
      </c>
      <c r="I76" s="36"/>
      <c r="K76" s="86">
        <f t="shared" ref="K76" si="26">K74-K75</f>
        <v>0</v>
      </c>
      <c r="L76" s="86">
        <f t="shared" ref="L76:X76" si="27">L74-L75</f>
        <v>0</v>
      </c>
      <c r="M76" s="86">
        <f t="shared" si="27"/>
        <v>0</v>
      </c>
      <c r="N76" s="86">
        <f t="shared" si="27"/>
        <v>0</v>
      </c>
      <c r="O76" s="86">
        <f t="shared" si="27"/>
        <v>0</v>
      </c>
      <c r="P76" s="86">
        <f t="shared" si="27"/>
        <v>0</v>
      </c>
      <c r="Q76" s="86">
        <f t="shared" si="27"/>
        <v>0</v>
      </c>
      <c r="R76" s="86">
        <f t="shared" si="27"/>
        <v>0</v>
      </c>
      <c r="S76" s="86">
        <f t="shared" si="27"/>
        <v>0</v>
      </c>
      <c r="T76" s="86">
        <f t="shared" si="27"/>
        <v>0</v>
      </c>
      <c r="U76" s="86">
        <f t="shared" si="27"/>
        <v>0</v>
      </c>
      <c r="V76" s="86">
        <f t="shared" si="27"/>
        <v>0</v>
      </c>
      <c r="W76" s="86">
        <f t="shared" si="27"/>
        <v>0</v>
      </c>
      <c r="X76" s="86">
        <f t="shared" si="27"/>
        <v>0</v>
      </c>
    </row>
    <row r="77" spans="1:24" ht="15" thickTop="1" x14ac:dyDescent="0.3"/>
  </sheetData>
  <phoneticPr fontId="1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8D3E-DF5D-4AE0-9090-486A90BF99DF}">
  <dimension ref="A1:X77"/>
  <sheetViews>
    <sheetView zoomScale="90" zoomScaleNormal="90" workbookViewId="0">
      <selection sqref="A1:X18"/>
    </sheetView>
  </sheetViews>
  <sheetFormatPr defaultRowHeight="14.4" x14ac:dyDescent="0.3"/>
  <cols>
    <col min="1" max="1" width="11.5546875" customWidth="1"/>
    <col min="2" max="2" width="12.44140625" customWidth="1"/>
    <col min="3" max="3" width="11.33203125" customWidth="1"/>
    <col min="4" max="4" width="12.33203125" customWidth="1"/>
    <col min="5" max="5" width="11" customWidth="1"/>
    <col min="6" max="6" width="12.88671875" customWidth="1"/>
    <col min="7" max="7" width="13.6640625" customWidth="1"/>
    <col min="8" max="8" width="11.88671875" customWidth="1"/>
    <col min="9" max="9" width="13.33203125" bestFit="1" customWidth="1"/>
    <col min="10" max="10" width="9.88671875" bestFit="1" customWidth="1"/>
    <col min="11" max="11" width="11.88671875" customWidth="1"/>
    <col min="12" max="12" width="10.6640625" bestFit="1" customWidth="1"/>
    <col min="13" max="13" width="13.109375" customWidth="1"/>
    <col min="14" max="14" width="10.6640625" bestFit="1" customWidth="1"/>
    <col min="15" max="15" width="14.109375" customWidth="1"/>
    <col min="16" max="16" width="10.88671875" bestFit="1" customWidth="1"/>
    <col min="17" max="17" width="13.44140625" customWidth="1"/>
    <col min="18" max="18" width="10.6640625" bestFit="1" customWidth="1"/>
    <col min="19" max="19" width="13" customWidth="1"/>
    <col min="20" max="20" width="10.6640625" bestFit="1" customWidth="1"/>
    <col min="21" max="21" width="12.109375" customWidth="1"/>
    <col min="22" max="22" width="12.6640625" customWidth="1"/>
    <col min="23" max="23" width="11.33203125" customWidth="1"/>
    <col min="24" max="24" width="10.6640625" bestFit="1" customWidth="1"/>
  </cols>
  <sheetData>
    <row r="1" spans="1:24" x14ac:dyDescent="0.3">
      <c r="A1" s="17">
        <v>45441</v>
      </c>
      <c r="B1" s="17">
        <v>45442</v>
      </c>
      <c r="C1" s="17">
        <v>45443</v>
      </c>
      <c r="D1" s="17">
        <v>45444</v>
      </c>
      <c r="E1" s="17">
        <v>45445</v>
      </c>
      <c r="F1" s="17">
        <v>45446</v>
      </c>
      <c r="G1" s="17">
        <v>45447</v>
      </c>
      <c r="H1" s="17"/>
      <c r="I1" s="13">
        <v>4005.15</v>
      </c>
      <c r="K1" s="59">
        <v>45441</v>
      </c>
      <c r="L1" s="59"/>
      <c r="M1" s="59">
        <v>45442</v>
      </c>
      <c r="N1" s="59"/>
      <c r="O1" s="59">
        <v>45443</v>
      </c>
      <c r="P1" s="59"/>
      <c r="Q1" s="59">
        <v>45444</v>
      </c>
      <c r="R1" s="59"/>
      <c r="S1" s="59">
        <v>45445</v>
      </c>
      <c r="T1" s="59"/>
      <c r="U1" s="59">
        <v>45446</v>
      </c>
      <c r="V1" s="59"/>
      <c r="W1" s="59">
        <v>45447</v>
      </c>
      <c r="X1" s="59"/>
    </row>
    <row r="2" spans="1:24" ht="15" thickBot="1" x14ac:dyDescent="0.35">
      <c r="A2" s="21">
        <v>990</v>
      </c>
      <c r="B2" s="22">
        <v>1255</v>
      </c>
      <c r="C2" s="22">
        <v>1340</v>
      </c>
      <c r="D2" s="22">
        <v>965</v>
      </c>
      <c r="E2" s="22">
        <v>240</v>
      </c>
      <c r="F2" s="22">
        <v>1419.93</v>
      </c>
      <c r="G2" s="22">
        <v>1419.93</v>
      </c>
      <c r="H2" s="37"/>
      <c r="I2" s="14">
        <v>6515.03</v>
      </c>
      <c r="J2" s="1"/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26" t="s">
        <v>11</v>
      </c>
    </row>
    <row r="3" spans="1:24" x14ac:dyDescent="0.3">
      <c r="A3" s="24">
        <v>2970</v>
      </c>
      <c r="B3" s="22">
        <v>2835</v>
      </c>
      <c r="C3" s="22">
        <v>2835</v>
      </c>
      <c r="D3" s="22">
        <v>1245</v>
      </c>
      <c r="E3" s="25"/>
      <c r="F3" s="22">
        <v>3250</v>
      </c>
      <c r="G3" s="22">
        <v>2480</v>
      </c>
      <c r="H3" s="37"/>
      <c r="I3" s="14">
        <v>3235</v>
      </c>
      <c r="K3" s="75">
        <v>28</v>
      </c>
      <c r="L3" s="76">
        <v>42.5</v>
      </c>
      <c r="M3" s="77">
        <v>472.5</v>
      </c>
      <c r="N3" s="77">
        <v>102.5</v>
      </c>
      <c r="O3" s="77">
        <v>1080</v>
      </c>
      <c r="P3" s="77">
        <v>57.5</v>
      </c>
      <c r="Q3" s="77">
        <v>28</v>
      </c>
      <c r="R3" s="77">
        <v>57.5</v>
      </c>
      <c r="S3" s="78">
        <v>84</v>
      </c>
      <c r="T3" s="69">
        <v>15</v>
      </c>
      <c r="U3" s="63">
        <v>850</v>
      </c>
      <c r="V3" s="63">
        <v>392.5</v>
      </c>
      <c r="W3" s="63">
        <v>840</v>
      </c>
      <c r="X3" s="63">
        <v>1860</v>
      </c>
    </row>
    <row r="4" spans="1:24" x14ac:dyDescent="0.3">
      <c r="A4" s="24"/>
      <c r="B4" s="22">
        <v>1966.07</v>
      </c>
      <c r="C4" s="22">
        <v>1652.7</v>
      </c>
      <c r="D4" s="26"/>
      <c r="E4" s="22"/>
      <c r="F4" s="22">
        <v>1275</v>
      </c>
      <c r="G4" s="22">
        <v>1275</v>
      </c>
      <c r="H4" s="37"/>
      <c r="I4" s="15">
        <v>3948.5</v>
      </c>
      <c r="K4" s="21">
        <v>460</v>
      </c>
      <c r="L4" s="79">
        <v>60</v>
      </c>
      <c r="M4" s="80">
        <v>4484.5</v>
      </c>
      <c r="N4" s="43"/>
      <c r="O4" s="43">
        <v>4600</v>
      </c>
      <c r="P4" s="43">
        <v>42.9</v>
      </c>
      <c r="Q4" s="80">
        <v>310</v>
      </c>
      <c r="R4" s="80"/>
      <c r="S4" s="43">
        <v>760</v>
      </c>
      <c r="T4" s="22"/>
      <c r="U4" s="22">
        <v>3175</v>
      </c>
      <c r="V4" s="22">
        <v>35</v>
      </c>
      <c r="W4" s="22">
        <v>3435</v>
      </c>
      <c r="X4" s="22">
        <v>75</v>
      </c>
    </row>
    <row r="5" spans="1:24" x14ac:dyDescent="0.3">
      <c r="A5" s="24"/>
      <c r="B5" s="22"/>
      <c r="C5" s="22">
        <v>120</v>
      </c>
      <c r="D5" s="25"/>
      <c r="E5" s="22"/>
      <c r="F5" s="22"/>
      <c r="G5" s="22"/>
      <c r="H5" s="37"/>
      <c r="I5" s="15">
        <v>2288.09</v>
      </c>
      <c r="K5" s="21">
        <v>407</v>
      </c>
      <c r="L5" s="79"/>
      <c r="M5" s="81">
        <v>1340</v>
      </c>
      <c r="N5" s="43"/>
      <c r="O5" s="43">
        <v>370</v>
      </c>
      <c r="P5" s="43"/>
      <c r="Q5" s="80">
        <v>350</v>
      </c>
      <c r="R5" s="81"/>
      <c r="S5" s="43"/>
      <c r="T5" s="22"/>
      <c r="U5" s="22">
        <v>335</v>
      </c>
      <c r="V5" s="22"/>
      <c r="W5" s="22">
        <v>422</v>
      </c>
      <c r="X5" s="22"/>
    </row>
    <row r="6" spans="1:24" x14ac:dyDescent="0.3">
      <c r="A6" s="129"/>
      <c r="B6" s="22"/>
      <c r="C6" s="22"/>
      <c r="D6" s="22"/>
      <c r="E6" s="22"/>
      <c r="F6" s="22"/>
      <c r="G6" s="22"/>
      <c r="H6" s="37"/>
      <c r="I6" s="15">
        <v>631.08000000000004</v>
      </c>
      <c r="K6" s="21">
        <v>3530</v>
      </c>
      <c r="L6" s="79"/>
      <c r="M6" s="43"/>
      <c r="N6" s="43"/>
      <c r="O6" s="43">
        <v>402</v>
      </c>
      <c r="P6" s="43"/>
      <c r="Q6" s="43">
        <v>1740</v>
      </c>
      <c r="R6" s="43"/>
      <c r="S6" s="43"/>
      <c r="T6" s="22"/>
      <c r="U6" s="22">
        <v>395</v>
      </c>
      <c r="V6" s="22"/>
      <c r="W6" s="22">
        <v>365</v>
      </c>
      <c r="X6" s="22"/>
    </row>
    <row r="7" spans="1:24" x14ac:dyDescent="0.3">
      <c r="A7" s="24"/>
      <c r="B7" s="22"/>
      <c r="C7" s="22"/>
      <c r="D7" s="22"/>
      <c r="E7" s="22"/>
      <c r="F7" s="22"/>
      <c r="G7" s="22"/>
      <c r="H7" s="37"/>
      <c r="I7" s="130">
        <v>4005.15</v>
      </c>
      <c r="K7" s="128"/>
      <c r="L7" s="79"/>
      <c r="M7" s="43"/>
      <c r="N7" s="43"/>
      <c r="O7" s="43"/>
      <c r="P7" s="43"/>
      <c r="Q7" s="43"/>
      <c r="R7" s="43"/>
      <c r="S7" s="43"/>
      <c r="T7" s="22"/>
      <c r="U7" s="22"/>
      <c r="V7" s="22"/>
      <c r="W7" s="22"/>
      <c r="X7" s="22"/>
    </row>
    <row r="8" spans="1:24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20622.850000000002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22"/>
    </row>
    <row r="9" spans="1:24" ht="15" thickTop="1" x14ac:dyDescent="0.3">
      <c r="A9" s="24"/>
      <c r="B9" s="22"/>
      <c r="C9" s="22"/>
      <c r="D9" s="22"/>
      <c r="E9" s="22"/>
      <c r="F9" s="22"/>
      <c r="G9" s="22"/>
      <c r="H9" s="22"/>
      <c r="I9" s="40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3">
      <c r="A10" s="24"/>
      <c r="B10" s="22"/>
      <c r="C10" s="22"/>
      <c r="D10" s="22"/>
      <c r="E10" s="22"/>
      <c r="F10" s="22"/>
      <c r="G10" s="22"/>
      <c r="H10" s="22"/>
      <c r="I10" s="27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>
        <f>SUM(A2:A15)</f>
        <v>3960</v>
      </c>
      <c r="B16" s="24">
        <f t="shared" ref="B16:G16" si="0">SUM(B2:B15)</f>
        <v>6056.07</v>
      </c>
      <c r="C16" s="24">
        <f t="shared" si="0"/>
        <v>5947.7</v>
      </c>
      <c r="D16" s="24">
        <f t="shared" si="0"/>
        <v>2210</v>
      </c>
      <c r="E16" s="24">
        <f t="shared" si="0"/>
        <v>240</v>
      </c>
      <c r="F16" s="24">
        <f t="shared" si="0"/>
        <v>5944.93</v>
      </c>
      <c r="G16" s="24">
        <f t="shared" si="0"/>
        <v>5174.93</v>
      </c>
      <c r="H16" s="29">
        <f>SUM(A16:G16)+I8</f>
        <v>50156.480000000003</v>
      </c>
      <c r="I16" s="30" t="s">
        <v>7</v>
      </c>
      <c r="K16" s="24">
        <f t="shared" ref="K16:X16" si="1">SUM(K3:K15)</f>
        <v>4425</v>
      </c>
      <c r="L16" s="24">
        <f t="shared" si="1"/>
        <v>102.5</v>
      </c>
      <c r="M16" s="24">
        <f t="shared" ref="M16" si="2">SUM(M3:M15)</f>
        <v>6297</v>
      </c>
      <c r="N16" s="24">
        <f t="shared" si="1"/>
        <v>102.5</v>
      </c>
      <c r="O16" s="24">
        <f t="shared" si="1"/>
        <v>6452</v>
      </c>
      <c r="P16" s="24">
        <f t="shared" si="1"/>
        <v>100.4</v>
      </c>
      <c r="Q16" s="24">
        <f t="shared" si="1"/>
        <v>2428</v>
      </c>
      <c r="R16" s="24">
        <f t="shared" si="1"/>
        <v>57.5</v>
      </c>
      <c r="S16" s="24">
        <f t="shared" si="1"/>
        <v>844</v>
      </c>
      <c r="T16" s="22">
        <f t="shared" si="1"/>
        <v>15</v>
      </c>
      <c r="U16" s="22">
        <f t="shared" si="1"/>
        <v>4755</v>
      </c>
      <c r="V16" s="22">
        <f t="shared" si="1"/>
        <v>427.5</v>
      </c>
      <c r="W16" s="22">
        <f t="shared" si="1"/>
        <v>5062</v>
      </c>
      <c r="X16" s="22">
        <f t="shared" si="1"/>
        <v>1935</v>
      </c>
    </row>
    <row r="17" spans="1:24" x14ac:dyDescent="0.3">
      <c r="A17" s="24">
        <v>3960</v>
      </c>
      <c r="B17" s="24">
        <v>6056.07</v>
      </c>
      <c r="C17" s="24">
        <v>5947.7</v>
      </c>
      <c r="D17" s="24">
        <v>2210</v>
      </c>
      <c r="E17" s="24">
        <v>240</v>
      </c>
      <c r="F17" s="24">
        <v>5934.93</v>
      </c>
      <c r="G17" s="24">
        <v>5174.93</v>
      </c>
      <c r="H17" s="22">
        <f>SUM(A17:G17)+I8</f>
        <v>50146.48</v>
      </c>
      <c r="I17" s="33" t="s">
        <v>1</v>
      </c>
      <c r="K17" s="24">
        <v>4425</v>
      </c>
      <c r="L17" s="24">
        <v>102.5</v>
      </c>
      <c r="M17" s="24">
        <v>6297</v>
      </c>
      <c r="N17" s="24">
        <v>102</v>
      </c>
      <c r="O17" s="24">
        <v>6452</v>
      </c>
      <c r="P17" s="24">
        <v>100.4</v>
      </c>
      <c r="Q17" s="24">
        <v>2428</v>
      </c>
      <c r="R17" s="24">
        <v>57.5</v>
      </c>
      <c r="S17" s="24">
        <v>844</v>
      </c>
      <c r="T17" s="22">
        <v>15</v>
      </c>
      <c r="U17" s="22">
        <v>4755</v>
      </c>
      <c r="V17" s="22">
        <v>427.5</v>
      </c>
      <c r="W17" s="22">
        <v>5062</v>
      </c>
      <c r="X17" s="22">
        <v>1935</v>
      </c>
    </row>
    <row r="18" spans="1:24" ht="15" thickBot="1" x14ac:dyDescent="0.35">
      <c r="A18" s="34">
        <f t="shared" ref="A18" si="3">A16-A17</f>
        <v>0</v>
      </c>
      <c r="B18" s="35">
        <f>B16-B17</f>
        <v>0</v>
      </c>
      <c r="C18" s="35">
        <f t="shared" ref="C18:H18" si="4">C16-C17</f>
        <v>0</v>
      </c>
      <c r="D18" s="35">
        <f t="shared" si="4"/>
        <v>0</v>
      </c>
      <c r="E18" s="35">
        <f t="shared" si="4"/>
        <v>0</v>
      </c>
      <c r="F18" s="35">
        <f t="shared" si="4"/>
        <v>10</v>
      </c>
      <c r="G18" s="35">
        <f t="shared" si="4"/>
        <v>0</v>
      </c>
      <c r="H18" s="35">
        <f t="shared" si="4"/>
        <v>10</v>
      </c>
      <c r="I18" s="36"/>
      <c r="K18" s="86">
        <f t="shared" ref="K18:M18" si="5">K16-K17</f>
        <v>0</v>
      </c>
      <c r="L18" s="86">
        <f t="shared" si="5"/>
        <v>0</v>
      </c>
      <c r="M18" s="86">
        <f t="shared" si="5"/>
        <v>0</v>
      </c>
      <c r="N18" s="86">
        <f t="shared" ref="N18:V18" si="6">N16-N17</f>
        <v>0.5</v>
      </c>
      <c r="O18" s="86">
        <f t="shared" si="6"/>
        <v>0</v>
      </c>
      <c r="P18" s="86">
        <f t="shared" si="6"/>
        <v>0</v>
      </c>
      <c r="Q18" s="86">
        <f t="shared" si="6"/>
        <v>0</v>
      </c>
      <c r="R18" s="86">
        <f t="shared" si="6"/>
        <v>0</v>
      </c>
      <c r="S18" s="86">
        <f t="shared" si="6"/>
        <v>0</v>
      </c>
      <c r="T18" s="86">
        <f t="shared" si="6"/>
        <v>0</v>
      </c>
      <c r="U18" s="86">
        <f t="shared" si="6"/>
        <v>0</v>
      </c>
      <c r="V18" s="86">
        <f t="shared" si="6"/>
        <v>0</v>
      </c>
      <c r="W18" s="86">
        <f>W16-W17</f>
        <v>0</v>
      </c>
      <c r="X18" s="86">
        <f>X16-X17</f>
        <v>0</v>
      </c>
    </row>
    <row r="19" spans="1:24" ht="15.6" thickTop="1" thickBot="1" x14ac:dyDescent="0.35"/>
    <row r="20" spans="1:24" x14ac:dyDescent="0.3">
      <c r="A20" s="17">
        <v>45448</v>
      </c>
      <c r="B20" s="17">
        <v>45449</v>
      </c>
      <c r="C20" s="17">
        <v>45450</v>
      </c>
      <c r="D20" s="17">
        <v>45451</v>
      </c>
      <c r="E20" s="17">
        <v>45452</v>
      </c>
      <c r="F20" s="17">
        <v>45453</v>
      </c>
      <c r="G20" s="17">
        <v>45454</v>
      </c>
      <c r="H20" s="17"/>
      <c r="I20" s="13"/>
      <c r="K20" s="59">
        <v>45448</v>
      </c>
      <c r="L20" s="59"/>
      <c r="M20" s="59">
        <v>45449</v>
      </c>
      <c r="N20" s="59"/>
      <c r="O20" s="59">
        <v>45450</v>
      </c>
      <c r="P20" s="59"/>
      <c r="Q20" s="59">
        <v>45451</v>
      </c>
      <c r="R20" s="59"/>
      <c r="S20" s="59">
        <v>45452</v>
      </c>
      <c r="T20" s="59"/>
      <c r="U20" s="59">
        <v>45453</v>
      </c>
      <c r="V20" s="59"/>
      <c r="W20" s="59">
        <v>45454</v>
      </c>
      <c r="X20" s="59"/>
    </row>
    <row r="21" spans="1:24" ht="15" thickBot="1" x14ac:dyDescent="0.35">
      <c r="A21" s="21">
        <v>1100</v>
      </c>
      <c r="B21" s="22">
        <v>1292.52</v>
      </c>
      <c r="C21" s="22">
        <v>946.62</v>
      </c>
      <c r="D21" s="22">
        <v>1493.4</v>
      </c>
      <c r="E21" s="22">
        <v>240</v>
      </c>
      <c r="F21" s="22">
        <v>1300</v>
      </c>
      <c r="G21" s="22">
        <v>1380</v>
      </c>
      <c r="H21" s="37"/>
      <c r="I21" s="14">
        <v>6515.03</v>
      </c>
      <c r="J21" s="1"/>
      <c r="K21" s="124" t="s">
        <v>10</v>
      </c>
      <c r="L21" s="125" t="s">
        <v>11</v>
      </c>
      <c r="M21" s="126" t="s">
        <v>10</v>
      </c>
      <c r="N21" s="126" t="s">
        <v>11</v>
      </c>
      <c r="O21" s="126" t="s">
        <v>10</v>
      </c>
      <c r="P21" s="126" t="s">
        <v>11</v>
      </c>
      <c r="Q21" s="126" t="s">
        <v>10</v>
      </c>
      <c r="R21" s="126" t="s">
        <v>11</v>
      </c>
      <c r="S21" s="126" t="s">
        <v>10</v>
      </c>
      <c r="T21" s="126" t="s">
        <v>11</v>
      </c>
      <c r="U21" s="126" t="s">
        <v>10</v>
      </c>
      <c r="V21" s="126" t="s">
        <v>11</v>
      </c>
      <c r="W21" s="126" t="s">
        <v>10</v>
      </c>
      <c r="X21" s="126" t="s">
        <v>11</v>
      </c>
    </row>
    <row r="22" spans="1:24" x14ac:dyDescent="0.3">
      <c r="A22" s="24">
        <v>2600</v>
      </c>
      <c r="B22" s="22">
        <v>2560</v>
      </c>
      <c r="C22" s="22">
        <v>2590</v>
      </c>
      <c r="D22" s="22">
        <v>1435</v>
      </c>
      <c r="E22" s="25"/>
      <c r="F22" s="22">
        <v>3055</v>
      </c>
      <c r="G22" s="22">
        <v>2285</v>
      </c>
      <c r="H22" s="37"/>
      <c r="I22" s="14">
        <v>3030</v>
      </c>
      <c r="J22" s="1"/>
      <c r="K22" s="75">
        <v>29</v>
      </c>
      <c r="L22" s="76">
        <v>42.5</v>
      </c>
      <c r="M22" s="77">
        <v>570</v>
      </c>
      <c r="N22" s="77">
        <v>840</v>
      </c>
      <c r="O22" s="77">
        <v>660</v>
      </c>
      <c r="P22" s="77">
        <v>37.5</v>
      </c>
      <c r="Q22" s="77">
        <v>260</v>
      </c>
      <c r="R22" s="77">
        <v>62.5</v>
      </c>
      <c r="S22" s="78">
        <v>760</v>
      </c>
      <c r="T22" s="69">
        <v>0</v>
      </c>
      <c r="U22" s="63">
        <v>370</v>
      </c>
      <c r="V22" s="63">
        <v>29</v>
      </c>
      <c r="W22" s="63">
        <v>57</v>
      </c>
      <c r="X22" s="63">
        <v>75</v>
      </c>
    </row>
    <row r="23" spans="1:24" x14ac:dyDescent="0.3">
      <c r="A23" s="24">
        <v>1292.52</v>
      </c>
      <c r="B23" s="22">
        <v>1275</v>
      </c>
      <c r="C23" s="22">
        <v>890</v>
      </c>
      <c r="D23" s="26">
        <v>1025</v>
      </c>
      <c r="E23" s="22"/>
      <c r="F23" s="22">
        <v>1262.1600000000001</v>
      </c>
      <c r="G23" s="22">
        <v>946.62</v>
      </c>
      <c r="H23" s="37"/>
      <c r="I23" s="15">
        <v>6552.13</v>
      </c>
      <c r="J23" s="1"/>
      <c r="K23" s="21">
        <v>400</v>
      </c>
      <c r="L23" s="79"/>
      <c r="M23" s="43">
        <v>3525</v>
      </c>
      <c r="N23" s="43">
        <v>42.5</v>
      </c>
      <c r="O23" s="43">
        <v>3643</v>
      </c>
      <c r="P23" s="43"/>
      <c r="Q23" s="80">
        <v>57</v>
      </c>
      <c r="R23" s="80"/>
      <c r="S23" s="43">
        <v>84</v>
      </c>
      <c r="T23" s="22"/>
      <c r="U23" s="22">
        <v>335</v>
      </c>
      <c r="V23" s="22">
        <v>185</v>
      </c>
      <c r="W23" s="22">
        <v>365</v>
      </c>
      <c r="X23" s="22">
        <v>656.8</v>
      </c>
    </row>
    <row r="24" spans="1:24" x14ac:dyDescent="0.3">
      <c r="A24" s="24"/>
      <c r="B24" s="22"/>
      <c r="C24" s="22"/>
      <c r="D24" s="25"/>
      <c r="E24" s="22"/>
      <c r="F24" s="22"/>
      <c r="G24" s="22"/>
      <c r="H24" s="37"/>
      <c r="I24" s="15">
        <v>3738.14</v>
      </c>
      <c r="K24" s="21">
        <v>269</v>
      </c>
      <c r="L24" s="79"/>
      <c r="M24" s="43">
        <v>407</v>
      </c>
      <c r="N24" s="43">
        <v>1587</v>
      </c>
      <c r="O24" s="43">
        <v>365</v>
      </c>
      <c r="P24" s="43"/>
      <c r="Q24" s="80">
        <v>2190</v>
      </c>
      <c r="R24" s="81"/>
      <c r="S24" s="43"/>
      <c r="T24" s="22"/>
      <c r="U24" s="22">
        <v>3670</v>
      </c>
      <c r="V24" s="22">
        <v>1805</v>
      </c>
      <c r="W24" s="22">
        <v>422</v>
      </c>
      <c r="X24" s="22"/>
    </row>
    <row r="25" spans="1:24" x14ac:dyDescent="0.3">
      <c r="A25" s="129"/>
      <c r="B25" s="22"/>
      <c r="C25" s="22"/>
      <c r="D25" s="22"/>
      <c r="E25" s="22"/>
      <c r="F25" s="22"/>
      <c r="G25" s="22"/>
      <c r="H25" s="37"/>
      <c r="I25" s="15">
        <v>1237.94</v>
      </c>
      <c r="K25" s="21">
        <v>2910</v>
      </c>
      <c r="L25" s="79"/>
      <c r="M25" s="43">
        <v>365</v>
      </c>
      <c r="N25" s="43"/>
      <c r="O25" s="43"/>
      <c r="P25" s="43"/>
      <c r="Q25" s="43">
        <v>458</v>
      </c>
      <c r="R25" s="43"/>
      <c r="S25" s="43"/>
      <c r="T25" s="22"/>
      <c r="U25" s="22">
        <v>670</v>
      </c>
      <c r="V25" s="22">
        <v>120</v>
      </c>
      <c r="W25" s="22">
        <v>3505</v>
      </c>
      <c r="X25" s="22"/>
    </row>
    <row r="26" spans="1:24" x14ac:dyDescent="0.3">
      <c r="A26" s="24"/>
      <c r="B26" s="22"/>
      <c r="C26" s="22"/>
      <c r="D26" s="22"/>
      <c r="E26" s="22"/>
      <c r="F26" s="22"/>
      <c r="G26" s="22"/>
      <c r="H26" s="37"/>
      <c r="I26" s="130"/>
      <c r="K26" s="128">
        <v>600</v>
      </c>
      <c r="L26" s="79"/>
      <c r="M26" s="43"/>
      <c r="N26" s="43"/>
      <c r="O26" s="43"/>
      <c r="P26" s="43"/>
      <c r="Q26" s="43">
        <v>270</v>
      </c>
      <c r="R26" s="43"/>
      <c r="S26" s="43"/>
      <c r="T26" s="22"/>
      <c r="U26" s="22"/>
      <c r="V26" s="22">
        <v>72</v>
      </c>
      <c r="W26" s="22">
        <v>720</v>
      </c>
      <c r="X26" s="22"/>
    </row>
    <row r="27" spans="1:24" ht="15" thickBot="1" x14ac:dyDescent="0.35">
      <c r="A27" s="24"/>
      <c r="B27" s="22"/>
      <c r="C27" s="22"/>
      <c r="D27" s="22"/>
      <c r="E27" s="22"/>
      <c r="F27" s="22"/>
      <c r="G27" s="22"/>
      <c r="H27" s="37"/>
      <c r="I27" s="16">
        <f>SUM(I21:I26)</f>
        <v>21073.239999999998</v>
      </c>
      <c r="K27" s="21"/>
      <c r="L27" s="79"/>
      <c r="M27" s="43"/>
      <c r="N27" s="43"/>
      <c r="O27" s="43"/>
      <c r="P27" s="43"/>
      <c r="Q27" s="43">
        <v>28</v>
      </c>
      <c r="R27" s="43"/>
      <c r="S27" s="43"/>
      <c r="T27" s="22"/>
      <c r="U27" s="22"/>
      <c r="V27" s="22"/>
      <c r="W27" s="22"/>
      <c r="X27" s="22"/>
    </row>
    <row r="28" spans="1:24" ht="15" thickTop="1" x14ac:dyDescent="0.3">
      <c r="A28" s="24"/>
      <c r="B28" s="22"/>
      <c r="C28" s="22"/>
      <c r="D28" s="22"/>
      <c r="E28" s="22"/>
      <c r="F28" s="22"/>
      <c r="G28" s="22"/>
      <c r="H28" s="22"/>
      <c r="I28" s="40"/>
      <c r="K28" s="24"/>
      <c r="L28" s="56"/>
      <c r="M28" s="22"/>
      <c r="N28" s="22"/>
      <c r="O28" s="22"/>
      <c r="P28" s="22"/>
      <c r="Q28" s="22">
        <v>28</v>
      </c>
      <c r="R28" s="22"/>
      <c r="S28" s="22"/>
      <c r="T28" s="22"/>
      <c r="U28" s="22"/>
      <c r="V28" s="22"/>
      <c r="W28" s="22"/>
      <c r="X28" s="22"/>
    </row>
    <row r="29" spans="1:24" x14ac:dyDescent="0.3">
      <c r="A29" s="24"/>
      <c r="B29" s="22"/>
      <c r="C29" s="22"/>
      <c r="D29" s="22"/>
      <c r="E29" s="22"/>
      <c r="F29" s="22"/>
      <c r="G29" s="22"/>
      <c r="H29" s="22"/>
      <c r="I29" s="27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24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4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4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4"/>
      <c r="B34" s="22"/>
      <c r="C34" s="22"/>
      <c r="D34" s="22"/>
      <c r="E34" s="22"/>
      <c r="F34" s="28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8"/>
      <c r="V34" s="28"/>
      <c r="W34" s="28"/>
      <c r="X34" s="28"/>
    </row>
    <row r="35" spans="1:24" x14ac:dyDescent="0.3">
      <c r="A35" s="24">
        <f t="shared" ref="A35:G35" si="7">SUM(A21:A34)</f>
        <v>4992.5200000000004</v>
      </c>
      <c r="B35" s="24">
        <f t="shared" si="7"/>
        <v>5127.5200000000004</v>
      </c>
      <c r="C35" s="24">
        <f t="shared" si="7"/>
        <v>4426.62</v>
      </c>
      <c r="D35" s="24">
        <f t="shared" si="7"/>
        <v>3953.4</v>
      </c>
      <c r="E35" s="24">
        <f t="shared" si="7"/>
        <v>240</v>
      </c>
      <c r="F35" s="24">
        <f t="shared" si="7"/>
        <v>5617.16</v>
      </c>
      <c r="G35" s="24">
        <f t="shared" si="7"/>
        <v>4611.62</v>
      </c>
      <c r="H35" s="29">
        <f t="shared" ref="H35" si="8">SUM(A35:G35)+I27</f>
        <v>50042.080000000002</v>
      </c>
      <c r="I35" s="30" t="s">
        <v>7</v>
      </c>
      <c r="K35" s="24">
        <f t="shared" ref="K35:X35" si="9">SUM(K22:K34)</f>
        <v>4208</v>
      </c>
      <c r="L35" s="24">
        <f t="shared" si="9"/>
        <v>42.5</v>
      </c>
      <c r="M35" s="24">
        <f t="shared" si="9"/>
        <v>4867</v>
      </c>
      <c r="N35" s="24">
        <f t="shared" si="9"/>
        <v>2469.5</v>
      </c>
      <c r="O35" s="24">
        <f t="shared" si="9"/>
        <v>4668</v>
      </c>
      <c r="P35" s="24">
        <v>37.5</v>
      </c>
      <c r="Q35" s="24">
        <f t="shared" si="9"/>
        <v>3291</v>
      </c>
      <c r="R35" s="24">
        <f t="shared" si="9"/>
        <v>62.5</v>
      </c>
      <c r="S35" s="24">
        <f t="shared" si="9"/>
        <v>844</v>
      </c>
      <c r="T35" s="22">
        <f t="shared" si="9"/>
        <v>0</v>
      </c>
      <c r="U35" s="22">
        <f t="shared" si="9"/>
        <v>5045</v>
      </c>
      <c r="V35" s="22">
        <f t="shared" si="9"/>
        <v>2211</v>
      </c>
      <c r="W35" s="22">
        <f t="shared" si="9"/>
        <v>5069</v>
      </c>
      <c r="X35" s="22">
        <f t="shared" si="9"/>
        <v>731.8</v>
      </c>
    </row>
    <row r="36" spans="1:24" x14ac:dyDescent="0.3">
      <c r="A36" s="24">
        <v>4992.5200000000004</v>
      </c>
      <c r="B36" s="24">
        <v>5127.5200000000004</v>
      </c>
      <c r="C36" s="24">
        <v>4426.62</v>
      </c>
      <c r="D36" s="24">
        <v>3953.4</v>
      </c>
      <c r="E36" s="24">
        <v>240</v>
      </c>
      <c r="F36" s="24">
        <v>5617.16</v>
      </c>
      <c r="G36" s="24">
        <v>4611.62</v>
      </c>
      <c r="H36" s="22">
        <f>SUM(A36:G36)+I27</f>
        <v>50042.080000000002</v>
      </c>
      <c r="I36" s="33" t="s">
        <v>1</v>
      </c>
      <c r="K36" s="24">
        <v>4208</v>
      </c>
      <c r="L36" s="24">
        <v>42.5</v>
      </c>
      <c r="M36" s="24">
        <f>2211+2656</f>
        <v>4867</v>
      </c>
      <c r="N36" s="24">
        <f>847.5+1622</f>
        <v>2469.5</v>
      </c>
      <c r="O36" s="24">
        <v>4668</v>
      </c>
      <c r="P36" s="24">
        <v>37.5</v>
      </c>
      <c r="Q36" s="24">
        <v>3291</v>
      </c>
      <c r="R36" s="24">
        <v>62.5</v>
      </c>
      <c r="S36" s="24">
        <v>844</v>
      </c>
      <c r="T36" s="22">
        <v>0</v>
      </c>
      <c r="U36" s="22">
        <v>5045</v>
      </c>
      <c r="V36" s="22">
        <v>2211</v>
      </c>
      <c r="W36" s="22">
        <v>5069</v>
      </c>
      <c r="X36" s="22">
        <v>731.8</v>
      </c>
    </row>
    <row r="37" spans="1:24" ht="15" thickBot="1" x14ac:dyDescent="0.35">
      <c r="A37" s="35">
        <f t="shared" ref="A37:H37" si="10">A35-A36</f>
        <v>0</v>
      </c>
      <c r="B37" s="35">
        <f t="shared" si="10"/>
        <v>0</v>
      </c>
      <c r="C37" s="35">
        <f t="shared" si="10"/>
        <v>0</v>
      </c>
      <c r="D37" s="35">
        <f t="shared" si="10"/>
        <v>0</v>
      </c>
      <c r="E37" s="35">
        <f t="shared" si="10"/>
        <v>0</v>
      </c>
      <c r="F37" s="35">
        <f t="shared" si="10"/>
        <v>0</v>
      </c>
      <c r="G37" s="35">
        <f t="shared" si="10"/>
        <v>0</v>
      </c>
      <c r="H37" s="35">
        <f t="shared" si="10"/>
        <v>0</v>
      </c>
      <c r="I37" s="36"/>
      <c r="K37" s="86">
        <f t="shared" ref="K37:X37" si="11">K35-K36</f>
        <v>0</v>
      </c>
      <c r="L37" s="86">
        <f t="shared" si="11"/>
        <v>0</v>
      </c>
      <c r="M37" s="86">
        <f t="shared" si="11"/>
        <v>0</v>
      </c>
      <c r="N37" s="86">
        <f t="shared" si="11"/>
        <v>0</v>
      </c>
      <c r="O37" s="86">
        <f t="shared" si="11"/>
        <v>0</v>
      </c>
      <c r="P37" s="86">
        <f t="shared" si="11"/>
        <v>0</v>
      </c>
      <c r="Q37" s="86">
        <f t="shared" si="11"/>
        <v>0</v>
      </c>
      <c r="R37" s="86">
        <f t="shared" si="11"/>
        <v>0</v>
      </c>
      <c r="S37" s="86">
        <f t="shared" si="11"/>
        <v>0</v>
      </c>
      <c r="T37" s="86">
        <f t="shared" si="11"/>
        <v>0</v>
      </c>
      <c r="U37" s="86">
        <f t="shared" si="11"/>
        <v>0</v>
      </c>
      <c r="V37" s="86">
        <f t="shared" si="11"/>
        <v>0</v>
      </c>
      <c r="W37" s="86">
        <f t="shared" si="11"/>
        <v>0</v>
      </c>
      <c r="X37" s="86">
        <f t="shared" si="11"/>
        <v>0</v>
      </c>
    </row>
    <row r="38" spans="1:24" ht="15.6" thickTop="1" thickBot="1" x14ac:dyDescent="0.35"/>
    <row r="39" spans="1:24" ht="15" thickBot="1" x14ac:dyDescent="0.35">
      <c r="A39" s="17">
        <v>45455</v>
      </c>
      <c r="B39" s="17">
        <v>45456</v>
      </c>
      <c r="C39" s="17">
        <v>45457</v>
      </c>
      <c r="D39" s="17">
        <v>45458</v>
      </c>
      <c r="E39" s="17">
        <v>45459</v>
      </c>
      <c r="F39" s="17">
        <v>45460</v>
      </c>
      <c r="G39" s="17">
        <v>45461</v>
      </c>
      <c r="H39" s="17"/>
      <c r="I39" s="13"/>
    </row>
    <row r="40" spans="1:24" x14ac:dyDescent="0.3">
      <c r="A40" s="21">
        <v>1419.93</v>
      </c>
      <c r="B40" s="22">
        <v>1240</v>
      </c>
      <c r="C40" s="22">
        <v>1235</v>
      </c>
      <c r="D40" s="22">
        <v>710</v>
      </c>
      <c r="E40" s="22">
        <v>700</v>
      </c>
      <c r="F40" s="22">
        <v>1290</v>
      </c>
      <c r="G40" s="22">
        <v>1419.93</v>
      </c>
      <c r="H40" s="37"/>
      <c r="I40" s="14">
        <v>3410</v>
      </c>
      <c r="K40" s="59">
        <v>45455</v>
      </c>
      <c r="L40" s="59"/>
      <c r="M40" s="59">
        <v>45456</v>
      </c>
      <c r="N40" s="59"/>
      <c r="O40" s="59">
        <v>45457</v>
      </c>
      <c r="P40" s="59"/>
      <c r="Q40" s="59">
        <v>45458</v>
      </c>
      <c r="R40" s="59"/>
      <c r="S40" s="59">
        <v>45459</v>
      </c>
      <c r="T40" s="59"/>
      <c r="U40" s="59">
        <v>45460</v>
      </c>
      <c r="V40" s="59"/>
      <c r="W40" s="59">
        <v>45461</v>
      </c>
      <c r="X40" s="59"/>
    </row>
    <row r="41" spans="1:24" ht="15" thickBot="1" x14ac:dyDescent="0.35">
      <c r="A41" s="24">
        <v>2510</v>
      </c>
      <c r="B41" s="22">
        <v>3470</v>
      </c>
      <c r="C41" s="22">
        <v>2960</v>
      </c>
      <c r="D41" s="22">
        <v>1220</v>
      </c>
      <c r="E41" s="25"/>
      <c r="F41" s="22">
        <v>3545</v>
      </c>
      <c r="G41" s="22">
        <v>3045</v>
      </c>
      <c r="H41" s="37"/>
      <c r="I41" s="14">
        <v>370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</row>
    <row r="42" spans="1:24" x14ac:dyDescent="0.3">
      <c r="A42" s="24">
        <v>1035</v>
      </c>
      <c r="B42" s="22">
        <v>1419.93</v>
      </c>
      <c r="C42" s="22">
        <v>1377.46</v>
      </c>
      <c r="D42" s="26"/>
      <c r="E42" s="22"/>
      <c r="F42" s="22"/>
      <c r="G42" s="22">
        <v>1355</v>
      </c>
      <c r="H42" s="37"/>
      <c r="I42" s="15">
        <v>3738.14</v>
      </c>
      <c r="K42" s="75">
        <v>1030</v>
      </c>
      <c r="L42" s="76">
        <v>409.5</v>
      </c>
      <c r="M42" s="77">
        <v>360</v>
      </c>
      <c r="N42" s="77">
        <v>102.5</v>
      </c>
      <c r="O42" s="77">
        <v>400</v>
      </c>
      <c r="P42" s="77">
        <v>57.5</v>
      </c>
      <c r="Q42" s="77">
        <v>300</v>
      </c>
      <c r="R42" s="77">
        <v>35</v>
      </c>
      <c r="S42" s="78">
        <v>84</v>
      </c>
      <c r="T42" s="69"/>
      <c r="U42" s="63">
        <v>26</v>
      </c>
      <c r="V42" s="63">
        <v>42.5</v>
      </c>
      <c r="W42" s="63">
        <v>1400</v>
      </c>
      <c r="X42" s="63">
        <v>75</v>
      </c>
    </row>
    <row r="43" spans="1:24" x14ac:dyDescent="0.3">
      <c r="A43" s="24"/>
      <c r="B43" s="22"/>
      <c r="C43" s="22"/>
      <c r="D43" s="25"/>
      <c r="E43" s="22"/>
      <c r="F43" s="22"/>
      <c r="G43" s="22"/>
      <c r="H43" s="37"/>
      <c r="I43" s="15">
        <v>5922.75</v>
      </c>
      <c r="K43" s="21">
        <v>3005</v>
      </c>
      <c r="L43" s="79">
        <v>50</v>
      </c>
      <c r="M43" s="43">
        <v>419</v>
      </c>
      <c r="N43" s="43">
        <v>26</v>
      </c>
      <c r="O43" s="43">
        <v>296</v>
      </c>
      <c r="P43" s="43"/>
      <c r="Q43" s="80">
        <v>318</v>
      </c>
      <c r="R43" s="80">
        <v>1620</v>
      </c>
      <c r="S43" s="43">
        <v>380</v>
      </c>
      <c r="T43" s="22"/>
      <c r="U43" s="22">
        <v>450</v>
      </c>
      <c r="V43" s="22">
        <v>60</v>
      </c>
      <c r="W43" s="22">
        <v>2985</v>
      </c>
      <c r="X43" s="22"/>
    </row>
    <row r="44" spans="1:24" x14ac:dyDescent="0.3">
      <c r="A44" s="129"/>
      <c r="B44" s="22"/>
      <c r="C44" s="22"/>
      <c r="D44" s="22"/>
      <c r="E44" s="22"/>
      <c r="F44" s="22"/>
      <c r="G44" s="22"/>
      <c r="H44" s="37"/>
      <c r="I44" s="15">
        <v>7183.21</v>
      </c>
      <c r="K44" s="21">
        <v>269</v>
      </c>
      <c r="L44" s="79">
        <v>120</v>
      </c>
      <c r="M44" s="43">
        <v>2930</v>
      </c>
      <c r="N44" s="43">
        <v>465.9</v>
      </c>
      <c r="O44" s="43">
        <v>3610</v>
      </c>
      <c r="P44" s="43"/>
      <c r="Q44" s="80">
        <v>1500</v>
      </c>
      <c r="R44" s="81"/>
      <c r="S44" s="43"/>
      <c r="T44" s="22"/>
      <c r="U44" s="22">
        <v>335</v>
      </c>
      <c r="V44" s="22"/>
      <c r="W44" s="22">
        <v>416</v>
      </c>
      <c r="X44" s="22"/>
    </row>
    <row r="45" spans="1:24" x14ac:dyDescent="0.3">
      <c r="A45" s="24"/>
      <c r="B45" s="22"/>
      <c r="C45" s="22"/>
      <c r="D45" s="22"/>
      <c r="E45" s="22"/>
      <c r="F45" s="22"/>
      <c r="G45" s="22"/>
      <c r="H45" s="37"/>
      <c r="I45" s="130">
        <v>473.31</v>
      </c>
      <c r="K45" s="21">
        <v>805</v>
      </c>
      <c r="L45" s="79"/>
      <c r="M45" s="43">
        <v>1280</v>
      </c>
      <c r="N45" s="43"/>
      <c r="O45" s="43">
        <v>860</v>
      </c>
      <c r="P45" s="43"/>
      <c r="Q45" s="43"/>
      <c r="R45" s="43"/>
      <c r="S45" s="43"/>
      <c r="T45" s="22"/>
      <c r="U45" s="22">
        <v>2930</v>
      </c>
      <c r="V45" s="22"/>
      <c r="W45" s="22">
        <v>365</v>
      </c>
      <c r="X45" s="22"/>
    </row>
    <row r="46" spans="1:24" ht="15" thickBot="1" x14ac:dyDescent="0.35">
      <c r="A46" s="24"/>
      <c r="B46" s="22"/>
      <c r="C46" s="22"/>
      <c r="D46" s="22"/>
      <c r="E46" s="22"/>
      <c r="F46" s="22"/>
      <c r="G46" s="22"/>
      <c r="H46" s="37"/>
      <c r="I46" s="16">
        <f t="shared" ref="I46" si="12">SUM(I40:I45)</f>
        <v>21097.41</v>
      </c>
      <c r="K46" s="128">
        <v>29</v>
      </c>
      <c r="L46" s="79"/>
      <c r="M46" s="43"/>
      <c r="N46" s="43"/>
      <c r="O46" s="43"/>
      <c r="P46" s="43"/>
      <c r="Q46" s="43"/>
      <c r="R46" s="43"/>
      <c r="S46" s="43"/>
      <c r="T46" s="22"/>
      <c r="U46" s="22"/>
      <c r="V46" s="22"/>
      <c r="W46" s="22">
        <v>55</v>
      </c>
      <c r="X46" s="22"/>
    </row>
    <row r="47" spans="1:24" ht="15" thickTop="1" x14ac:dyDescent="0.3">
      <c r="A47" s="24"/>
      <c r="B47" s="22"/>
      <c r="C47" s="22"/>
      <c r="D47" s="22"/>
      <c r="E47" s="22"/>
      <c r="F47" s="22"/>
      <c r="G47" s="22"/>
      <c r="H47" s="22"/>
      <c r="I47" s="40"/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/>
      <c r="X47" s="22"/>
    </row>
    <row r="48" spans="1:24" x14ac:dyDescent="0.3">
      <c r="A48" s="24"/>
      <c r="B48" s="22"/>
      <c r="C48" s="22"/>
      <c r="D48" s="22"/>
      <c r="E48" s="22"/>
      <c r="F48" s="22"/>
      <c r="G48" s="22"/>
      <c r="H48" s="22"/>
      <c r="I48" s="27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3">
      <c r="A49" s="24"/>
      <c r="B49" s="22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4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4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4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4"/>
      <c r="B53" s="22"/>
      <c r="C53" s="22"/>
      <c r="D53" s="22"/>
      <c r="E53" s="22"/>
      <c r="F53" s="28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>
        <f t="shared" ref="A54:G54" si="13">SUM(A40:A53)</f>
        <v>4964.93</v>
      </c>
      <c r="B54" s="24">
        <f t="shared" si="13"/>
        <v>6129.93</v>
      </c>
      <c r="C54" s="24">
        <f t="shared" si="13"/>
        <v>5572.46</v>
      </c>
      <c r="D54" s="24">
        <f t="shared" si="13"/>
        <v>1930</v>
      </c>
      <c r="E54" s="24">
        <f t="shared" si="13"/>
        <v>700</v>
      </c>
      <c r="F54" s="24">
        <f t="shared" si="13"/>
        <v>4835</v>
      </c>
      <c r="G54" s="24">
        <f t="shared" si="13"/>
        <v>5819.93</v>
      </c>
      <c r="H54" s="29">
        <f t="shared" ref="H54" si="14">SUM(A54:G54)+I46</f>
        <v>51049.66</v>
      </c>
      <c r="I54" s="30" t="s">
        <v>7</v>
      </c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8"/>
      <c r="V54" s="28"/>
      <c r="W54" s="28"/>
      <c r="X54" s="28"/>
    </row>
    <row r="55" spans="1:24" x14ac:dyDescent="0.3">
      <c r="A55" s="24">
        <v>4964.93</v>
      </c>
      <c r="B55" s="24">
        <v>6129.93</v>
      </c>
      <c r="C55" s="24">
        <v>5572.46</v>
      </c>
      <c r="D55" s="24">
        <v>1930</v>
      </c>
      <c r="E55" s="24">
        <v>700</v>
      </c>
      <c r="F55" s="24">
        <v>4835</v>
      </c>
      <c r="G55" s="24">
        <v>5819.93</v>
      </c>
      <c r="H55" s="22">
        <f t="shared" ref="H55" si="15">SUM(A55:G55)+I46</f>
        <v>51049.66</v>
      </c>
      <c r="I55" s="33" t="s">
        <v>1</v>
      </c>
      <c r="K55" s="24">
        <f t="shared" ref="K55:W55" si="16">SUM(K42:K54)</f>
        <v>5138</v>
      </c>
      <c r="L55" s="24">
        <f t="shared" si="16"/>
        <v>579.5</v>
      </c>
      <c r="M55" s="24">
        <f t="shared" si="16"/>
        <v>4989</v>
      </c>
      <c r="N55" s="24">
        <f t="shared" si="16"/>
        <v>594.4</v>
      </c>
      <c r="O55" s="24">
        <f t="shared" si="16"/>
        <v>5166</v>
      </c>
      <c r="P55" s="24">
        <f t="shared" si="16"/>
        <v>57.5</v>
      </c>
      <c r="Q55" s="24">
        <f t="shared" si="16"/>
        <v>2118</v>
      </c>
      <c r="R55" s="24">
        <f t="shared" si="16"/>
        <v>1655</v>
      </c>
      <c r="S55" s="24">
        <f t="shared" si="16"/>
        <v>464</v>
      </c>
      <c r="T55" s="22">
        <f t="shared" si="16"/>
        <v>0</v>
      </c>
      <c r="U55" s="22">
        <f t="shared" si="16"/>
        <v>3741</v>
      </c>
      <c r="V55" s="22">
        <f t="shared" si="16"/>
        <v>102.5</v>
      </c>
      <c r="W55" s="22">
        <f t="shared" si="16"/>
        <v>5221</v>
      </c>
      <c r="X55" s="22">
        <f t="shared" ref="X55" si="17">SUM(X42:X54)</f>
        <v>75</v>
      </c>
    </row>
    <row r="56" spans="1:24" ht="15" thickBot="1" x14ac:dyDescent="0.35">
      <c r="A56" s="34">
        <f t="shared" ref="A56:H56" si="18">A54-A55</f>
        <v>0</v>
      </c>
      <c r="B56" s="35">
        <f t="shared" si="18"/>
        <v>0</v>
      </c>
      <c r="C56" s="35">
        <f t="shared" si="18"/>
        <v>0</v>
      </c>
      <c r="D56" s="35">
        <f t="shared" si="18"/>
        <v>0</v>
      </c>
      <c r="E56" s="35">
        <f t="shared" si="18"/>
        <v>0</v>
      </c>
      <c r="F56" s="35">
        <f t="shared" si="18"/>
        <v>0</v>
      </c>
      <c r="G56" s="35">
        <f t="shared" si="18"/>
        <v>0</v>
      </c>
      <c r="H56" s="35">
        <f t="shared" si="18"/>
        <v>0</v>
      </c>
      <c r="I56" s="36"/>
      <c r="K56" s="24">
        <v>5138</v>
      </c>
      <c r="L56" s="24">
        <v>579.5</v>
      </c>
      <c r="M56" s="24">
        <v>4989</v>
      </c>
      <c r="N56" s="24">
        <v>594.4</v>
      </c>
      <c r="O56" s="24">
        <v>5166</v>
      </c>
      <c r="P56" s="24">
        <v>57.5</v>
      </c>
      <c r="Q56" s="24">
        <v>2118</v>
      </c>
      <c r="R56" s="24">
        <v>1655</v>
      </c>
      <c r="S56" s="24">
        <v>464</v>
      </c>
      <c r="T56" s="24">
        <v>0</v>
      </c>
      <c r="U56" s="24">
        <v>3741</v>
      </c>
      <c r="V56" s="24">
        <v>102.5</v>
      </c>
      <c r="W56" s="24">
        <v>5221</v>
      </c>
      <c r="X56" s="24">
        <v>75</v>
      </c>
    </row>
    <row r="57" spans="1:24" ht="15.6" thickTop="1" thickBot="1" x14ac:dyDescent="0.35">
      <c r="K57" s="86">
        <f t="shared" ref="K57:W57" si="19">K55-K56</f>
        <v>0</v>
      </c>
      <c r="L57" s="86">
        <f t="shared" si="19"/>
        <v>0</v>
      </c>
      <c r="M57" s="86">
        <f t="shared" si="19"/>
        <v>0</v>
      </c>
      <c r="N57" s="86">
        <f t="shared" si="19"/>
        <v>0</v>
      </c>
      <c r="O57" s="86">
        <f t="shared" si="19"/>
        <v>0</v>
      </c>
      <c r="P57" s="86">
        <f t="shared" si="19"/>
        <v>0</v>
      </c>
      <c r="Q57" s="86">
        <f t="shared" si="19"/>
        <v>0</v>
      </c>
      <c r="R57" s="86">
        <f t="shared" si="19"/>
        <v>0</v>
      </c>
      <c r="S57" s="86">
        <f t="shared" si="19"/>
        <v>0</v>
      </c>
      <c r="T57" s="86">
        <f t="shared" si="19"/>
        <v>0</v>
      </c>
      <c r="U57" s="86">
        <f t="shared" si="19"/>
        <v>0</v>
      </c>
      <c r="V57" s="86">
        <f t="shared" si="19"/>
        <v>0</v>
      </c>
      <c r="W57" s="86">
        <f t="shared" si="19"/>
        <v>0</v>
      </c>
      <c r="X57" s="86">
        <f t="shared" ref="X57" si="20">X55-X56</f>
        <v>0</v>
      </c>
    </row>
    <row r="58" spans="1:24" ht="15" thickBot="1" x14ac:dyDescent="0.35"/>
    <row r="59" spans="1:24" x14ac:dyDescent="0.3">
      <c r="A59" s="17">
        <v>45462</v>
      </c>
      <c r="B59" s="17">
        <v>45463</v>
      </c>
      <c r="C59" s="17">
        <v>45464</v>
      </c>
      <c r="D59" s="17">
        <v>45465</v>
      </c>
      <c r="E59" s="17">
        <v>45466</v>
      </c>
      <c r="F59" s="17">
        <v>45467</v>
      </c>
      <c r="G59" s="17">
        <v>45468</v>
      </c>
      <c r="H59" s="17"/>
      <c r="I59" s="13"/>
      <c r="K59" s="59" t="s">
        <v>42</v>
      </c>
      <c r="L59" s="59"/>
      <c r="M59" s="59" t="s">
        <v>43</v>
      </c>
      <c r="N59" s="59"/>
      <c r="O59" s="59" t="s">
        <v>44</v>
      </c>
      <c r="P59" s="59"/>
      <c r="Q59" s="59" t="s">
        <v>45</v>
      </c>
      <c r="R59" s="59"/>
      <c r="S59" s="59" t="s">
        <v>46</v>
      </c>
      <c r="T59" s="59"/>
      <c r="U59" s="59" t="s">
        <v>47</v>
      </c>
      <c r="V59" s="59"/>
      <c r="W59" s="59" t="s">
        <v>48</v>
      </c>
      <c r="X59" s="59"/>
    </row>
    <row r="60" spans="1:24" ht="15" thickBot="1" x14ac:dyDescent="0.35">
      <c r="A60" s="21">
        <v>1105</v>
      </c>
      <c r="B60" s="22">
        <v>1838.66</v>
      </c>
      <c r="C60" s="77">
        <v>805</v>
      </c>
      <c r="D60" s="22">
        <v>1025</v>
      </c>
      <c r="E60" s="22">
        <v>820</v>
      </c>
      <c r="F60" s="22">
        <v>2239.14</v>
      </c>
      <c r="G60" s="22">
        <v>1265</v>
      </c>
      <c r="H60" s="37"/>
      <c r="I60" s="14">
        <v>3605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</row>
    <row r="61" spans="1:24" x14ac:dyDescent="0.3">
      <c r="A61" s="24">
        <v>3240</v>
      </c>
      <c r="B61" s="22">
        <v>3000</v>
      </c>
      <c r="C61" s="80">
        <v>2580</v>
      </c>
      <c r="D61" s="22">
        <v>1640</v>
      </c>
      <c r="E61" s="25"/>
      <c r="F61" s="22">
        <v>3785</v>
      </c>
      <c r="G61" s="22">
        <v>3125</v>
      </c>
      <c r="H61" s="37"/>
      <c r="I61" s="14">
        <v>6712.45</v>
      </c>
      <c r="K61" s="77">
        <v>28</v>
      </c>
      <c r="L61" s="76">
        <v>42.5</v>
      </c>
      <c r="M61" s="77">
        <v>960</v>
      </c>
      <c r="N61" s="77">
        <v>42.5</v>
      </c>
      <c r="O61" s="77">
        <v>450</v>
      </c>
      <c r="P61" s="77">
        <v>57.5</v>
      </c>
      <c r="Q61" s="77">
        <v>28</v>
      </c>
      <c r="R61" s="77">
        <v>42.5</v>
      </c>
      <c r="S61" s="78">
        <v>84</v>
      </c>
      <c r="T61" s="69">
        <v>15</v>
      </c>
      <c r="U61" s="63">
        <v>840</v>
      </c>
      <c r="V61" s="63">
        <v>599.5</v>
      </c>
      <c r="W61" s="63">
        <v>420</v>
      </c>
      <c r="X61" s="63">
        <v>26</v>
      </c>
    </row>
    <row r="62" spans="1:24" x14ac:dyDescent="0.3">
      <c r="A62" s="24">
        <v>1419.93</v>
      </c>
      <c r="B62" s="22">
        <v>1175</v>
      </c>
      <c r="C62" s="80">
        <v>1765.83</v>
      </c>
      <c r="D62" s="26">
        <v>1954.6</v>
      </c>
      <c r="E62" s="22"/>
      <c r="F62" s="22">
        <v>1250</v>
      </c>
      <c r="G62" s="22">
        <v>1808.3</v>
      </c>
      <c r="H62" s="37"/>
      <c r="I62" s="15">
        <v>6552.13</v>
      </c>
      <c r="K62" s="43">
        <v>395</v>
      </c>
      <c r="L62" s="79"/>
      <c r="M62" s="80">
        <v>3235</v>
      </c>
      <c r="N62" s="43">
        <v>409.5</v>
      </c>
      <c r="O62" s="43">
        <v>174</v>
      </c>
      <c r="P62" s="43"/>
      <c r="Q62" s="80">
        <v>270</v>
      </c>
      <c r="R62" s="80">
        <v>700</v>
      </c>
      <c r="S62" s="43">
        <v>280</v>
      </c>
      <c r="T62" s="22"/>
      <c r="U62" s="22">
        <v>3165</v>
      </c>
      <c r="V62" s="22"/>
      <c r="W62" s="22">
        <v>422</v>
      </c>
      <c r="X62" s="22">
        <v>65</v>
      </c>
    </row>
    <row r="63" spans="1:24" x14ac:dyDescent="0.3">
      <c r="A63" s="24"/>
      <c r="B63" s="22"/>
      <c r="C63" s="43"/>
      <c r="D63" s="25"/>
      <c r="E63" s="22"/>
      <c r="F63" s="22"/>
      <c r="G63" s="22"/>
      <c r="H63" s="37"/>
      <c r="I63" s="15">
        <v>4005.15</v>
      </c>
      <c r="K63" s="43">
        <v>275</v>
      </c>
      <c r="L63" s="79"/>
      <c r="M63" s="80">
        <v>419</v>
      </c>
      <c r="N63" s="43"/>
      <c r="O63" s="43">
        <v>3440</v>
      </c>
      <c r="P63" s="43"/>
      <c r="Q63" s="80">
        <v>318</v>
      </c>
      <c r="R63" s="81"/>
      <c r="S63" s="43"/>
      <c r="T63" s="22"/>
      <c r="U63" s="22">
        <v>335</v>
      </c>
      <c r="V63" s="22"/>
      <c r="W63" s="22">
        <v>3190</v>
      </c>
      <c r="X63" s="22">
        <v>1920</v>
      </c>
    </row>
    <row r="64" spans="1:24" x14ac:dyDescent="0.3">
      <c r="A64" s="129"/>
      <c r="B64" s="22"/>
      <c r="C64" s="43"/>
      <c r="D64" s="22"/>
      <c r="E64" s="22"/>
      <c r="F64" s="22"/>
      <c r="G64" s="22" t="s">
        <v>49</v>
      </c>
      <c r="H64" s="37"/>
      <c r="I64" s="15">
        <v>345.9</v>
      </c>
      <c r="K64" s="43">
        <v>2945</v>
      </c>
      <c r="L64" s="79"/>
      <c r="M64" s="43">
        <v>365</v>
      </c>
      <c r="N64" s="43"/>
      <c r="O64" s="43">
        <v>670</v>
      </c>
      <c r="P64" s="43"/>
      <c r="Q64" s="43">
        <v>1690</v>
      </c>
      <c r="R64" s="43"/>
      <c r="S64" s="43"/>
      <c r="T64" s="22"/>
      <c r="U64" s="22">
        <v>395</v>
      </c>
      <c r="V64" s="22"/>
      <c r="W64" s="22">
        <v>920</v>
      </c>
      <c r="X64" s="22"/>
    </row>
    <row r="65" spans="1:24" x14ac:dyDescent="0.3">
      <c r="A65" s="24"/>
      <c r="B65" s="22"/>
      <c r="C65" s="22"/>
      <c r="D65" s="22"/>
      <c r="E65" s="22"/>
      <c r="F65" s="22"/>
      <c r="G65" s="22"/>
      <c r="H65" s="37"/>
      <c r="I65" s="130"/>
      <c r="K65" s="43">
        <v>720</v>
      </c>
      <c r="L65" s="79"/>
      <c r="M65" s="43">
        <v>54</v>
      </c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22"/>
    </row>
    <row r="66" spans="1:24" ht="15" thickBot="1" x14ac:dyDescent="0.35">
      <c r="A66" s="24"/>
      <c r="B66" s="22"/>
      <c r="C66" s="22"/>
      <c r="D66" s="22"/>
      <c r="E66" s="22"/>
      <c r="F66" s="22"/>
      <c r="G66" s="22"/>
      <c r="H66" s="37"/>
      <c r="I66" s="16">
        <f t="shared" ref="I66" si="21">SUM(I60:I65)</f>
        <v>21220.630000000005</v>
      </c>
      <c r="K66" s="43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22"/>
    </row>
    <row r="67" spans="1:24" ht="15" thickTop="1" x14ac:dyDescent="0.3">
      <c r="A67" s="24"/>
      <c r="B67" s="22"/>
      <c r="C67" s="22"/>
      <c r="D67" s="22"/>
      <c r="E67" s="22"/>
      <c r="F67" s="22"/>
      <c r="G67" s="22"/>
      <c r="H67" s="22"/>
      <c r="I67" s="40"/>
      <c r="K67" s="22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3">
      <c r="A68" s="24"/>
      <c r="B68" s="22"/>
      <c r="C68" s="22"/>
      <c r="D68" s="22"/>
      <c r="E68" s="22"/>
      <c r="F68" s="22"/>
      <c r="G68" s="22"/>
      <c r="H68" s="22"/>
      <c r="I68" s="27"/>
      <c r="K68" s="22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3">
      <c r="A69" s="24"/>
      <c r="B69" s="22"/>
      <c r="C69" s="22"/>
      <c r="D69" s="22"/>
      <c r="E69" s="22"/>
      <c r="F69" s="22"/>
      <c r="G69" s="22"/>
      <c r="H69" s="22"/>
      <c r="I69" s="27"/>
      <c r="K69" s="22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4"/>
      <c r="B70" s="22"/>
      <c r="C70" s="22"/>
      <c r="D70" s="22"/>
      <c r="E70" s="22"/>
      <c r="F70" s="22"/>
      <c r="G70" s="22"/>
      <c r="H70" s="22"/>
      <c r="I70" s="23"/>
      <c r="K70" s="22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4"/>
      <c r="B71" s="22"/>
      <c r="C71" s="22"/>
      <c r="D71" s="22"/>
      <c r="E71" s="22"/>
      <c r="F71" s="22"/>
      <c r="G71" s="22"/>
      <c r="H71" s="22"/>
      <c r="I71" s="23"/>
      <c r="K71" s="22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4"/>
      <c r="B72" s="22"/>
      <c r="C72" s="22"/>
      <c r="D72" s="22"/>
      <c r="E72" s="22"/>
      <c r="F72" s="22"/>
      <c r="G72" s="22"/>
      <c r="H72" s="22"/>
      <c r="I72" s="23"/>
      <c r="K72" s="22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8"/>
      <c r="G73" s="22"/>
      <c r="H73" s="22"/>
      <c r="I73" s="23"/>
      <c r="K73" s="22"/>
      <c r="L73" s="56"/>
      <c r="M73" s="22"/>
      <c r="N73" s="22"/>
      <c r="O73" s="22"/>
      <c r="P73" s="22"/>
      <c r="Q73" s="22"/>
      <c r="R73" s="22"/>
      <c r="S73" s="22"/>
      <c r="T73" s="22"/>
      <c r="U73" s="28"/>
      <c r="V73" s="28"/>
      <c r="W73" s="28"/>
      <c r="X73" s="28"/>
    </row>
    <row r="74" spans="1:24" x14ac:dyDescent="0.3">
      <c r="A74" s="24">
        <f t="shared" ref="A74:G74" si="22">SUM(A60:A73)</f>
        <v>5764.93</v>
      </c>
      <c r="B74" s="24">
        <f t="shared" si="22"/>
        <v>6013.66</v>
      </c>
      <c r="C74" s="24">
        <f t="shared" si="22"/>
        <v>5150.83</v>
      </c>
      <c r="D74" s="24">
        <f t="shared" si="22"/>
        <v>4619.6000000000004</v>
      </c>
      <c r="E74" s="24">
        <f t="shared" si="22"/>
        <v>820</v>
      </c>
      <c r="F74" s="24">
        <f t="shared" si="22"/>
        <v>7274.1399999999994</v>
      </c>
      <c r="G74" s="24">
        <f t="shared" si="22"/>
        <v>6198.3</v>
      </c>
      <c r="H74" s="29">
        <f t="shared" ref="H74" si="23">SUM(A74:G74)+I66</f>
        <v>57062.090000000004</v>
      </c>
      <c r="I74" s="30" t="s">
        <v>7</v>
      </c>
      <c r="K74" s="24">
        <f t="shared" ref="K74:X74" si="24">SUM(K61:K73)</f>
        <v>4363</v>
      </c>
      <c r="L74" s="24">
        <f t="shared" si="24"/>
        <v>42.5</v>
      </c>
      <c r="M74" s="24">
        <f t="shared" si="24"/>
        <v>5033</v>
      </c>
      <c r="N74" s="24">
        <f t="shared" si="24"/>
        <v>452</v>
      </c>
      <c r="O74" s="24">
        <f t="shared" si="24"/>
        <v>4734</v>
      </c>
      <c r="P74" s="24">
        <f t="shared" si="24"/>
        <v>57.5</v>
      </c>
      <c r="Q74" s="24">
        <f t="shared" si="24"/>
        <v>2306</v>
      </c>
      <c r="R74" s="24">
        <f t="shared" si="24"/>
        <v>742.5</v>
      </c>
      <c r="S74" s="24">
        <f t="shared" si="24"/>
        <v>364</v>
      </c>
      <c r="T74" s="22">
        <f t="shared" si="24"/>
        <v>15</v>
      </c>
      <c r="U74" s="22">
        <f t="shared" ref="U74" si="25">SUM(U61:U73)</f>
        <v>4735</v>
      </c>
      <c r="V74" s="22">
        <f t="shared" si="24"/>
        <v>599.5</v>
      </c>
      <c r="W74" s="22">
        <f t="shared" si="24"/>
        <v>4952</v>
      </c>
      <c r="X74" s="22">
        <f t="shared" si="24"/>
        <v>2011</v>
      </c>
    </row>
    <row r="75" spans="1:24" x14ac:dyDescent="0.3">
      <c r="A75" s="24">
        <v>5764.93</v>
      </c>
      <c r="B75" s="24">
        <v>6013.66</v>
      </c>
      <c r="C75" s="24">
        <v>5150.83</v>
      </c>
      <c r="D75" s="24">
        <v>4619.6000000000004</v>
      </c>
      <c r="E75" s="24">
        <v>820</v>
      </c>
      <c r="F75" s="24">
        <v>7274.14</v>
      </c>
      <c r="G75" s="24">
        <v>6198.3</v>
      </c>
      <c r="H75" s="22">
        <f t="shared" ref="H75" si="26">SUM(A75:G75)+I66</f>
        <v>57062.090000000004</v>
      </c>
      <c r="I75" s="33" t="s">
        <v>1</v>
      </c>
      <c r="K75" s="24">
        <v>4363</v>
      </c>
      <c r="L75" s="24">
        <v>42.5</v>
      </c>
      <c r="M75" s="24">
        <v>5033</v>
      </c>
      <c r="N75" s="24">
        <v>452</v>
      </c>
      <c r="O75" s="24">
        <v>4734</v>
      </c>
      <c r="P75" s="24">
        <v>57.5</v>
      </c>
      <c r="Q75" s="24">
        <v>2306</v>
      </c>
      <c r="R75" s="24">
        <v>742.5</v>
      </c>
      <c r="S75" s="24">
        <v>364</v>
      </c>
      <c r="T75" s="24">
        <v>15</v>
      </c>
      <c r="U75" s="24">
        <v>4735</v>
      </c>
      <c r="V75" s="24">
        <v>599.5</v>
      </c>
      <c r="W75" s="24">
        <v>4952</v>
      </c>
      <c r="X75" s="24">
        <v>2011</v>
      </c>
    </row>
    <row r="76" spans="1:24" ht="15" thickBot="1" x14ac:dyDescent="0.35">
      <c r="A76" s="34">
        <f t="shared" ref="A76:H76" si="27">A74-A75</f>
        <v>0</v>
      </c>
      <c r="B76" s="35">
        <f t="shared" si="27"/>
        <v>0</v>
      </c>
      <c r="C76" s="35">
        <f t="shared" si="27"/>
        <v>0</v>
      </c>
      <c r="D76" s="35">
        <f t="shared" si="27"/>
        <v>0</v>
      </c>
      <c r="E76" s="35">
        <f t="shared" si="27"/>
        <v>0</v>
      </c>
      <c r="F76" s="35">
        <f t="shared" si="27"/>
        <v>0</v>
      </c>
      <c r="G76" s="35">
        <f t="shared" si="27"/>
        <v>0</v>
      </c>
      <c r="H76" s="35">
        <f t="shared" si="27"/>
        <v>0</v>
      </c>
      <c r="I76" s="36"/>
      <c r="K76" s="86">
        <f t="shared" ref="K76:X76" si="28">K74-K75</f>
        <v>0</v>
      </c>
      <c r="L76" s="86">
        <f t="shared" si="28"/>
        <v>0</v>
      </c>
      <c r="M76" s="86">
        <f t="shared" si="28"/>
        <v>0</v>
      </c>
      <c r="N76" s="86">
        <f t="shared" si="28"/>
        <v>0</v>
      </c>
      <c r="O76" s="86">
        <f t="shared" si="28"/>
        <v>0</v>
      </c>
      <c r="P76" s="86">
        <f t="shared" si="28"/>
        <v>0</v>
      </c>
      <c r="Q76" s="86">
        <f t="shared" si="28"/>
        <v>0</v>
      </c>
      <c r="R76" s="86">
        <f t="shared" si="28"/>
        <v>0</v>
      </c>
      <c r="S76" s="86">
        <f t="shared" si="28"/>
        <v>0</v>
      </c>
      <c r="T76" s="86">
        <f t="shared" si="28"/>
        <v>0</v>
      </c>
      <c r="U76" s="86">
        <f t="shared" ref="U76" si="29">U74-U75</f>
        <v>0</v>
      </c>
      <c r="V76" s="86">
        <f t="shared" si="28"/>
        <v>0</v>
      </c>
      <c r="W76" s="86">
        <f t="shared" si="28"/>
        <v>0</v>
      </c>
      <c r="X76" s="86">
        <f t="shared" si="28"/>
        <v>0</v>
      </c>
    </row>
    <row r="77" spans="1:24" ht="15" thickTop="1" x14ac:dyDescent="0.3"/>
  </sheetData>
  <phoneticPr fontId="1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E7C5-93C4-4E5B-B676-112007373389}">
  <dimension ref="A1:X140"/>
  <sheetViews>
    <sheetView topLeftCell="C107" zoomScaleNormal="100" workbookViewId="0">
      <selection activeCell="K122" sqref="K122:X139"/>
    </sheetView>
  </sheetViews>
  <sheetFormatPr defaultRowHeight="14.4" x14ac:dyDescent="0.3"/>
  <cols>
    <col min="1" max="1" width="11" customWidth="1"/>
    <col min="2" max="2" width="12.44140625" customWidth="1"/>
    <col min="3" max="3" width="12.109375" customWidth="1"/>
    <col min="4" max="4" width="10.88671875" customWidth="1"/>
    <col min="5" max="5" width="12" customWidth="1"/>
    <col min="6" max="6" width="13.109375" customWidth="1"/>
    <col min="7" max="7" width="12.6640625" customWidth="1"/>
    <col min="8" max="8" width="13.33203125" customWidth="1"/>
    <col min="9" max="9" width="13" customWidth="1"/>
    <col min="11" max="11" width="11.5546875" customWidth="1"/>
    <col min="12" max="12" width="12" customWidth="1"/>
    <col min="13" max="13" width="12.109375" customWidth="1"/>
    <col min="14" max="14" width="11.109375" customWidth="1"/>
    <col min="15" max="15" width="10.109375" customWidth="1"/>
    <col min="16" max="16" width="11.44140625" customWidth="1"/>
    <col min="17" max="17" width="10.33203125" customWidth="1"/>
    <col min="18" max="18" width="12" customWidth="1"/>
    <col min="19" max="19" width="12.109375" customWidth="1"/>
    <col min="20" max="20" width="10.5546875" customWidth="1"/>
    <col min="21" max="21" width="13" customWidth="1"/>
    <col min="22" max="22" width="11" customWidth="1"/>
    <col min="23" max="23" width="13.6640625" customWidth="1"/>
    <col min="24" max="24" width="11.33203125" customWidth="1"/>
  </cols>
  <sheetData>
    <row r="1" spans="1:24" x14ac:dyDescent="0.3">
      <c r="A1" s="17">
        <v>45469</v>
      </c>
      <c r="B1" s="17">
        <v>45470</v>
      </c>
      <c r="C1" s="17">
        <v>45471</v>
      </c>
      <c r="D1" s="17">
        <v>45472</v>
      </c>
      <c r="E1" s="17">
        <v>45473</v>
      </c>
      <c r="F1" s="17">
        <v>45474</v>
      </c>
      <c r="G1" s="17">
        <v>45475</v>
      </c>
      <c r="H1" s="17"/>
      <c r="I1" s="13"/>
      <c r="K1" s="59">
        <v>45469</v>
      </c>
      <c r="L1" s="59"/>
      <c r="M1" s="59">
        <v>45470</v>
      </c>
      <c r="N1" s="59"/>
      <c r="O1" s="59">
        <v>45471</v>
      </c>
      <c r="P1" s="59"/>
      <c r="Q1" s="59">
        <v>45472</v>
      </c>
      <c r="R1" s="59"/>
      <c r="S1" s="59">
        <v>45473</v>
      </c>
      <c r="T1" s="59"/>
      <c r="U1" s="59">
        <v>45474</v>
      </c>
      <c r="V1" s="59"/>
      <c r="W1" s="59">
        <v>45475</v>
      </c>
      <c r="X1" s="59"/>
    </row>
    <row r="2" spans="1:24" ht="15" thickBot="1" x14ac:dyDescent="0.35">
      <c r="A2" s="21">
        <v>1923.6</v>
      </c>
      <c r="B2" s="22">
        <v>1270</v>
      </c>
      <c r="C2" s="22">
        <v>1050</v>
      </c>
      <c r="D2" s="22">
        <v>1095</v>
      </c>
      <c r="E2" s="22">
        <v>700</v>
      </c>
      <c r="F2" s="22">
        <v>1140</v>
      </c>
      <c r="G2" s="22">
        <v>1492.36</v>
      </c>
      <c r="H2" s="37"/>
      <c r="I2" s="14">
        <v>6743.36</v>
      </c>
      <c r="J2" s="1"/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26" t="s">
        <v>11</v>
      </c>
    </row>
    <row r="3" spans="1:24" x14ac:dyDescent="0.3">
      <c r="A3" s="24">
        <v>2850</v>
      </c>
      <c r="B3" s="22">
        <v>3030</v>
      </c>
      <c r="C3" s="22">
        <v>2965</v>
      </c>
      <c r="D3" s="22">
        <v>675</v>
      </c>
      <c r="E3" s="25"/>
      <c r="F3" s="22">
        <v>2280</v>
      </c>
      <c r="G3" s="22">
        <v>2315</v>
      </c>
      <c r="H3" s="37"/>
      <c r="I3" s="14">
        <v>4540</v>
      </c>
      <c r="K3" s="75">
        <v>880</v>
      </c>
      <c r="L3" s="76">
        <v>42.5</v>
      </c>
      <c r="M3" s="77">
        <v>50</v>
      </c>
      <c r="N3" s="77">
        <v>50</v>
      </c>
      <c r="O3" s="77">
        <v>330</v>
      </c>
      <c r="P3" s="77">
        <v>65</v>
      </c>
      <c r="Q3" s="77">
        <v>1180</v>
      </c>
      <c r="R3" s="77">
        <v>50</v>
      </c>
      <c r="S3" s="78">
        <v>310</v>
      </c>
      <c r="T3" s="69">
        <v>15</v>
      </c>
      <c r="U3" s="63">
        <v>29</v>
      </c>
      <c r="V3" s="63"/>
      <c r="W3" s="63">
        <v>620</v>
      </c>
      <c r="X3" s="63">
        <v>7.5</v>
      </c>
    </row>
    <row r="4" spans="1:24" x14ac:dyDescent="0.3">
      <c r="A4" s="24">
        <v>1260</v>
      </c>
      <c r="B4" s="22">
        <v>1808.3</v>
      </c>
      <c r="C4" s="22">
        <v>1765.83</v>
      </c>
      <c r="D4" s="26"/>
      <c r="E4" s="22"/>
      <c r="F4" s="22">
        <v>1582.38</v>
      </c>
      <c r="G4" s="22">
        <v>1260</v>
      </c>
      <c r="H4" s="37"/>
      <c r="I4" s="15">
        <v>1110</v>
      </c>
      <c r="K4" s="21">
        <v>3070</v>
      </c>
      <c r="L4" s="79"/>
      <c r="M4" s="80">
        <v>335</v>
      </c>
      <c r="N4" s="43"/>
      <c r="O4" s="43">
        <v>3080</v>
      </c>
      <c r="P4" s="43">
        <v>409.5</v>
      </c>
      <c r="Q4" s="80">
        <v>156</v>
      </c>
      <c r="R4" s="80"/>
      <c r="S4" s="43">
        <v>84</v>
      </c>
      <c r="T4" s="22"/>
      <c r="U4" s="22">
        <v>510</v>
      </c>
      <c r="V4" s="22"/>
      <c r="W4" s="22">
        <v>2840</v>
      </c>
      <c r="X4" s="22">
        <v>1504</v>
      </c>
    </row>
    <row r="5" spans="1:24" x14ac:dyDescent="0.3">
      <c r="A5" s="24"/>
      <c r="B5" s="22"/>
      <c r="C5" s="22"/>
      <c r="D5" s="25"/>
      <c r="E5" s="22"/>
      <c r="F5" s="22"/>
      <c r="G5" s="22"/>
      <c r="H5" s="37"/>
      <c r="I5" s="15">
        <v>4101.33</v>
      </c>
      <c r="K5" s="21">
        <v>275</v>
      </c>
      <c r="L5" s="79"/>
      <c r="M5" s="81">
        <v>407</v>
      </c>
      <c r="N5" s="43"/>
      <c r="O5" s="43">
        <v>600</v>
      </c>
      <c r="P5" s="43">
        <v>468</v>
      </c>
      <c r="Q5" s="80">
        <v>270</v>
      </c>
      <c r="R5" s="81"/>
      <c r="S5" s="43"/>
      <c r="T5" s="22"/>
      <c r="U5" s="22">
        <v>397</v>
      </c>
      <c r="V5" s="22"/>
      <c r="W5" s="22">
        <v>422</v>
      </c>
      <c r="X5" s="22">
        <v>37.5</v>
      </c>
    </row>
    <row r="6" spans="1:24" x14ac:dyDescent="0.3">
      <c r="A6" s="129"/>
      <c r="B6" s="22"/>
      <c r="C6" s="22"/>
      <c r="D6" s="22"/>
      <c r="E6" s="22"/>
      <c r="F6" s="22"/>
      <c r="G6" s="22"/>
      <c r="H6" s="37"/>
      <c r="I6" s="15">
        <v>5995.95</v>
      </c>
      <c r="K6" s="21">
        <v>460</v>
      </c>
      <c r="L6" s="79"/>
      <c r="M6" s="43">
        <v>2925</v>
      </c>
      <c r="N6" s="43"/>
      <c r="O6" s="43">
        <v>240</v>
      </c>
      <c r="P6" s="43"/>
      <c r="Q6" s="43">
        <v>28</v>
      </c>
      <c r="R6" s="43"/>
      <c r="S6" s="43"/>
      <c r="T6" s="22"/>
      <c r="U6" s="22">
        <v>3780</v>
      </c>
      <c r="V6" s="22"/>
      <c r="W6" s="22">
        <v>300</v>
      </c>
      <c r="X6" s="22"/>
    </row>
    <row r="7" spans="1:24" x14ac:dyDescent="0.3">
      <c r="A7" s="24"/>
      <c r="B7" s="22"/>
      <c r="C7" s="22"/>
      <c r="D7" s="22"/>
      <c r="E7" s="22"/>
      <c r="F7" s="22"/>
      <c r="G7" s="22"/>
      <c r="H7" s="37"/>
      <c r="I7" s="130">
        <v>849.57</v>
      </c>
      <c r="K7" s="128">
        <v>29</v>
      </c>
      <c r="L7" s="79"/>
      <c r="M7" s="43">
        <v>780</v>
      </c>
      <c r="N7" s="43"/>
      <c r="O7" s="43"/>
      <c r="P7" s="43"/>
      <c r="Q7" s="43"/>
      <c r="R7" s="43"/>
      <c r="S7" s="43"/>
      <c r="T7" s="22"/>
      <c r="U7" s="22">
        <v>360</v>
      </c>
      <c r="V7" s="22"/>
      <c r="W7" s="22">
        <v>29</v>
      </c>
      <c r="X7" s="22"/>
    </row>
    <row r="8" spans="1:24" ht="15" thickBot="1" x14ac:dyDescent="0.35">
      <c r="A8" s="24"/>
      <c r="B8" s="22"/>
      <c r="C8" s="22"/>
      <c r="D8" s="22"/>
      <c r="E8" s="22"/>
      <c r="F8" s="22"/>
      <c r="G8" s="22"/>
      <c r="H8" s="37"/>
      <c r="I8" s="16">
        <f>SUM(I2:I7)</f>
        <v>23340.210000000003</v>
      </c>
      <c r="K8" s="21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22"/>
    </row>
    <row r="9" spans="1:24" ht="15" thickTop="1" x14ac:dyDescent="0.3">
      <c r="A9" s="24"/>
      <c r="B9" s="22"/>
      <c r="C9" s="22"/>
      <c r="D9" s="22"/>
      <c r="E9" s="22"/>
      <c r="F9" s="22"/>
      <c r="G9" s="22"/>
      <c r="H9" s="22"/>
      <c r="I9" s="40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3">
      <c r="A10" s="24"/>
      <c r="B10" s="22"/>
      <c r="C10" s="22"/>
      <c r="D10" s="22"/>
      <c r="E10" s="22"/>
      <c r="F10" s="22"/>
      <c r="G10" s="22"/>
      <c r="H10" s="22"/>
      <c r="I10" s="27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4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4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4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4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4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>
        <f>SUM(A2:A15)</f>
        <v>6033.6</v>
      </c>
      <c r="B16" s="24">
        <f t="shared" ref="B16:G16" si="0">SUM(B2:B15)</f>
        <v>6108.3</v>
      </c>
      <c r="C16" s="24">
        <f t="shared" si="0"/>
        <v>5780.83</v>
      </c>
      <c r="D16" s="24">
        <f t="shared" si="0"/>
        <v>1770</v>
      </c>
      <c r="E16" s="24">
        <f t="shared" si="0"/>
        <v>700</v>
      </c>
      <c r="F16" s="24">
        <f t="shared" si="0"/>
        <v>5002.38</v>
      </c>
      <c r="G16" s="24">
        <f t="shared" si="0"/>
        <v>5067.3599999999997</v>
      </c>
      <c r="H16" s="29">
        <f>SUM(A16:G16)+I8</f>
        <v>53802.680000000008</v>
      </c>
      <c r="I16" s="30" t="s">
        <v>7</v>
      </c>
      <c r="K16" s="24">
        <f t="shared" ref="K16:X16" si="1">SUM(K3:K15)</f>
        <v>4714</v>
      </c>
      <c r="L16" s="24">
        <f t="shared" si="1"/>
        <v>42.5</v>
      </c>
      <c r="M16" s="24">
        <f t="shared" ref="M16" si="2">SUM(M3:M15)</f>
        <v>4497</v>
      </c>
      <c r="N16" s="24">
        <f t="shared" si="1"/>
        <v>50</v>
      </c>
      <c r="O16" s="24">
        <f t="shared" si="1"/>
        <v>4250</v>
      </c>
      <c r="P16" s="24">
        <f>SUM(P3:P15)</f>
        <v>942.5</v>
      </c>
      <c r="Q16" s="24">
        <f t="shared" si="1"/>
        <v>1634</v>
      </c>
      <c r="R16" s="24">
        <f t="shared" si="1"/>
        <v>50</v>
      </c>
      <c r="S16" s="24">
        <f t="shared" si="1"/>
        <v>394</v>
      </c>
      <c r="T16" s="22">
        <f t="shared" si="1"/>
        <v>15</v>
      </c>
      <c r="U16" s="22">
        <f t="shared" si="1"/>
        <v>5076</v>
      </c>
      <c r="V16" s="22">
        <f t="shared" si="1"/>
        <v>0</v>
      </c>
      <c r="W16" s="22">
        <f t="shared" si="1"/>
        <v>4211</v>
      </c>
      <c r="X16" s="22">
        <f t="shared" si="1"/>
        <v>1549</v>
      </c>
    </row>
    <row r="17" spans="1:24" x14ac:dyDescent="0.3">
      <c r="A17" s="24">
        <v>6033.6</v>
      </c>
      <c r="B17" s="24">
        <v>6108.3</v>
      </c>
      <c r="C17" s="24">
        <v>5780.83</v>
      </c>
      <c r="D17" s="24">
        <v>1770</v>
      </c>
      <c r="E17" s="24">
        <v>700</v>
      </c>
      <c r="F17" s="24">
        <v>5002.38</v>
      </c>
      <c r="G17" s="24">
        <v>5067.3599999999997</v>
      </c>
      <c r="H17" s="22">
        <f>SUM(A17:G17)+I8</f>
        <v>53802.680000000008</v>
      </c>
      <c r="I17" s="33" t="s">
        <v>1</v>
      </c>
      <c r="K17" s="24">
        <v>4714</v>
      </c>
      <c r="L17" s="24">
        <v>42.5</v>
      </c>
      <c r="M17" s="24">
        <v>4497</v>
      </c>
      <c r="N17" s="24">
        <v>50</v>
      </c>
      <c r="O17" s="24">
        <v>4250</v>
      </c>
      <c r="P17" s="24">
        <v>942.5</v>
      </c>
      <c r="Q17" s="24">
        <v>1634</v>
      </c>
      <c r="R17" s="24">
        <v>50</v>
      </c>
      <c r="S17" s="24">
        <v>394</v>
      </c>
      <c r="T17" s="22">
        <v>15</v>
      </c>
      <c r="U17" s="22">
        <v>5076</v>
      </c>
      <c r="V17" s="22">
        <v>351.38</v>
      </c>
      <c r="W17" s="22">
        <v>4211</v>
      </c>
      <c r="X17" s="22">
        <v>1549</v>
      </c>
    </row>
    <row r="18" spans="1:24" ht="15" thickBot="1" x14ac:dyDescent="0.35">
      <c r="A18" s="34">
        <f t="shared" ref="A18" si="3">A16-A17</f>
        <v>0</v>
      </c>
      <c r="B18" s="35">
        <f>B16-B17</f>
        <v>0</v>
      </c>
      <c r="C18" s="35">
        <f t="shared" ref="C18:H18" si="4">C16-C17</f>
        <v>0</v>
      </c>
      <c r="D18" s="35">
        <f t="shared" si="4"/>
        <v>0</v>
      </c>
      <c r="E18" s="35">
        <f t="shared" si="4"/>
        <v>0</v>
      </c>
      <c r="F18" s="35">
        <f t="shared" si="4"/>
        <v>0</v>
      </c>
      <c r="G18" s="35">
        <f t="shared" si="4"/>
        <v>0</v>
      </c>
      <c r="H18" s="35">
        <f t="shared" si="4"/>
        <v>0</v>
      </c>
      <c r="I18" s="16">
        <f>SUM(I12:I17)</f>
        <v>0</v>
      </c>
      <c r="K18" s="86">
        <f t="shared" ref="K18:V18" si="5">K16-K17</f>
        <v>0</v>
      </c>
      <c r="L18" s="86">
        <f t="shared" si="5"/>
        <v>0</v>
      </c>
      <c r="M18" s="86">
        <f t="shared" si="5"/>
        <v>0</v>
      </c>
      <c r="N18" s="86">
        <f t="shared" si="5"/>
        <v>0</v>
      </c>
      <c r="O18" s="86">
        <f t="shared" si="5"/>
        <v>0</v>
      </c>
      <c r="P18" s="86">
        <f t="shared" si="5"/>
        <v>0</v>
      </c>
      <c r="Q18" s="86">
        <f t="shared" si="5"/>
        <v>0</v>
      </c>
      <c r="R18" s="86">
        <f t="shared" si="5"/>
        <v>0</v>
      </c>
      <c r="S18" s="86">
        <f t="shared" si="5"/>
        <v>0</v>
      </c>
      <c r="T18" s="86">
        <f t="shared" si="5"/>
        <v>0</v>
      </c>
      <c r="U18" s="86">
        <f t="shared" si="5"/>
        <v>0</v>
      </c>
      <c r="V18" s="86">
        <f t="shared" si="5"/>
        <v>-351.38</v>
      </c>
      <c r="W18" s="86">
        <f>W16-W17</f>
        <v>0</v>
      </c>
      <c r="X18" s="86">
        <f>X16-X17</f>
        <v>0</v>
      </c>
    </row>
    <row r="19" spans="1:24" ht="15" thickTop="1" x14ac:dyDescent="0.3"/>
    <row r="21" spans="1:24" ht="15" thickBot="1" x14ac:dyDescent="0.35"/>
    <row r="22" spans="1:24" x14ac:dyDescent="0.3">
      <c r="A22" s="17">
        <v>45476</v>
      </c>
      <c r="B22" s="17">
        <v>45477</v>
      </c>
      <c r="C22" s="17">
        <v>45478</v>
      </c>
      <c r="D22" s="17">
        <v>45479</v>
      </c>
      <c r="E22" s="17">
        <v>45480</v>
      </c>
      <c r="F22" s="17">
        <v>45481</v>
      </c>
      <c r="G22" s="17">
        <v>45482</v>
      </c>
      <c r="H22" s="17"/>
      <c r="I22" s="13"/>
      <c r="K22" s="59">
        <v>45476</v>
      </c>
      <c r="L22" s="59"/>
      <c r="M22" s="59">
        <v>45477</v>
      </c>
      <c r="N22" s="59"/>
      <c r="O22" s="59">
        <v>45478</v>
      </c>
      <c r="P22" s="59"/>
      <c r="Q22" s="59">
        <v>45479</v>
      </c>
      <c r="R22" s="59"/>
      <c r="S22" s="59">
        <v>45480</v>
      </c>
      <c r="T22" s="59"/>
      <c r="U22" s="59">
        <v>45481</v>
      </c>
      <c r="V22" s="59"/>
      <c r="W22" s="59">
        <v>45482</v>
      </c>
      <c r="X22" s="59"/>
    </row>
    <row r="23" spans="1:24" ht="15" thickBot="1" x14ac:dyDescent="0.35">
      <c r="A23" s="21">
        <v>1537.37</v>
      </c>
      <c r="B23" s="22">
        <v>1659.6</v>
      </c>
      <c r="C23" s="22">
        <v>1020</v>
      </c>
      <c r="D23" s="22">
        <v>1000</v>
      </c>
      <c r="E23" s="22">
        <v>705</v>
      </c>
      <c r="F23" s="22">
        <v>2039.09</v>
      </c>
      <c r="G23" s="22">
        <v>1205</v>
      </c>
      <c r="H23" s="37"/>
      <c r="I23" s="14">
        <v>2160</v>
      </c>
      <c r="J23" s="1"/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26" t="s">
        <v>11</v>
      </c>
    </row>
    <row r="24" spans="1:24" x14ac:dyDescent="0.3">
      <c r="A24" s="24">
        <v>2705</v>
      </c>
      <c r="B24" s="22">
        <v>2780</v>
      </c>
      <c r="C24" s="22">
        <v>2730</v>
      </c>
      <c r="D24" s="22">
        <v>1015</v>
      </c>
      <c r="E24" s="25"/>
      <c r="F24" s="22">
        <v>2840</v>
      </c>
      <c r="G24" s="22">
        <v>2155</v>
      </c>
      <c r="H24" s="37"/>
      <c r="I24" s="14">
        <v>6000</v>
      </c>
      <c r="K24" s="75">
        <v>360</v>
      </c>
      <c r="L24" s="76">
        <v>110</v>
      </c>
      <c r="M24" s="77">
        <v>660</v>
      </c>
      <c r="N24" s="77"/>
      <c r="O24" s="77">
        <v>300</v>
      </c>
      <c r="P24" s="77">
        <v>45</v>
      </c>
      <c r="Q24" s="77">
        <v>28</v>
      </c>
      <c r="R24" s="77">
        <v>200</v>
      </c>
      <c r="S24" s="78">
        <v>84</v>
      </c>
      <c r="T24" s="69"/>
      <c r="U24" s="63">
        <v>680</v>
      </c>
      <c r="V24" s="63">
        <v>35</v>
      </c>
      <c r="W24" s="63">
        <v>104</v>
      </c>
      <c r="X24" s="63">
        <v>45</v>
      </c>
    </row>
    <row r="25" spans="1:24" x14ac:dyDescent="0.3">
      <c r="A25" s="24">
        <v>1140</v>
      </c>
      <c r="B25" s="22">
        <v>1210</v>
      </c>
      <c r="C25" s="22">
        <v>1826.84</v>
      </c>
      <c r="D25" s="26">
        <v>1827.53</v>
      </c>
      <c r="E25" s="22"/>
      <c r="F25" s="22">
        <v>1070</v>
      </c>
      <c r="G25" s="22">
        <v>1736.82</v>
      </c>
      <c r="H25" s="37"/>
      <c r="I25" s="15">
        <v>5607.38</v>
      </c>
      <c r="K25" s="21">
        <v>304</v>
      </c>
      <c r="L25" s="79"/>
      <c r="M25" s="80">
        <v>2570</v>
      </c>
      <c r="N25" s="43"/>
      <c r="O25" s="43">
        <v>394</v>
      </c>
      <c r="P25" s="43">
        <v>450</v>
      </c>
      <c r="Q25" s="80">
        <v>340</v>
      </c>
      <c r="R25" s="80">
        <v>37.5</v>
      </c>
      <c r="S25" s="43">
        <v>450</v>
      </c>
      <c r="T25" s="22"/>
      <c r="U25" s="22">
        <v>3190</v>
      </c>
      <c r="V25" s="22"/>
      <c r="W25" s="22">
        <v>270</v>
      </c>
      <c r="X25" s="22"/>
    </row>
    <row r="26" spans="1:24" x14ac:dyDescent="0.3">
      <c r="A26" s="24"/>
      <c r="B26" s="22"/>
      <c r="C26" s="22"/>
      <c r="D26" s="25"/>
      <c r="E26" s="22"/>
      <c r="F26" s="22"/>
      <c r="G26" s="22"/>
      <c r="H26" s="37"/>
      <c r="I26" s="15">
        <v>1850</v>
      </c>
      <c r="K26" s="21">
        <v>2640</v>
      </c>
      <c r="L26" s="79"/>
      <c r="M26" s="81">
        <v>260</v>
      </c>
      <c r="N26" s="43"/>
      <c r="O26" s="43">
        <v>4090</v>
      </c>
      <c r="P26" s="43">
        <v>114</v>
      </c>
      <c r="Q26" s="80">
        <v>156</v>
      </c>
      <c r="R26" s="81">
        <v>1020</v>
      </c>
      <c r="S26" s="43"/>
      <c r="T26" s="22"/>
      <c r="U26" s="22">
        <v>347</v>
      </c>
      <c r="V26" s="22"/>
      <c r="W26" s="22">
        <v>480</v>
      </c>
      <c r="X26" s="22"/>
    </row>
    <row r="27" spans="1:24" x14ac:dyDescent="0.3">
      <c r="A27" s="129"/>
      <c r="B27" s="22"/>
      <c r="C27" s="22"/>
      <c r="D27" s="22"/>
      <c r="E27" s="22"/>
      <c r="F27" s="22"/>
      <c r="G27" s="22"/>
      <c r="H27" s="37"/>
      <c r="I27" s="15">
        <v>4245.6000000000004</v>
      </c>
      <c r="K27" s="21">
        <v>620</v>
      </c>
      <c r="L27" s="79"/>
      <c r="M27" s="43">
        <v>360</v>
      </c>
      <c r="N27" s="43"/>
      <c r="O27" s="43">
        <v>260</v>
      </c>
      <c r="P27" s="43"/>
      <c r="Q27" s="43">
        <v>1060</v>
      </c>
      <c r="R27" s="43"/>
      <c r="S27" s="43"/>
      <c r="T27" s="22"/>
      <c r="U27" s="22">
        <v>300</v>
      </c>
      <c r="V27" s="22"/>
      <c r="W27" s="22">
        <v>1550</v>
      </c>
      <c r="X27" s="22"/>
    </row>
    <row r="28" spans="1:24" x14ac:dyDescent="0.3">
      <c r="A28" s="24"/>
      <c r="B28" s="22"/>
      <c r="C28" s="22"/>
      <c r="D28" s="22"/>
      <c r="E28" s="22"/>
      <c r="F28" s="22"/>
      <c r="G28" s="22"/>
      <c r="H28" s="37"/>
      <c r="I28" s="130"/>
      <c r="K28" s="128"/>
      <c r="L28" s="79"/>
      <c r="M28" s="43"/>
      <c r="N28" s="43"/>
      <c r="O28" s="43"/>
      <c r="P28" s="43"/>
      <c r="Q28" s="43">
        <v>94</v>
      </c>
      <c r="R28" s="43"/>
      <c r="S28" s="43"/>
      <c r="T28" s="22"/>
      <c r="U28" s="22"/>
      <c r="V28" s="22"/>
      <c r="W28" s="22"/>
      <c r="X28" s="22"/>
    </row>
    <row r="29" spans="1:24" ht="15" thickBot="1" x14ac:dyDescent="0.35">
      <c r="A29" s="24"/>
      <c r="B29" s="22"/>
      <c r="C29" s="22"/>
      <c r="D29" s="22"/>
      <c r="E29" s="22"/>
      <c r="F29" s="22"/>
      <c r="G29" s="22"/>
      <c r="H29" s="37"/>
      <c r="I29" s="16">
        <f>SUM(I23:I28)</f>
        <v>19862.980000000003</v>
      </c>
      <c r="K29" s="21"/>
      <c r="L29" s="79"/>
      <c r="M29" s="43"/>
      <c r="N29" s="43"/>
      <c r="O29" s="43"/>
      <c r="P29" s="43"/>
      <c r="Q29" s="43"/>
      <c r="R29" s="43"/>
      <c r="S29" s="43"/>
      <c r="T29" s="22"/>
      <c r="U29" s="22"/>
      <c r="V29" s="22"/>
      <c r="W29" s="22"/>
      <c r="X29" s="22"/>
    </row>
    <row r="30" spans="1:24" ht="15" thickTop="1" x14ac:dyDescent="0.3">
      <c r="A30" s="24"/>
      <c r="B30" s="22"/>
      <c r="C30" s="22"/>
      <c r="D30" s="22"/>
      <c r="E30" s="22"/>
      <c r="F30" s="22"/>
      <c r="G30" s="22"/>
      <c r="H30" s="22"/>
      <c r="I30" s="40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4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4"/>
      <c r="B32" s="22"/>
      <c r="C32" s="22"/>
      <c r="D32" s="22"/>
      <c r="E32" s="22"/>
      <c r="F32" s="22"/>
      <c r="G32" s="22"/>
      <c r="H32" s="22"/>
      <c r="I32" s="27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4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4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4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4"/>
      <c r="B36" s="22"/>
      <c r="C36" s="22"/>
      <c r="D36" s="22"/>
      <c r="E36" s="22"/>
      <c r="F36" s="22"/>
      <c r="G36" s="22"/>
      <c r="H36" s="22"/>
      <c r="I36" s="23"/>
      <c r="K36" s="24"/>
      <c r="L36" s="56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3">
      <c r="A37" s="24">
        <f t="shared" ref="A37:G37" si="6">SUM(A23:A36)</f>
        <v>5382.37</v>
      </c>
      <c r="B37" s="24">
        <f t="shared" si="6"/>
        <v>5649.6</v>
      </c>
      <c r="C37" s="24">
        <f t="shared" si="6"/>
        <v>5576.84</v>
      </c>
      <c r="D37" s="24">
        <f t="shared" si="6"/>
        <v>3842.5299999999997</v>
      </c>
      <c r="E37" s="24">
        <f t="shared" si="6"/>
        <v>705</v>
      </c>
      <c r="F37" s="24">
        <f t="shared" si="6"/>
        <v>5949.09</v>
      </c>
      <c r="G37" s="24">
        <f t="shared" si="6"/>
        <v>5096.82</v>
      </c>
      <c r="H37" s="29">
        <f>SUM(A37:G37)+I29</f>
        <v>52065.23</v>
      </c>
      <c r="I37" s="30" t="s">
        <v>7</v>
      </c>
      <c r="K37" s="24">
        <f t="shared" ref="K37:L37" si="7">SUM(K24:K36)</f>
        <v>3924</v>
      </c>
      <c r="L37" s="24">
        <f t="shared" si="7"/>
        <v>110</v>
      </c>
      <c r="M37" s="24">
        <f t="shared" ref="M37" si="8">SUM(M24:M36)</f>
        <v>3850</v>
      </c>
      <c r="N37" s="24">
        <f t="shared" ref="N37:O37" si="9">SUM(N24:N36)</f>
        <v>0</v>
      </c>
      <c r="O37" s="24">
        <f t="shared" si="9"/>
        <v>5044</v>
      </c>
      <c r="P37" s="24">
        <f>SUM(P24:P36)</f>
        <v>609</v>
      </c>
      <c r="Q37" s="24">
        <f t="shared" ref="Q37:X37" si="10">SUM(Q24:Q36)</f>
        <v>1678</v>
      </c>
      <c r="R37" s="24">
        <f t="shared" si="10"/>
        <v>1257.5</v>
      </c>
      <c r="S37" s="24">
        <f t="shared" si="10"/>
        <v>534</v>
      </c>
      <c r="T37" s="22">
        <f t="shared" si="10"/>
        <v>0</v>
      </c>
      <c r="U37" s="22">
        <f t="shared" si="10"/>
        <v>4517</v>
      </c>
      <c r="V37" s="22">
        <f t="shared" si="10"/>
        <v>35</v>
      </c>
      <c r="W37" s="22">
        <f t="shared" si="10"/>
        <v>2404</v>
      </c>
      <c r="X37" s="22">
        <f t="shared" si="10"/>
        <v>45</v>
      </c>
    </row>
    <row r="38" spans="1:24" x14ac:dyDescent="0.3">
      <c r="A38" s="24">
        <v>5382.37</v>
      </c>
      <c r="B38" s="24">
        <v>5649.6</v>
      </c>
      <c r="C38" s="24">
        <v>5576.84</v>
      </c>
      <c r="D38" s="24">
        <v>3842.53</v>
      </c>
      <c r="E38" s="24">
        <v>705</v>
      </c>
      <c r="F38" s="24">
        <v>5949.09</v>
      </c>
      <c r="G38" s="24">
        <v>5096.82</v>
      </c>
      <c r="H38" s="22">
        <f>SUM(A38:G38)+I29</f>
        <v>52065.23</v>
      </c>
      <c r="I38" s="33" t="s">
        <v>1</v>
      </c>
      <c r="K38" s="24">
        <v>3924</v>
      </c>
      <c r="L38" s="24">
        <v>110</v>
      </c>
      <c r="M38" s="24">
        <v>3850</v>
      </c>
      <c r="N38" s="24">
        <v>1800</v>
      </c>
      <c r="O38" s="24">
        <v>5044</v>
      </c>
      <c r="P38" s="24">
        <v>609</v>
      </c>
      <c r="Q38" s="24">
        <v>1678</v>
      </c>
      <c r="R38" s="24">
        <v>1257.5</v>
      </c>
      <c r="S38" s="24">
        <v>534</v>
      </c>
      <c r="T38" s="24">
        <v>0</v>
      </c>
      <c r="U38" s="24">
        <v>4517</v>
      </c>
      <c r="V38" s="24">
        <v>35</v>
      </c>
      <c r="W38" s="24">
        <v>2404</v>
      </c>
      <c r="X38" s="24">
        <v>45</v>
      </c>
    </row>
    <row r="39" spans="1:24" ht="15" thickBot="1" x14ac:dyDescent="0.35">
      <c r="A39" s="35">
        <f t="shared" ref="A39:H39" si="11">A37-A38</f>
        <v>0</v>
      </c>
      <c r="B39" s="35">
        <f t="shared" si="11"/>
        <v>0</v>
      </c>
      <c r="C39" s="35">
        <f t="shared" si="11"/>
        <v>0</v>
      </c>
      <c r="D39" s="35">
        <f t="shared" si="11"/>
        <v>0</v>
      </c>
      <c r="E39" s="35">
        <f t="shared" si="11"/>
        <v>0</v>
      </c>
      <c r="F39" s="35">
        <f t="shared" si="11"/>
        <v>0</v>
      </c>
      <c r="G39" s="35">
        <f t="shared" si="11"/>
        <v>0</v>
      </c>
      <c r="H39" s="35">
        <f t="shared" si="11"/>
        <v>0</v>
      </c>
      <c r="I39" s="16">
        <f>SUM(I33:I38)</f>
        <v>0</v>
      </c>
      <c r="K39" s="86">
        <f t="shared" ref="K39:V39" si="12">K37-K38</f>
        <v>0</v>
      </c>
      <c r="L39" s="86">
        <f t="shared" si="12"/>
        <v>0</v>
      </c>
      <c r="M39" s="86">
        <f t="shared" si="12"/>
        <v>0</v>
      </c>
      <c r="N39" s="86">
        <f t="shared" si="12"/>
        <v>-1800</v>
      </c>
      <c r="O39" s="86">
        <f t="shared" si="12"/>
        <v>0</v>
      </c>
      <c r="P39" s="86">
        <f t="shared" si="12"/>
        <v>0</v>
      </c>
      <c r="Q39" s="86">
        <f t="shared" si="12"/>
        <v>0</v>
      </c>
      <c r="R39" s="86">
        <f t="shared" si="12"/>
        <v>0</v>
      </c>
      <c r="S39" s="86">
        <f t="shared" si="12"/>
        <v>0</v>
      </c>
      <c r="T39" s="86">
        <f t="shared" si="12"/>
        <v>0</v>
      </c>
      <c r="U39" s="86">
        <f t="shared" si="12"/>
        <v>0</v>
      </c>
      <c r="V39" s="86">
        <f t="shared" si="12"/>
        <v>0</v>
      </c>
      <c r="W39" s="86">
        <f>W37-W38</f>
        <v>0</v>
      </c>
      <c r="X39" s="86">
        <f>X37-X38</f>
        <v>0</v>
      </c>
    </row>
    <row r="40" spans="1:24" ht="15" thickTop="1" x14ac:dyDescent="0.3"/>
    <row r="42" spans="1:24" ht="15" thickBot="1" x14ac:dyDescent="0.35"/>
    <row r="43" spans="1:24" x14ac:dyDescent="0.3">
      <c r="A43" s="17">
        <v>45483</v>
      </c>
      <c r="B43" s="17">
        <v>45484</v>
      </c>
      <c r="C43" s="17">
        <v>45485</v>
      </c>
      <c r="D43" s="17">
        <v>45486</v>
      </c>
      <c r="E43" s="17">
        <v>45487</v>
      </c>
      <c r="F43" s="17">
        <v>45488</v>
      </c>
      <c r="G43" s="17">
        <v>45489</v>
      </c>
      <c r="H43" s="17"/>
      <c r="I43" s="13"/>
      <c r="K43" s="59">
        <v>45483</v>
      </c>
      <c r="L43" s="59"/>
      <c r="M43" s="59">
        <v>45484</v>
      </c>
      <c r="N43" s="59"/>
      <c r="O43" s="59">
        <v>45485</v>
      </c>
      <c r="P43" s="59"/>
      <c r="Q43" s="59">
        <v>45486</v>
      </c>
      <c r="R43" s="59"/>
      <c r="S43" s="59">
        <v>45487</v>
      </c>
      <c r="T43" s="59"/>
      <c r="U43" s="59">
        <v>45488</v>
      </c>
      <c r="V43" s="59"/>
      <c r="W43" s="59">
        <v>45489</v>
      </c>
      <c r="X43" s="59"/>
    </row>
    <row r="44" spans="1:24" ht="15" thickBot="1" x14ac:dyDescent="0.35">
      <c r="A44" s="21">
        <v>1904.06</v>
      </c>
      <c r="B44" s="22">
        <v>1085</v>
      </c>
      <c r="C44" s="22">
        <v>1904.06</v>
      </c>
      <c r="D44" s="22">
        <v>2120</v>
      </c>
      <c r="E44" s="22">
        <v>655</v>
      </c>
      <c r="F44" s="22">
        <v>1030</v>
      </c>
      <c r="G44" s="22">
        <v>1994.08</v>
      </c>
      <c r="H44" s="37"/>
      <c r="I44" s="14">
        <v>1850</v>
      </c>
      <c r="K44" s="124" t="s">
        <v>10</v>
      </c>
      <c r="L44" s="125" t="s">
        <v>11</v>
      </c>
      <c r="M44" s="126" t="s">
        <v>10</v>
      </c>
      <c r="N44" s="126" t="s">
        <v>11</v>
      </c>
      <c r="O44" s="126" t="s">
        <v>10</v>
      </c>
      <c r="P44" s="126" t="s">
        <v>11</v>
      </c>
      <c r="Q44" s="126" t="s">
        <v>10</v>
      </c>
      <c r="R44" s="126" t="s">
        <v>11</v>
      </c>
      <c r="S44" s="126" t="s">
        <v>10</v>
      </c>
      <c r="T44" s="126" t="s">
        <v>11</v>
      </c>
      <c r="U44" s="126" t="s">
        <v>10</v>
      </c>
      <c r="V44" s="126" t="s">
        <v>11</v>
      </c>
      <c r="W44" s="126" t="s">
        <v>10</v>
      </c>
      <c r="X44" s="126" t="s">
        <v>11</v>
      </c>
    </row>
    <row r="45" spans="1:24" x14ac:dyDescent="0.3">
      <c r="A45" s="24">
        <v>2675</v>
      </c>
      <c r="B45" s="22">
        <v>2255</v>
      </c>
      <c r="C45" s="22">
        <v>3465</v>
      </c>
      <c r="D45" s="22">
        <v>1040</v>
      </c>
      <c r="E45" s="25"/>
      <c r="F45" s="22">
        <v>3315</v>
      </c>
      <c r="G45" s="22">
        <v>3215</v>
      </c>
      <c r="H45" s="37"/>
      <c r="I45" s="14">
        <v>6000</v>
      </c>
      <c r="K45" s="75">
        <v>560</v>
      </c>
      <c r="L45" s="76">
        <v>60</v>
      </c>
      <c r="M45" s="77">
        <v>360</v>
      </c>
      <c r="N45" s="77">
        <v>7.5</v>
      </c>
      <c r="O45" s="77">
        <v>420</v>
      </c>
      <c r="P45" s="77">
        <v>60</v>
      </c>
      <c r="Q45" s="77">
        <v>2050</v>
      </c>
      <c r="R45" s="77">
        <v>37.5</v>
      </c>
      <c r="S45" s="78">
        <v>490</v>
      </c>
      <c r="T45" s="69">
        <v>15</v>
      </c>
      <c r="U45" s="63">
        <v>330</v>
      </c>
      <c r="V45" s="63">
        <v>32.5</v>
      </c>
      <c r="W45" s="63">
        <v>540</v>
      </c>
      <c r="X45" s="63">
        <v>950</v>
      </c>
    </row>
    <row r="46" spans="1:24" x14ac:dyDescent="0.3">
      <c r="A46" s="24">
        <v>1270</v>
      </c>
      <c r="B46" s="22">
        <v>1582.38</v>
      </c>
      <c r="C46" s="22">
        <v>1000</v>
      </c>
      <c r="D46" s="26"/>
      <c r="E46" s="22"/>
      <c r="F46" s="22">
        <v>1904.06</v>
      </c>
      <c r="G46" s="22">
        <v>1165</v>
      </c>
      <c r="H46" s="37"/>
      <c r="I46" s="15">
        <v>2537.5</v>
      </c>
      <c r="K46" s="21">
        <v>2450</v>
      </c>
      <c r="L46" s="79">
        <v>75</v>
      </c>
      <c r="M46" s="80">
        <v>251</v>
      </c>
      <c r="N46" s="43">
        <v>1080</v>
      </c>
      <c r="O46" s="43">
        <v>2480</v>
      </c>
      <c r="P46" s="43">
        <v>37.5</v>
      </c>
      <c r="Q46" s="80">
        <v>147</v>
      </c>
      <c r="R46" s="80">
        <v>50</v>
      </c>
      <c r="S46" s="43">
        <v>84</v>
      </c>
      <c r="T46" s="22"/>
      <c r="U46" s="22">
        <v>347</v>
      </c>
      <c r="V46" s="22"/>
      <c r="W46" s="22">
        <v>1520</v>
      </c>
      <c r="X46" s="22">
        <v>45</v>
      </c>
    </row>
    <row r="47" spans="1:24" x14ac:dyDescent="0.3">
      <c r="A47" s="24"/>
      <c r="B47" s="22"/>
      <c r="C47" s="22"/>
      <c r="D47" s="25"/>
      <c r="E47" s="22"/>
      <c r="F47" s="22"/>
      <c r="G47" s="22"/>
      <c r="H47" s="37"/>
      <c r="I47" s="15">
        <v>5602.9</v>
      </c>
      <c r="K47" s="21">
        <v>376</v>
      </c>
      <c r="L47" s="79"/>
      <c r="M47" s="81">
        <v>1920</v>
      </c>
      <c r="N47" s="43"/>
      <c r="O47" s="43">
        <v>443</v>
      </c>
      <c r="P47" s="43"/>
      <c r="Q47" s="80">
        <v>270</v>
      </c>
      <c r="R47" s="81"/>
      <c r="S47" s="43"/>
      <c r="T47" s="22"/>
      <c r="U47" s="22">
        <v>2850</v>
      </c>
      <c r="V47" s="22"/>
      <c r="W47" s="22">
        <v>260</v>
      </c>
      <c r="X47" s="22"/>
    </row>
    <row r="48" spans="1:24" x14ac:dyDescent="0.3">
      <c r="A48" s="129"/>
      <c r="B48" s="22"/>
      <c r="C48" s="22"/>
      <c r="D48" s="22"/>
      <c r="E48" s="22"/>
      <c r="F48" s="22"/>
      <c r="G48" s="22"/>
      <c r="H48" s="37"/>
      <c r="I48" s="15">
        <v>4245.6000000000004</v>
      </c>
      <c r="K48" s="21">
        <v>330</v>
      </c>
      <c r="L48" s="79"/>
      <c r="M48" s="43">
        <v>480</v>
      </c>
      <c r="N48" s="43"/>
      <c r="O48" s="43">
        <v>300</v>
      </c>
      <c r="P48" s="43"/>
      <c r="Q48" s="43"/>
      <c r="R48" s="43"/>
      <c r="S48" s="43"/>
      <c r="T48" s="22"/>
      <c r="U48" s="22">
        <v>560</v>
      </c>
      <c r="V48" s="22"/>
      <c r="W48" s="22">
        <v>300</v>
      </c>
      <c r="X48" s="22"/>
    </row>
    <row r="49" spans="1:24" x14ac:dyDescent="0.3">
      <c r="A49" s="24"/>
      <c r="B49" s="22"/>
      <c r="C49" s="22"/>
      <c r="D49" s="22"/>
      <c r="E49" s="22"/>
      <c r="F49" s="22"/>
      <c r="G49" s="22"/>
      <c r="H49" s="37"/>
      <c r="I49" s="130">
        <v>244.46</v>
      </c>
      <c r="K49" s="128"/>
      <c r="L49" s="79"/>
      <c r="M49" s="43"/>
      <c r="N49" s="43"/>
      <c r="O49" s="43"/>
      <c r="P49" s="43"/>
      <c r="Q49" s="43"/>
      <c r="R49" s="43"/>
      <c r="S49" s="43"/>
      <c r="T49" s="22"/>
      <c r="U49" s="22"/>
      <c r="V49" s="22"/>
      <c r="W49" s="22"/>
      <c r="X49" s="22"/>
    </row>
    <row r="50" spans="1:24" ht="15" thickBot="1" x14ac:dyDescent="0.35">
      <c r="A50" s="24"/>
      <c r="B50" s="22"/>
      <c r="C50" s="22"/>
      <c r="D50" s="22"/>
      <c r="E50" s="22"/>
      <c r="F50" s="22"/>
      <c r="G50" s="22"/>
      <c r="H50" s="37"/>
      <c r="I50" s="16">
        <f>SUM(I44:I49)</f>
        <v>20480.46</v>
      </c>
      <c r="K50" s="21"/>
      <c r="L50" s="79"/>
      <c r="M50" s="43"/>
      <c r="N50" s="43"/>
      <c r="O50" s="43"/>
      <c r="P50" s="43"/>
      <c r="Q50" s="43"/>
      <c r="R50" s="43"/>
      <c r="S50" s="43"/>
      <c r="T50" s="22"/>
      <c r="U50" s="22"/>
      <c r="V50" s="22"/>
      <c r="W50" s="22"/>
      <c r="X50" s="22"/>
    </row>
    <row r="51" spans="1:24" ht="15" thickTop="1" x14ac:dyDescent="0.3">
      <c r="A51" s="24"/>
      <c r="B51" s="22"/>
      <c r="C51" s="22"/>
      <c r="D51" s="22"/>
      <c r="E51" s="22"/>
      <c r="F51" s="22"/>
      <c r="G51" s="22"/>
      <c r="H51" s="22"/>
      <c r="I51" s="40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4"/>
      <c r="B52" s="22"/>
      <c r="C52" s="22"/>
      <c r="D52" s="22"/>
      <c r="E52" s="22"/>
      <c r="F52" s="22"/>
      <c r="G52" s="22"/>
      <c r="H52" s="22"/>
      <c r="I52" s="27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4"/>
      <c r="B53" s="22"/>
      <c r="C53" s="22"/>
      <c r="D53" s="22"/>
      <c r="E53" s="22"/>
      <c r="F53" s="22"/>
      <c r="G53" s="22"/>
      <c r="H53" s="22"/>
      <c r="I53" s="27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4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3">
      <c r="A56" s="24"/>
      <c r="B56" s="22"/>
      <c r="C56" s="22"/>
      <c r="D56" s="22"/>
      <c r="E56" s="22"/>
      <c r="F56" s="22"/>
      <c r="G56" s="22"/>
      <c r="H56" s="22"/>
      <c r="I56" s="23"/>
      <c r="K56" s="24"/>
      <c r="L56" s="56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3">
      <c r="A57" s="24"/>
      <c r="B57" s="22"/>
      <c r="C57" s="22"/>
      <c r="D57" s="22"/>
      <c r="E57" s="22"/>
      <c r="F57" s="22"/>
      <c r="G57" s="22"/>
      <c r="H57" s="22"/>
      <c r="I57" s="23"/>
      <c r="K57" s="24"/>
      <c r="L57" s="56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3">
      <c r="A58" s="24">
        <f t="shared" ref="A58:G58" si="13">SUM(A44:A57)</f>
        <v>5849.0599999999995</v>
      </c>
      <c r="B58" s="24">
        <f t="shared" si="13"/>
        <v>4922.38</v>
      </c>
      <c r="C58" s="24">
        <f t="shared" si="13"/>
        <v>6369.0599999999995</v>
      </c>
      <c r="D58" s="24">
        <f t="shared" si="13"/>
        <v>3160</v>
      </c>
      <c r="E58" s="24">
        <f t="shared" si="13"/>
        <v>655</v>
      </c>
      <c r="F58" s="24">
        <f t="shared" si="13"/>
        <v>6249.0599999999995</v>
      </c>
      <c r="G58" s="24">
        <f t="shared" si="13"/>
        <v>6374.08</v>
      </c>
      <c r="H58" s="29">
        <f>SUM(A58:G58)+I50</f>
        <v>54059.1</v>
      </c>
      <c r="I58" s="30" t="s">
        <v>7</v>
      </c>
      <c r="K58" s="24">
        <f t="shared" ref="K58:O58" si="14">SUM(K45:K57)</f>
        <v>3716</v>
      </c>
      <c r="L58" s="24">
        <f t="shared" si="14"/>
        <v>135</v>
      </c>
      <c r="M58" s="24">
        <f t="shared" si="14"/>
        <v>3011</v>
      </c>
      <c r="N58" s="24">
        <f t="shared" si="14"/>
        <v>1087.5</v>
      </c>
      <c r="O58" s="24">
        <f t="shared" si="14"/>
        <v>3643</v>
      </c>
      <c r="P58" s="24">
        <f>SUM(P45:P57)</f>
        <v>97.5</v>
      </c>
      <c r="Q58" s="24">
        <f t="shared" ref="Q58:X58" si="15">SUM(Q45:Q57)</f>
        <v>2467</v>
      </c>
      <c r="R58" s="24">
        <f t="shared" si="15"/>
        <v>87.5</v>
      </c>
      <c r="S58" s="24">
        <f t="shared" si="15"/>
        <v>574</v>
      </c>
      <c r="T58" s="22">
        <f t="shared" si="15"/>
        <v>15</v>
      </c>
      <c r="U58" s="22">
        <f t="shared" si="15"/>
        <v>4087</v>
      </c>
      <c r="V58" s="22">
        <f t="shared" si="15"/>
        <v>32.5</v>
      </c>
      <c r="W58" s="22">
        <f t="shared" si="15"/>
        <v>2620</v>
      </c>
      <c r="X58" s="22">
        <f t="shared" si="15"/>
        <v>995</v>
      </c>
    </row>
    <row r="59" spans="1:24" x14ac:dyDescent="0.3">
      <c r="A59" s="24">
        <v>5849.06</v>
      </c>
      <c r="B59" s="24">
        <v>4922.38</v>
      </c>
      <c r="C59" s="24">
        <v>6369.06</v>
      </c>
      <c r="D59" s="24">
        <v>3160</v>
      </c>
      <c r="E59" s="24">
        <v>655</v>
      </c>
      <c r="F59" s="24">
        <v>6249.06</v>
      </c>
      <c r="G59" s="24">
        <v>6374.08</v>
      </c>
      <c r="H59" s="22">
        <f>SUM(A59:G59)+I50</f>
        <v>54059.1</v>
      </c>
      <c r="I59" s="33" t="s">
        <v>1</v>
      </c>
      <c r="K59" s="24">
        <v>3716</v>
      </c>
      <c r="L59" s="24">
        <v>135</v>
      </c>
      <c r="M59" s="24">
        <v>3011</v>
      </c>
      <c r="N59" s="24">
        <v>1087.5</v>
      </c>
      <c r="O59" s="24">
        <v>3643</v>
      </c>
      <c r="P59" s="24">
        <v>97.5</v>
      </c>
      <c r="Q59" s="24">
        <v>2467</v>
      </c>
      <c r="R59" s="24">
        <v>87.5</v>
      </c>
      <c r="S59" s="24">
        <v>574</v>
      </c>
      <c r="T59" s="24">
        <v>15</v>
      </c>
      <c r="U59" s="24">
        <v>4087</v>
      </c>
      <c r="V59" s="24">
        <v>32.5</v>
      </c>
      <c r="W59" s="24">
        <v>2620</v>
      </c>
      <c r="X59" s="24">
        <v>995</v>
      </c>
    </row>
    <row r="60" spans="1:24" ht="15" thickBot="1" x14ac:dyDescent="0.35">
      <c r="A60" s="35">
        <f t="shared" ref="A60:H60" si="16">A58-A59</f>
        <v>0</v>
      </c>
      <c r="B60" s="35">
        <f t="shared" si="16"/>
        <v>0</v>
      </c>
      <c r="C60" s="35">
        <f t="shared" si="16"/>
        <v>0</v>
      </c>
      <c r="D60" s="35">
        <f t="shared" si="16"/>
        <v>0</v>
      </c>
      <c r="E60" s="35">
        <f t="shared" si="16"/>
        <v>0</v>
      </c>
      <c r="F60" s="35">
        <f t="shared" si="16"/>
        <v>0</v>
      </c>
      <c r="G60" s="35">
        <f t="shared" si="16"/>
        <v>0</v>
      </c>
      <c r="H60" s="35">
        <f t="shared" si="16"/>
        <v>0</v>
      </c>
      <c r="I60" s="16">
        <f>SUM(I54:I59)</f>
        <v>0</v>
      </c>
      <c r="K60" s="86">
        <f t="shared" ref="K60:V60" si="17">K58-K59</f>
        <v>0</v>
      </c>
      <c r="L60" s="86">
        <f t="shared" si="17"/>
        <v>0</v>
      </c>
      <c r="M60" s="86">
        <f t="shared" si="17"/>
        <v>0</v>
      </c>
      <c r="N60" s="86">
        <f t="shared" si="17"/>
        <v>0</v>
      </c>
      <c r="O60" s="86">
        <f t="shared" si="17"/>
        <v>0</v>
      </c>
      <c r="P60" s="86">
        <f t="shared" si="17"/>
        <v>0</v>
      </c>
      <c r="Q60" s="86">
        <f t="shared" si="17"/>
        <v>0</v>
      </c>
      <c r="R60" s="86">
        <f t="shared" si="17"/>
        <v>0</v>
      </c>
      <c r="S60" s="86">
        <f t="shared" si="17"/>
        <v>0</v>
      </c>
      <c r="T60" s="86">
        <f t="shared" si="17"/>
        <v>0</v>
      </c>
      <c r="U60" s="86">
        <f t="shared" si="17"/>
        <v>0</v>
      </c>
      <c r="V60" s="86">
        <f t="shared" si="17"/>
        <v>0</v>
      </c>
      <c r="W60" s="86">
        <f>W58-W59</f>
        <v>0</v>
      </c>
      <c r="X60" s="86">
        <f>X58-X59</f>
        <v>0</v>
      </c>
    </row>
    <row r="61" spans="1:24" ht="15.6" thickTop="1" thickBot="1" x14ac:dyDescent="0.35"/>
    <row r="62" spans="1:24" x14ac:dyDescent="0.3">
      <c r="A62" s="17">
        <v>45490</v>
      </c>
      <c r="B62" s="17">
        <v>45491</v>
      </c>
      <c r="C62" s="17">
        <v>45492</v>
      </c>
      <c r="D62" s="17">
        <v>45493</v>
      </c>
      <c r="E62" s="17">
        <v>45494</v>
      </c>
      <c r="F62" s="17">
        <v>45495</v>
      </c>
      <c r="G62" s="17">
        <v>45496</v>
      </c>
      <c r="H62" s="17"/>
      <c r="I62" s="13"/>
      <c r="K62" s="59">
        <v>45490</v>
      </c>
      <c r="L62" s="59"/>
      <c r="M62" s="59">
        <v>45491</v>
      </c>
      <c r="N62" s="59"/>
      <c r="O62" s="59">
        <v>45492</v>
      </c>
      <c r="P62" s="59"/>
      <c r="Q62" s="59">
        <v>45493</v>
      </c>
      <c r="R62" s="59"/>
      <c r="S62" s="59">
        <v>45494</v>
      </c>
      <c r="T62" s="59"/>
      <c r="U62" s="59">
        <v>45495</v>
      </c>
      <c r="V62" s="59"/>
      <c r="W62" s="59">
        <v>45496</v>
      </c>
      <c r="X62" s="59"/>
    </row>
    <row r="63" spans="1:24" ht="15" thickBot="1" x14ac:dyDescent="0.35">
      <c r="A63" s="21">
        <v>915</v>
      </c>
      <c r="B63" s="22">
        <v>1826.84</v>
      </c>
      <c r="C63" s="22">
        <v>1200</v>
      </c>
      <c r="D63" s="22">
        <v>1067.5</v>
      </c>
      <c r="E63" s="22">
        <v>10</v>
      </c>
      <c r="F63" s="22">
        <v>1736.82</v>
      </c>
      <c r="G63" s="22">
        <v>1185</v>
      </c>
      <c r="H63" s="37"/>
      <c r="I63" s="15">
        <v>2142.5</v>
      </c>
      <c r="K63" s="124" t="s">
        <v>10</v>
      </c>
      <c r="L63" s="125" t="s">
        <v>11</v>
      </c>
      <c r="M63" s="126" t="s">
        <v>10</v>
      </c>
      <c r="N63" s="126" t="s">
        <v>11</v>
      </c>
      <c r="O63" s="126" t="s">
        <v>10</v>
      </c>
      <c r="P63" s="126" t="s">
        <v>11</v>
      </c>
      <c r="Q63" s="126" t="s">
        <v>10</v>
      </c>
      <c r="R63" s="126" t="s">
        <v>11</v>
      </c>
      <c r="S63" s="126" t="s">
        <v>10</v>
      </c>
      <c r="T63" s="126" t="s">
        <v>11</v>
      </c>
      <c r="U63" s="126" t="s">
        <v>10</v>
      </c>
      <c r="V63" s="126" t="s">
        <v>11</v>
      </c>
      <c r="W63" s="126" t="s">
        <v>10</v>
      </c>
      <c r="X63" s="126" t="s">
        <v>11</v>
      </c>
    </row>
    <row r="64" spans="1:24" x14ac:dyDescent="0.3">
      <c r="A64" s="24">
        <v>3075</v>
      </c>
      <c r="B64" s="22">
        <v>2355</v>
      </c>
      <c r="C64" s="22">
        <v>3420</v>
      </c>
      <c r="D64" s="22">
        <v>747.5</v>
      </c>
      <c r="E64" s="25">
        <v>610</v>
      </c>
      <c r="F64" s="22">
        <v>2720</v>
      </c>
      <c r="G64" s="22">
        <v>3395</v>
      </c>
      <c r="H64" s="37"/>
      <c r="I64" s="15">
        <v>6000</v>
      </c>
      <c r="K64" s="75">
        <v>330</v>
      </c>
      <c r="L64" s="76">
        <v>30</v>
      </c>
      <c r="M64" s="77">
        <v>360</v>
      </c>
      <c r="N64" s="77">
        <v>60</v>
      </c>
      <c r="O64" s="77">
        <v>57</v>
      </c>
      <c r="P64" s="77">
        <v>37.5</v>
      </c>
      <c r="Q64" s="77">
        <v>28</v>
      </c>
      <c r="R64" s="77">
        <v>37.5</v>
      </c>
      <c r="S64" s="78">
        <v>84</v>
      </c>
      <c r="T64" s="69"/>
      <c r="U64" s="63">
        <v>360</v>
      </c>
      <c r="V64" s="63">
        <v>22.5</v>
      </c>
      <c r="W64" s="63">
        <v>360</v>
      </c>
      <c r="X64" s="63">
        <v>45</v>
      </c>
    </row>
    <row r="65" spans="1:24" x14ac:dyDescent="0.3">
      <c r="A65" s="24">
        <v>1736.82</v>
      </c>
      <c r="B65" s="22">
        <v>1050</v>
      </c>
      <c r="C65" s="22">
        <v>1736.82</v>
      </c>
      <c r="D65" s="26">
        <v>823.4</v>
      </c>
      <c r="E65" s="22"/>
      <c r="F65" s="22">
        <v>1000</v>
      </c>
      <c r="G65" s="22">
        <v>1736.82</v>
      </c>
      <c r="H65" s="37"/>
      <c r="I65" s="15">
        <v>2250</v>
      </c>
      <c r="K65" s="21">
        <v>304</v>
      </c>
      <c r="L65" s="79">
        <v>37.9</v>
      </c>
      <c r="M65" s="80">
        <v>1940</v>
      </c>
      <c r="N65" s="43">
        <v>409.5</v>
      </c>
      <c r="O65" s="43">
        <v>390</v>
      </c>
      <c r="P65" s="43"/>
      <c r="Q65" s="80">
        <v>430</v>
      </c>
      <c r="R65" s="80">
        <v>1080</v>
      </c>
      <c r="S65" s="43">
        <v>520</v>
      </c>
      <c r="T65" s="22"/>
      <c r="U65" s="22">
        <v>2540</v>
      </c>
      <c r="V65" s="22"/>
      <c r="W65" s="22">
        <v>434</v>
      </c>
      <c r="X65" s="22">
        <v>517.5</v>
      </c>
    </row>
    <row r="66" spans="1:24" x14ac:dyDescent="0.3">
      <c r="A66" s="24"/>
      <c r="B66" s="22"/>
      <c r="C66" s="22"/>
      <c r="D66" s="25"/>
      <c r="E66" s="22"/>
      <c r="F66" s="22"/>
      <c r="G66" s="22"/>
      <c r="H66" s="37"/>
      <c r="I66" s="130">
        <v>5593.94</v>
      </c>
      <c r="K66" s="21">
        <v>2490</v>
      </c>
      <c r="L66" s="79"/>
      <c r="M66" s="81">
        <v>188</v>
      </c>
      <c r="N66" s="43">
        <v>22.5</v>
      </c>
      <c r="O66" s="43">
        <v>431</v>
      </c>
      <c r="P66" s="43"/>
      <c r="Q66" s="80">
        <v>274</v>
      </c>
      <c r="R66" s="81"/>
      <c r="S66" s="43"/>
      <c r="T66" s="22"/>
      <c r="U66" s="22">
        <v>173</v>
      </c>
      <c r="V66" s="22"/>
      <c r="W66" s="22">
        <v>2670</v>
      </c>
      <c r="X66" s="22">
        <v>60</v>
      </c>
    </row>
    <row r="67" spans="1:24" x14ac:dyDescent="0.3">
      <c r="A67" s="129"/>
      <c r="B67" s="22"/>
      <c r="C67" s="22"/>
      <c r="D67" s="22"/>
      <c r="E67" s="22"/>
      <c r="F67" s="22"/>
      <c r="G67" s="22"/>
      <c r="H67" s="37"/>
      <c r="I67" s="37">
        <v>4245.6000000000004</v>
      </c>
      <c r="K67" s="21">
        <v>360</v>
      </c>
      <c r="L67" s="79"/>
      <c r="M67" s="43">
        <v>270</v>
      </c>
      <c r="N67" s="43"/>
      <c r="O67" s="43">
        <v>2680</v>
      </c>
      <c r="P67" s="43"/>
      <c r="Q67" s="43">
        <v>1575</v>
      </c>
      <c r="R67" s="43"/>
      <c r="S67" s="43"/>
      <c r="T67" s="22"/>
      <c r="U67" s="22">
        <v>330</v>
      </c>
      <c r="V67" s="22"/>
      <c r="W67" s="22">
        <v>360</v>
      </c>
      <c r="X67" s="22"/>
    </row>
    <row r="68" spans="1:24" x14ac:dyDescent="0.3">
      <c r="A68" s="24"/>
      <c r="B68" s="22"/>
      <c r="C68" s="22"/>
      <c r="D68" s="22"/>
      <c r="E68" s="22"/>
      <c r="F68" s="22"/>
      <c r="G68" s="22"/>
      <c r="I68" s="37"/>
      <c r="K68" s="128"/>
      <c r="L68" s="79"/>
      <c r="M68" s="43"/>
      <c r="N68" s="43"/>
      <c r="O68" s="43">
        <v>480</v>
      </c>
      <c r="P68" s="43"/>
      <c r="Q68" s="43"/>
      <c r="R68" s="43"/>
      <c r="S68" s="43"/>
      <c r="T68" s="22"/>
      <c r="U68" s="22"/>
      <c r="V68" s="22"/>
      <c r="W68" s="22"/>
      <c r="X68" s="22"/>
    </row>
    <row r="69" spans="1:24" ht="15" thickBot="1" x14ac:dyDescent="0.35">
      <c r="A69" s="24"/>
      <c r="B69" s="22"/>
      <c r="C69" s="22"/>
      <c r="D69" s="22"/>
      <c r="E69" s="22"/>
      <c r="F69" s="22"/>
      <c r="G69" s="22"/>
      <c r="H69" s="37"/>
      <c r="I69" s="16">
        <f>SUM(I62:I67)</f>
        <v>20232.04</v>
      </c>
      <c r="K69" s="21"/>
      <c r="L69" s="79"/>
      <c r="M69" s="43"/>
      <c r="N69" s="43"/>
      <c r="O69" s="43"/>
      <c r="P69" s="43"/>
      <c r="Q69" s="43"/>
      <c r="R69" s="43"/>
      <c r="S69" s="43"/>
      <c r="T69" s="22"/>
      <c r="U69" s="22"/>
      <c r="V69" s="22"/>
      <c r="W69" s="22"/>
      <c r="X69" s="22"/>
    </row>
    <row r="70" spans="1:24" ht="15" thickTop="1" x14ac:dyDescent="0.3">
      <c r="A70" s="24"/>
      <c r="B70" s="22"/>
      <c r="C70" s="22"/>
      <c r="D70" s="22"/>
      <c r="E70" s="22"/>
      <c r="F70" s="22"/>
      <c r="G70" s="22"/>
      <c r="H70" s="22"/>
      <c r="I70" s="40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4"/>
      <c r="B71" s="22"/>
      <c r="C71" s="22"/>
      <c r="D71" s="22"/>
      <c r="E71" s="22"/>
      <c r="F71" s="22"/>
      <c r="G71" s="22"/>
      <c r="H71" s="22"/>
      <c r="I71" s="27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4"/>
      <c r="B72" s="22"/>
      <c r="C72" s="22"/>
      <c r="D72" s="22"/>
      <c r="E72" s="22"/>
      <c r="F72" s="22"/>
      <c r="G72" s="22"/>
      <c r="H72" s="22"/>
      <c r="I72" s="27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4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3">
      <c r="A75" s="24"/>
      <c r="B75" s="22"/>
      <c r="C75" s="22"/>
      <c r="D75" s="22"/>
      <c r="E75" s="22"/>
      <c r="F75" s="22"/>
      <c r="G75" s="22"/>
      <c r="H75" s="22"/>
      <c r="I75" s="23"/>
      <c r="K75" s="24"/>
      <c r="L75" s="56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3">
      <c r="A76" s="24"/>
      <c r="B76" s="22"/>
      <c r="C76" s="22"/>
      <c r="D76" s="22"/>
      <c r="E76" s="22"/>
      <c r="F76" s="22"/>
      <c r="G76" s="22"/>
      <c r="H76" s="22"/>
      <c r="I76" s="23"/>
      <c r="K76" s="24"/>
      <c r="L76" s="56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3">
      <c r="A77" s="24">
        <f t="shared" ref="A77:G77" si="18">SUM(A63:A76)</f>
        <v>5726.82</v>
      </c>
      <c r="B77" s="24">
        <f t="shared" si="18"/>
        <v>5231.84</v>
      </c>
      <c r="C77" s="24">
        <f t="shared" si="18"/>
        <v>6356.82</v>
      </c>
      <c r="D77" s="24">
        <f t="shared" si="18"/>
        <v>2638.4</v>
      </c>
      <c r="E77" s="24">
        <f t="shared" si="18"/>
        <v>620</v>
      </c>
      <c r="F77" s="24">
        <f t="shared" si="18"/>
        <v>5456.82</v>
      </c>
      <c r="G77" s="24">
        <f t="shared" si="18"/>
        <v>6316.82</v>
      </c>
      <c r="H77" s="29">
        <f>SUM(A77:G77)+I69</f>
        <v>52579.56</v>
      </c>
      <c r="I77" s="30" t="s">
        <v>7</v>
      </c>
      <c r="K77" s="24">
        <f t="shared" ref="K77:X77" si="19">SUM(K64:K76)</f>
        <v>3484</v>
      </c>
      <c r="L77" s="24">
        <f t="shared" si="19"/>
        <v>67.900000000000006</v>
      </c>
      <c r="M77" s="24">
        <f t="shared" si="19"/>
        <v>2758</v>
      </c>
      <c r="N77" s="24">
        <f t="shared" si="19"/>
        <v>492</v>
      </c>
      <c r="O77" s="24">
        <f t="shared" si="19"/>
        <v>4038</v>
      </c>
      <c r="P77" s="24">
        <f t="shared" si="19"/>
        <v>37.5</v>
      </c>
      <c r="Q77" s="24">
        <f t="shared" si="19"/>
        <v>2307</v>
      </c>
      <c r="R77" s="24">
        <f t="shared" si="19"/>
        <v>1117.5</v>
      </c>
      <c r="S77" s="24">
        <f t="shared" si="19"/>
        <v>604</v>
      </c>
      <c r="T77" s="24">
        <f t="shared" si="19"/>
        <v>0</v>
      </c>
      <c r="U77" s="24">
        <f t="shared" si="19"/>
        <v>3403</v>
      </c>
      <c r="V77" s="24">
        <f t="shared" si="19"/>
        <v>22.5</v>
      </c>
      <c r="W77" s="24">
        <f t="shared" si="19"/>
        <v>3824</v>
      </c>
      <c r="X77" s="24">
        <f t="shared" si="19"/>
        <v>622.5</v>
      </c>
    </row>
    <row r="78" spans="1:24" x14ac:dyDescent="0.3">
      <c r="A78" s="24">
        <v>5726.82</v>
      </c>
      <c r="B78" s="24">
        <v>5231.84</v>
      </c>
      <c r="C78" s="24">
        <v>6356.82</v>
      </c>
      <c r="D78" s="24">
        <v>2638.4</v>
      </c>
      <c r="E78" s="24">
        <v>620</v>
      </c>
      <c r="F78" s="24">
        <v>5456.82</v>
      </c>
      <c r="G78" s="24">
        <v>6316.82</v>
      </c>
      <c r="H78" s="22">
        <f>SUM(A78:G78)+I69</f>
        <v>52579.56</v>
      </c>
      <c r="I78" s="33" t="s">
        <v>1</v>
      </c>
      <c r="K78" s="24">
        <v>3484</v>
      </c>
      <c r="L78" s="24">
        <v>67.900000000000006</v>
      </c>
      <c r="M78" s="24">
        <v>2758</v>
      </c>
      <c r="N78" s="24">
        <v>492</v>
      </c>
      <c r="O78" s="24">
        <v>4038</v>
      </c>
      <c r="P78" s="24">
        <v>37.5</v>
      </c>
      <c r="Q78" s="24">
        <v>2307</v>
      </c>
      <c r="R78" s="24">
        <v>1117.5</v>
      </c>
      <c r="S78" s="24">
        <v>604</v>
      </c>
      <c r="T78" s="24">
        <v>0</v>
      </c>
      <c r="U78" s="24">
        <v>3403</v>
      </c>
      <c r="V78" s="24">
        <v>22.5</v>
      </c>
      <c r="W78" s="24">
        <v>3824</v>
      </c>
      <c r="X78" s="24">
        <v>622.5</v>
      </c>
    </row>
    <row r="79" spans="1:24" ht="15" thickBot="1" x14ac:dyDescent="0.35">
      <c r="A79" s="35">
        <f t="shared" ref="A79:H79" si="20">A77-A78</f>
        <v>0</v>
      </c>
      <c r="B79" s="35">
        <f t="shared" si="20"/>
        <v>0</v>
      </c>
      <c r="C79" s="35">
        <f t="shared" si="20"/>
        <v>0</v>
      </c>
      <c r="D79" s="35">
        <f t="shared" si="20"/>
        <v>0</v>
      </c>
      <c r="E79" s="35">
        <f t="shared" si="20"/>
        <v>0</v>
      </c>
      <c r="F79" s="35">
        <f t="shared" si="20"/>
        <v>0</v>
      </c>
      <c r="G79" s="35">
        <f t="shared" si="20"/>
        <v>0</v>
      </c>
      <c r="H79" s="35">
        <f t="shared" si="20"/>
        <v>0</v>
      </c>
      <c r="I79" s="16">
        <f>SUM(I73:I78)</f>
        <v>0</v>
      </c>
      <c r="K79" s="86">
        <f t="shared" ref="K79:V79" si="21">K77-K78</f>
        <v>0</v>
      </c>
      <c r="L79" s="86">
        <f t="shared" si="21"/>
        <v>0</v>
      </c>
      <c r="M79" s="86">
        <f t="shared" si="21"/>
        <v>0</v>
      </c>
      <c r="N79" s="86">
        <f t="shared" si="21"/>
        <v>0</v>
      </c>
      <c r="O79" s="86">
        <f t="shared" si="21"/>
        <v>0</v>
      </c>
      <c r="P79" s="86">
        <f t="shared" si="21"/>
        <v>0</v>
      </c>
      <c r="Q79" s="86">
        <f t="shared" si="21"/>
        <v>0</v>
      </c>
      <c r="R79" s="86">
        <f t="shared" si="21"/>
        <v>0</v>
      </c>
      <c r="S79" s="86">
        <f t="shared" si="21"/>
        <v>0</v>
      </c>
      <c r="T79" s="86">
        <f t="shared" si="21"/>
        <v>0</v>
      </c>
      <c r="U79" s="86">
        <f t="shared" si="21"/>
        <v>0</v>
      </c>
      <c r="V79" s="86">
        <f t="shared" si="21"/>
        <v>0</v>
      </c>
      <c r="W79" s="86">
        <f>W77-W78</f>
        <v>0</v>
      </c>
      <c r="X79" s="86">
        <f>X77-X78</f>
        <v>0</v>
      </c>
    </row>
    <row r="80" spans="1:24" ht="15" thickTop="1" x14ac:dyDescent="0.3"/>
    <row r="81" spans="1:24" ht="15" thickBot="1" x14ac:dyDescent="0.35"/>
    <row r="82" spans="1:24" x14ac:dyDescent="0.3">
      <c r="A82" s="17">
        <v>45497</v>
      </c>
      <c r="B82" s="17">
        <v>45498</v>
      </c>
      <c r="C82" s="17">
        <v>45499</v>
      </c>
      <c r="D82" s="17">
        <v>45500</v>
      </c>
      <c r="E82" s="17">
        <v>45501</v>
      </c>
      <c r="F82" s="17">
        <v>45502</v>
      </c>
      <c r="G82" s="17">
        <v>45503</v>
      </c>
      <c r="H82" s="17"/>
      <c r="I82" s="13"/>
      <c r="K82" s="59">
        <v>45497</v>
      </c>
      <c r="L82" s="59"/>
      <c r="M82" s="59">
        <v>45498</v>
      </c>
      <c r="N82" s="59"/>
      <c r="O82" s="59">
        <v>45499</v>
      </c>
      <c r="P82" s="59"/>
      <c r="Q82" s="59">
        <v>45500</v>
      </c>
      <c r="R82" s="59"/>
      <c r="S82" s="59">
        <v>45501</v>
      </c>
      <c r="T82" s="59"/>
      <c r="U82" s="59">
        <v>45502</v>
      </c>
      <c r="V82" s="59"/>
      <c r="W82" s="59">
        <v>45503</v>
      </c>
      <c r="X82" s="59"/>
    </row>
    <row r="83" spans="1:24" ht="15" thickBot="1" x14ac:dyDescent="0.35">
      <c r="A83" s="21">
        <v>1904.06</v>
      </c>
      <c r="B83" s="22">
        <v>1010</v>
      </c>
      <c r="C83" s="22">
        <v>1492.36</v>
      </c>
      <c r="D83" s="22">
        <v>1248.5899999999999</v>
      </c>
      <c r="E83" s="22">
        <v>330</v>
      </c>
      <c r="F83" s="22">
        <v>960</v>
      </c>
      <c r="G83" s="22">
        <v>1736.82</v>
      </c>
      <c r="H83" s="37"/>
      <c r="I83" s="15">
        <v>5596.18</v>
      </c>
      <c r="K83" s="124" t="s">
        <v>10</v>
      </c>
      <c r="L83" s="125" t="s">
        <v>11</v>
      </c>
      <c r="M83" s="126" t="s">
        <v>10</v>
      </c>
      <c r="N83" s="126" t="s">
        <v>11</v>
      </c>
      <c r="O83" s="126" t="s">
        <v>10</v>
      </c>
      <c r="P83" s="126" t="s">
        <v>11</v>
      </c>
      <c r="Q83" s="126" t="s">
        <v>10</v>
      </c>
      <c r="R83" s="126" t="s">
        <v>11</v>
      </c>
      <c r="S83" s="126" t="s">
        <v>10</v>
      </c>
      <c r="T83" s="126" t="s">
        <v>11</v>
      </c>
      <c r="U83" s="126" t="s">
        <v>10</v>
      </c>
      <c r="V83" s="126" t="s">
        <v>11</v>
      </c>
      <c r="W83" s="126" t="s">
        <v>10</v>
      </c>
      <c r="X83" s="126" t="s">
        <v>11</v>
      </c>
    </row>
    <row r="84" spans="1:24" x14ac:dyDescent="0.3">
      <c r="A84" s="24">
        <v>3240</v>
      </c>
      <c r="B84" s="22">
        <v>2230</v>
      </c>
      <c r="C84" s="22">
        <v>3505</v>
      </c>
      <c r="D84" s="22">
        <v>3285</v>
      </c>
      <c r="E84" s="25"/>
      <c r="F84" s="22">
        <v>2535</v>
      </c>
      <c r="G84" s="22">
        <v>2275</v>
      </c>
      <c r="H84" s="37"/>
      <c r="I84" s="15">
        <v>6000</v>
      </c>
      <c r="K84" s="75">
        <v>540</v>
      </c>
      <c r="L84" s="76">
        <v>60</v>
      </c>
      <c r="M84" s="77">
        <v>300</v>
      </c>
      <c r="N84" s="77">
        <v>50</v>
      </c>
      <c r="O84" s="77">
        <v>600</v>
      </c>
      <c r="P84" s="77">
        <v>57.5</v>
      </c>
      <c r="Q84" s="77">
        <v>1590</v>
      </c>
      <c r="R84" s="77">
        <v>57.5</v>
      </c>
      <c r="S84" s="78">
        <v>760</v>
      </c>
      <c r="T84" s="69">
        <v>15</v>
      </c>
      <c r="U84" s="63">
        <v>330</v>
      </c>
      <c r="V84" s="63">
        <v>57.5</v>
      </c>
      <c r="W84" s="63">
        <v>360</v>
      </c>
      <c r="X84" s="63">
        <v>60</v>
      </c>
    </row>
    <row r="85" spans="1:24" x14ac:dyDescent="0.3">
      <c r="A85" s="24">
        <v>965</v>
      </c>
      <c r="B85" s="22">
        <v>1736.82</v>
      </c>
      <c r="C85" s="22">
        <v>1020</v>
      </c>
      <c r="D85" s="26">
        <v>995</v>
      </c>
      <c r="E85" s="22"/>
      <c r="F85" s="22">
        <v>1492.36</v>
      </c>
      <c r="G85" s="22">
        <v>1120</v>
      </c>
      <c r="H85" s="37"/>
      <c r="I85" s="15">
        <v>2160</v>
      </c>
      <c r="K85" s="21">
        <v>2070</v>
      </c>
      <c r="L85" s="79">
        <v>60</v>
      </c>
      <c r="M85" s="80">
        <v>257</v>
      </c>
      <c r="N85" s="43">
        <v>468</v>
      </c>
      <c r="O85" s="43">
        <v>3410</v>
      </c>
      <c r="P85" s="43"/>
      <c r="Q85" s="80">
        <v>274</v>
      </c>
      <c r="R85" s="80"/>
      <c r="S85" s="43">
        <v>84</v>
      </c>
      <c r="T85" s="22"/>
      <c r="U85" s="22">
        <v>329</v>
      </c>
      <c r="V85" s="22">
        <v>409.5</v>
      </c>
      <c r="W85" s="22">
        <v>2490</v>
      </c>
      <c r="X85" s="22">
        <v>65</v>
      </c>
    </row>
    <row r="86" spans="1:24" x14ac:dyDescent="0.3">
      <c r="A86" s="24"/>
      <c r="B86" s="22"/>
      <c r="C86" s="22"/>
      <c r="D86" s="25"/>
      <c r="E86" s="22"/>
      <c r="F86" s="22"/>
      <c r="G86" s="22"/>
      <c r="H86" s="37"/>
      <c r="I86" s="15">
        <v>2340</v>
      </c>
      <c r="K86" s="21">
        <v>300</v>
      </c>
      <c r="L86" s="79">
        <v>370</v>
      </c>
      <c r="M86" s="81">
        <v>2510</v>
      </c>
      <c r="N86" s="43"/>
      <c r="O86" s="43">
        <v>396</v>
      </c>
      <c r="P86" s="43"/>
      <c r="Q86" s="80">
        <v>310</v>
      </c>
      <c r="R86" s="81"/>
      <c r="S86" s="43"/>
      <c r="T86" s="22"/>
      <c r="U86" s="22">
        <v>3210</v>
      </c>
      <c r="V86" s="22">
        <v>60</v>
      </c>
      <c r="W86" s="22">
        <v>260</v>
      </c>
      <c r="X86" s="22"/>
    </row>
    <row r="87" spans="1:24" x14ac:dyDescent="0.3">
      <c r="A87" s="129"/>
      <c r="B87" s="22"/>
      <c r="C87" s="22"/>
      <c r="D87" s="22"/>
      <c r="E87" s="22"/>
      <c r="F87" s="22"/>
      <c r="G87" s="22"/>
      <c r="H87" s="37"/>
      <c r="I87" s="15">
        <v>4245.6000000000004</v>
      </c>
      <c r="K87" s="21">
        <v>360</v>
      </c>
      <c r="L87" s="79"/>
      <c r="M87" s="43">
        <v>480</v>
      </c>
      <c r="N87" s="43"/>
      <c r="O87" s="43">
        <v>450</v>
      </c>
      <c r="P87" s="43"/>
      <c r="Q87" s="43">
        <v>28</v>
      </c>
      <c r="R87" s="43"/>
      <c r="S87" s="43"/>
      <c r="T87" s="22"/>
      <c r="U87" s="22">
        <v>600</v>
      </c>
      <c r="V87" s="22"/>
      <c r="W87" s="22">
        <v>300</v>
      </c>
      <c r="X87" s="22"/>
    </row>
    <row r="88" spans="1:24" x14ac:dyDescent="0.3">
      <c r="A88" s="24"/>
      <c r="B88" s="22"/>
      <c r="C88" s="22"/>
      <c r="D88" s="22"/>
      <c r="E88" s="22"/>
      <c r="F88" s="22"/>
      <c r="G88" s="22"/>
      <c r="I88" s="15">
        <v>244.46</v>
      </c>
      <c r="K88" s="128"/>
      <c r="L88" s="79"/>
      <c r="M88" s="43"/>
      <c r="N88" s="43"/>
      <c r="O88" s="43"/>
      <c r="P88" s="43"/>
      <c r="Q88" s="43"/>
      <c r="R88" s="43"/>
      <c r="S88" s="43"/>
      <c r="T88" s="22"/>
      <c r="U88" s="22"/>
      <c r="V88" s="22"/>
      <c r="W88" s="22"/>
      <c r="X88" s="22"/>
    </row>
    <row r="89" spans="1:24" ht="15" thickBot="1" x14ac:dyDescent="0.35">
      <c r="A89" s="24"/>
      <c r="B89" s="22"/>
      <c r="C89" s="22"/>
      <c r="D89" s="22"/>
      <c r="E89" s="22"/>
      <c r="F89" s="22"/>
      <c r="G89" s="22"/>
      <c r="H89" s="37"/>
      <c r="I89" s="16">
        <f>SUM(I82:I88)</f>
        <v>20586.239999999998</v>
      </c>
      <c r="K89" s="21"/>
      <c r="L89" s="79"/>
      <c r="M89" s="43"/>
      <c r="N89" s="43"/>
      <c r="O89" s="43"/>
      <c r="P89" s="43"/>
      <c r="Q89" s="43"/>
      <c r="R89" s="43"/>
      <c r="S89" s="43"/>
      <c r="T89" s="22"/>
      <c r="U89" s="22"/>
      <c r="V89" s="22"/>
      <c r="W89" s="22"/>
      <c r="X89" s="22"/>
    </row>
    <row r="90" spans="1:24" ht="15" thickTop="1" x14ac:dyDescent="0.3">
      <c r="A90" s="24"/>
      <c r="B90" s="22"/>
      <c r="C90" s="22"/>
      <c r="D90" s="22"/>
      <c r="E90" s="22"/>
      <c r="F90" s="22"/>
      <c r="G90" s="22"/>
      <c r="H90" s="22"/>
      <c r="I90" s="40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3">
      <c r="A91" s="24"/>
      <c r="B91" s="22"/>
      <c r="C91" s="22"/>
      <c r="D91" s="22"/>
      <c r="E91" s="22"/>
      <c r="F91" s="22"/>
      <c r="G91" s="22"/>
      <c r="H91" s="22"/>
      <c r="I91" s="27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3">
      <c r="A92" s="24"/>
      <c r="B92" s="22"/>
      <c r="C92" s="22"/>
      <c r="D92" s="22"/>
      <c r="E92" s="22"/>
      <c r="F92" s="22"/>
      <c r="G92" s="22"/>
      <c r="H92" s="22"/>
      <c r="I92" s="27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3">
      <c r="A93" s="24"/>
      <c r="B93" s="22"/>
      <c r="C93" s="22"/>
      <c r="D93" s="22"/>
      <c r="E93" s="22"/>
      <c r="F93" s="22"/>
      <c r="G93" s="22"/>
      <c r="H93" s="22"/>
      <c r="I93" s="23"/>
      <c r="K93" s="24"/>
      <c r="L93" s="56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3">
      <c r="A94" s="24"/>
      <c r="B94" s="22"/>
      <c r="C94" s="22"/>
      <c r="D94" s="22"/>
      <c r="E94" s="22"/>
      <c r="F94" s="22"/>
      <c r="G94" s="22"/>
      <c r="H94" s="22"/>
      <c r="I94" s="23"/>
      <c r="K94" s="24"/>
      <c r="L94" s="56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3">
      <c r="A95" s="24"/>
      <c r="B95" s="22"/>
      <c r="C95" s="22"/>
      <c r="D95" s="22"/>
      <c r="E95" s="22"/>
      <c r="F95" s="22"/>
      <c r="G95" s="22"/>
      <c r="H95" s="22"/>
      <c r="I95" s="23"/>
      <c r="K95" s="24"/>
      <c r="L95" s="56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3">
      <c r="A96" s="24"/>
      <c r="B96" s="22"/>
      <c r="C96" s="22"/>
      <c r="D96" s="22"/>
      <c r="E96" s="22"/>
      <c r="F96" s="22"/>
      <c r="G96" s="22"/>
      <c r="H96" s="22"/>
      <c r="I96" s="23"/>
      <c r="K96" s="24"/>
      <c r="L96" s="56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3">
      <c r="A97" s="24">
        <v>6109.06</v>
      </c>
      <c r="B97" s="24">
        <f t="shared" ref="B97:G97" si="22">SUM(B83:B96)</f>
        <v>4976.82</v>
      </c>
      <c r="C97" s="24">
        <f t="shared" si="22"/>
        <v>6017.36</v>
      </c>
      <c r="D97" s="24">
        <f t="shared" si="22"/>
        <v>5528.59</v>
      </c>
      <c r="E97" s="24">
        <f t="shared" si="22"/>
        <v>330</v>
      </c>
      <c r="F97" s="24">
        <f t="shared" si="22"/>
        <v>4987.3599999999997</v>
      </c>
      <c r="G97" s="24">
        <f t="shared" si="22"/>
        <v>5131.82</v>
      </c>
      <c r="H97" s="29">
        <f>SUM(A97:G97)+I89</f>
        <v>53667.25</v>
      </c>
      <c r="I97" s="30" t="s">
        <v>7</v>
      </c>
      <c r="K97" s="24">
        <f t="shared" ref="K97:X97" si="23">SUM(K84:K96)</f>
        <v>3270</v>
      </c>
      <c r="L97" s="24">
        <f t="shared" si="23"/>
        <v>490</v>
      </c>
      <c r="M97" s="24">
        <f t="shared" si="23"/>
        <v>3547</v>
      </c>
      <c r="N97" s="24">
        <f t="shared" si="23"/>
        <v>518</v>
      </c>
      <c r="O97" s="24">
        <f t="shared" si="23"/>
        <v>4856</v>
      </c>
      <c r="P97" s="24">
        <f t="shared" si="23"/>
        <v>57.5</v>
      </c>
      <c r="Q97" s="24">
        <f t="shared" si="23"/>
        <v>2202</v>
      </c>
      <c r="R97" s="24">
        <f t="shared" si="23"/>
        <v>57.5</v>
      </c>
      <c r="S97" s="24">
        <f t="shared" si="23"/>
        <v>844</v>
      </c>
      <c r="T97" s="24">
        <f t="shared" si="23"/>
        <v>15</v>
      </c>
      <c r="U97" s="24">
        <f t="shared" si="23"/>
        <v>4469</v>
      </c>
      <c r="V97" s="24">
        <f t="shared" si="23"/>
        <v>527</v>
      </c>
      <c r="W97" s="24">
        <f t="shared" si="23"/>
        <v>3410</v>
      </c>
      <c r="X97" s="24">
        <f t="shared" si="23"/>
        <v>125</v>
      </c>
    </row>
    <row r="98" spans="1:24" x14ac:dyDescent="0.3">
      <c r="A98" s="24">
        <v>6109.06</v>
      </c>
      <c r="B98" s="24">
        <v>4976.82</v>
      </c>
      <c r="C98" s="24">
        <v>6017.36</v>
      </c>
      <c r="D98" s="24">
        <v>5528.59</v>
      </c>
      <c r="E98" s="24">
        <v>330</v>
      </c>
      <c r="F98" s="24">
        <v>4987.3599999999997</v>
      </c>
      <c r="G98" s="24">
        <v>5131.82</v>
      </c>
      <c r="H98" s="22">
        <f>SUM(A98:G98)+I89</f>
        <v>53667.25</v>
      </c>
      <c r="I98" s="33" t="s">
        <v>1</v>
      </c>
      <c r="K98" s="24">
        <v>3270</v>
      </c>
      <c r="L98" s="24">
        <v>490</v>
      </c>
      <c r="M98" s="24">
        <v>3547</v>
      </c>
      <c r="N98" s="24">
        <v>518</v>
      </c>
      <c r="O98" s="24">
        <v>4856</v>
      </c>
      <c r="P98" s="24">
        <v>57.5</v>
      </c>
      <c r="Q98" s="24">
        <v>2202</v>
      </c>
      <c r="R98" s="24">
        <v>57.5</v>
      </c>
      <c r="S98" s="24">
        <v>844</v>
      </c>
      <c r="T98" s="24">
        <v>15</v>
      </c>
      <c r="U98" s="24">
        <v>4469</v>
      </c>
      <c r="V98" s="24">
        <v>527</v>
      </c>
      <c r="W98" s="24">
        <v>3410</v>
      </c>
      <c r="X98" s="24">
        <v>125</v>
      </c>
    </row>
    <row r="99" spans="1:24" ht="15" thickBot="1" x14ac:dyDescent="0.35">
      <c r="A99" s="35">
        <f t="shared" ref="A99:H99" si="24">A97-A98</f>
        <v>0</v>
      </c>
      <c r="B99" s="35">
        <f t="shared" si="24"/>
        <v>0</v>
      </c>
      <c r="C99" s="35">
        <f t="shared" si="24"/>
        <v>0</v>
      </c>
      <c r="D99" s="35">
        <f t="shared" si="24"/>
        <v>0</v>
      </c>
      <c r="E99" s="35">
        <f t="shared" si="24"/>
        <v>0</v>
      </c>
      <c r="F99" s="35">
        <f t="shared" si="24"/>
        <v>0</v>
      </c>
      <c r="G99" s="35">
        <f t="shared" si="24"/>
        <v>0</v>
      </c>
      <c r="H99" s="35">
        <f t="shared" si="24"/>
        <v>0</v>
      </c>
      <c r="I99" s="16">
        <f>SUM(I93:I98)</f>
        <v>0</v>
      </c>
      <c r="K99" s="86">
        <f t="shared" ref="K99:V99" si="25">K97-K98</f>
        <v>0</v>
      </c>
      <c r="L99" s="86">
        <f t="shared" si="25"/>
        <v>0</v>
      </c>
      <c r="M99" s="86">
        <f t="shared" si="25"/>
        <v>0</v>
      </c>
      <c r="N99" s="86">
        <f t="shared" si="25"/>
        <v>0</v>
      </c>
      <c r="O99" s="86">
        <f t="shared" si="25"/>
        <v>0</v>
      </c>
      <c r="P99" s="86">
        <f t="shared" si="25"/>
        <v>0</v>
      </c>
      <c r="Q99" s="86">
        <f t="shared" si="25"/>
        <v>0</v>
      </c>
      <c r="R99" s="86">
        <f t="shared" si="25"/>
        <v>0</v>
      </c>
      <c r="S99" s="86">
        <f t="shared" si="25"/>
        <v>0</v>
      </c>
      <c r="T99" s="86">
        <f t="shared" si="25"/>
        <v>0</v>
      </c>
      <c r="U99" s="86">
        <f t="shared" si="25"/>
        <v>0</v>
      </c>
      <c r="V99" s="86">
        <f t="shared" si="25"/>
        <v>0</v>
      </c>
      <c r="W99" s="86">
        <f>W97-W98</f>
        <v>0</v>
      </c>
      <c r="X99" s="86">
        <f>X97-X98</f>
        <v>0</v>
      </c>
    </row>
    <row r="100" spans="1:24" ht="15" thickTop="1" x14ac:dyDescent="0.3"/>
    <row r="101" spans="1:24" ht="15" thickBot="1" x14ac:dyDescent="0.35">
      <c r="A101" t="s">
        <v>50</v>
      </c>
    </row>
    <row r="102" spans="1:24" x14ac:dyDescent="0.3">
      <c r="A102" s="17">
        <v>45504</v>
      </c>
      <c r="B102" s="17">
        <v>45505</v>
      </c>
      <c r="C102" s="17">
        <v>45506</v>
      </c>
      <c r="D102" s="17">
        <v>45507</v>
      </c>
      <c r="E102" s="17">
        <v>45508</v>
      </c>
      <c r="F102" s="17">
        <v>45509</v>
      </c>
      <c r="G102" s="17">
        <v>45510</v>
      </c>
      <c r="H102" s="17"/>
      <c r="I102" s="13"/>
      <c r="K102" s="59">
        <v>45504</v>
      </c>
      <c r="L102" s="59"/>
      <c r="M102" s="59">
        <v>45505</v>
      </c>
      <c r="N102" s="59"/>
      <c r="O102" s="59">
        <v>45506</v>
      </c>
      <c r="P102" s="59"/>
      <c r="Q102" s="59">
        <v>45507</v>
      </c>
      <c r="R102" s="59"/>
      <c r="S102" s="59">
        <v>45508</v>
      </c>
      <c r="T102" s="59"/>
      <c r="U102" s="59">
        <v>45509</v>
      </c>
      <c r="V102" s="59"/>
      <c r="W102" s="59">
        <v>45510</v>
      </c>
      <c r="X102" s="59"/>
    </row>
    <row r="103" spans="1:24" ht="15" thickBot="1" x14ac:dyDescent="0.35">
      <c r="A103" s="21">
        <v>860</v>
      </c>
      <c r="B103" s="22">
        <v>1826.84</v>
      </c>
      <c r="C103" s="22">
        <v>1060</v>
      </c>
      <c r="D103" s="22">
        <v>1145</v>
      </c>
      <c r="E103" s="22">
        <v>450</v>
      </c>
      <c r="F103" s="22">
        <v>2039.09</v>
      </c>
      <c r="G103" s="22">
        <v>1365</v>
      </c>
      <c r="H103" s="37"/>
      <c r="I103" s="15">
        <v>6000</v>
      </c>
      <c r="K103" s="124" t="s">
        <v>10</v>
      </c>
      <c r="L103" s="125" t="s">
        <v>11</v>
      </c>
      <c r="M103" s="126" t="s">
        <v>10</v>
      </c>
      <c r="N103" s="126" t="s">
        <v>11</v>
      </c>
      <c r="O103" s="126" t="s">
        <v>10</v>
      </c>
      <c r="P103" s="126" t="s">
        <v>11</v>
      </c>
      <c r="Q103" s="126" t="s">
        <v>10</v>
      </c>
      <c r="R103" s="126" t="s">
        <v>11</v>
      </c>
      <c r="S103" s="126" t="s">
        <v>10</v>
      </c>
      <c r="T103" s="126" t="s">
        <v>11</v>
      </c>
      <c r="U103" s="126" t="s">
        <v>10</v>
      </c>
      <c r="V103" s="126" t="s">
        <v>11</v>
      </c>
      <c r="W103" s="126" t="s">
        <v>10</v>
      </c>
      <c r="X103" s="126" t="s">
        <v>11</v>
      </c>
    </row>
    <row r="104" spans="1:24" x14ac:dyDescent="0.3">
      <c r="A104" s="21">
        <v>3155</v>
      </c>
      <c r="B104" s="22">
        <v>2815</v>
      </c>
      <c r="C104" s="22">
        <v>3145</v>
      </c>
      <c r="D104" s="22">
        <v>830</v>
      </c>
      <c r="E104" s="25"/>
      <c r="F104" s="22">
        <v>3225</v>
      </c>
      <c r="G104" s="22">
        <v>2035</v>
      </c>
      <c r="H104" s="37"/>
      <c r="I104" s="15">
        <v>2442.5</v>
      </c>
      <c r="K104" s="75">
        <v>450</v>
      </c>
      <c r="L104" s="76">
        <v>912</v>
      </c>
      <c r="M104" s="77">
        <v>240</v>
      </c>
      <c r="N104" s="77">
        <v>382.5</v>
      </c>
      <c r="O104" s="77">
        <v>358</v>
      </c>
      <c r="P104" s="77">
        <v>57.5</v>
      </c>
      <c r="Q104" s="77">
        <v>78</v>
      </c>
      <c r="R104" s="77">
        <v>15</v>
      </c>
      <c r="S104" s="78"/>
      <c r="T104" s="69"/>
      <c r="U104" s="63">
        <v>420</v>
      </c>
      <c r="V104" s="63">
        <v>409.5</v>
      </c>
      <c r="W104" s="63">
        <v>360</v>
      </c>
      <c r="X104" s="63">
        <v>65</v>
      </c>
    </row>
    <row r="105" spans="1:24" x14ac:dyDescent="0.3">
      <c r="A105" s="21">
        <v>2148.52</v>
      </c>
      <c r="B105" s="22">
        <v>955</v>
      </c>
      <c r="C105" s="22">
        <v>1981.28</v>
      </c>
      <c r="D105" s="26">
        <v>823.4</v>
      </c>
      <c r="E105" s="22"/>
      <c r="F105" s="22">
        <v>920</v>
      </c>
      <c r="G105" s="22">
        <v>2071.3000000000002</v>
      </c>
      <c r="H105" s="37"/>
      <c r="I105" s="15">
        <v>2730</v>
      </c>
      <c r="K105" s="21">
        <v>318</v>
      </c>
      <c r="L105" s="79">
        <v>17.5</v>
      </c>
      <c r="M105" s="80">
        <v>2240</v>
      </c>
      <c r="N105" s="43"/>
      <c r="O105" s="43">
        <v>370</v>
      </c>
      <c r="P105" s="43">
        <v>1000</v>
      </c>
      <c r="Q105" s="80">
        <v>590</v>
      </c>
      <c r="R105" s="80"/>
      <c r="S105" s="43"/>
      <c r="T105" s="22"/>
      <c r="U105" s="22">
        <v>3220</v>
      </c>
      <c r="V105" s="22">
        <v>57.5</v>
      </c>
      <c r="W105" s="22">
        <v>260</v>
      </c>
      <c r="X105" s="22">
        <v>79.2</v>
      </c>
    </row>
    <row r="106" spans="1:24" x14ac:dyDescent="0.3">
      <c r="A106" s="21"/>
      <c r="B106" s="22"/>
      <c r="C106" s="22"/>
      <c r="D106" s="25"/>
      <c r="E106" s="22"/>
      <c r="F106" s="22"/>
      <c r="G106" s="22"/>
      <c r="H106" s="37"/>
      <c r="I106" s="15">
        <v>5596.18</v>
      </c>
      <c r="K106" s="21">
        <v>2300</v>
      </c>
      <c r="L106" s="79">
        <v>60</v>
      </c>
      <c r="M106" s="81">
        <v>271</v>
      </c>
      <c r="N106" s="43"/>
      <c r="O106" s="43">
        <v>3000</v>
      </c>
      <c r="P106" s="43"/>
      <c r="Q106" s="80"/>
      <c r="R106" s="81"/>
      <c r="S106" s="43"/>
      <c r="T106" s="22"/>
      <c r="U106" s="22">
        <v>413</v>
      </c>
      <c r="V106" s="22"/>
      <c r="W106" s="22">
        <v>2690</v>
      </c>
      <c r="X106" s="22">
        <v>1200</v>
      </c>
    </row>
    <row r="107" spans="1:24" x14ac:dyDescent="0.3">
      <c r="A107" s="21"/>
      <c r="B107" s="22"/>
      <c r="C107" s="22"/>
      <c r="D107" s="22"/>
      <c r="E107" s="22"/>
      <c r="F107" s="22"/>
      <c r="G107" s="22"/>
      <c r="H107" s="37"/>
      <c r="I107" s="15">
        <v>578.94000000000005</v>
      </c>
      <c r="K107" s="21">
        <v>300</v>
      </c>
      <c r="L107" s="79"/>
      <c r="M107" s="43">
        <v>330</v>
      </c>
      <c r="N107" s="43"/>
      <c r="O107" s="43">
        <v>360</v>
      </c>
      <c r="P107" s="43"/>
      <c r="Q107" s="43"/>
      <c r="R107" s="43"/>
      <c r="S107" s="43"/>
      <c r="T107" s="22"/>
      <c r="U107" s="22">
        <v>400</v>
      </c>
      <c r="V107" s="22"/>
      <c r="W107" s="22">
        <v>240</v>
      </c>
      <c r="X107" s="22"/>
    </row>
    <row r="108" spans="1:24" x14ac:dyDescent="0.3">
      <c r="A108" s="21"/>
      <c r="B108" s="22"/>
      <c r="C108" s="22"/>
      <c r="D108" s="22"/>
      <c r="E108" s="22"/>
      <c r="F108" s="22"/>
      <c r="G108" s="22"/>
      <c r="I108" s="15">
        <v>4245.6000000000004</v>
      </c>
      <c r="K108" s="128"/>
      <c r="L108" s="79"/>
      <c r="M108" s="43"/>
      <c r="N108" s="43"/>
      <c r="O108" s="43"/>
      <c r="P108" s="43"/>
      <c r="Q108" s="43"/>
      <c r="R108" s="43"/>
      <c r="S108" s="43"/>
      <c r="T108" s="22"/>
      <c r="U108" s="22"/>
      <c r="V108" s="22"/>
      <c r="W108" s="22"/>
      <c r="X108" s="22"/>
    </row>
    <row r="109" spans="1:24" ht="15" thickBot="1" x14ac:dyDescent="0.35">
      <c r="A109" s="21"/>
      <c r="B109" s="22"/>
      <c r="C109" s="22"/>
      <c r="D109" s="22"/>
      <c r="E109" s="22"/>
      <c r="F109" s="22"/>
      <c r="G109" s="22"/>
      <c r="H109" s="37"/>
      <c r="I109" s="16">
        <f>SUM(I102:I108)</f>
        <v>21593.22</v>
      </c>
      <c r="K109" s="21"/>
      <c r="L109" s="79"/>
      <c r="M109" s="43"/>
      <c r="N109" s="43"/>
      <c r="O109" s="43"/>
      <c r="P109" s="43"/>
      <c r="Q109" s="43"/>
      <c r="R109" s="43"/>
      <c r="S109" s="43"/>
      <c r="T109" s="22"/>
      <c r="U109" s="22"/>
      <c r="V109" s="22"/>
      <c r="W109" s="22"/>
      <c r="X109" s="22"/>
    </row>
    <row r="110" spans="1:24" ht="15" thickTop="1" x14ac:dyDescent="0.3">
      <c r="A110" s="21"/>
      <c r="B110" s="22"/>
      <c r="C110" s="22"/>
      <c r="D110" s="22"/>
      <c r="E110" s="22"/>
      <c r="F110" s="22"/>
      <c r="G110" s="22"/>
      <c r="H110" s="22"/>
      <c r="I110" s="40"/>
      <c r="K110" s="24"/>
      <c r="L110" s="56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3">
      <c r="A111" s="21"/>
      <c r="B111" s="22"/>
      <c r="C111" s="22"/>
      <c r="D111" s="22"/>
      <c r="E111" s="22"/>
      <c r="F111" s="22"/>
      <c r="G111" s="22"/>
      <c r="H111" s="22"/>
      <c r="I111" s="27"/>
      <c r="K111" s="24"/>
      <c r="L111" s="56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3">
      <c r="A112" s="21"/>
      <c r="B112" s="22"/>
      <c r="C112" s="22"/>
      <c r="D112" s="22"/>
      <c r="E112" s="22"/>
      <c r="F112" s="22"/>
      <c r="G112" s="22"/>
      <c r="H112" s="22"/>
      <c r="I112" s="27"/>
      <c r="K112" s="24"/>
      <c r="L112" s="56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3">
      <c r="A113" s="21"/>
      <c r="B113" s="22"/>
      <c r="C113" s="22"/>
      <c r="D113" s="22"/>
      <c r="E113" s="22"/>
      <c r="F113" s="22"/>
      <c r="G113" s="22"/>
      <c r="H113" s="22"/>
      <c r="I113" s="23"/>
      <c r="K113" s="24"/>
      <c r="L113" s="56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3">
      <c r="A114" s="21"/>
      <c r="B114" s="22"/>
      <c r="C114" s="22"/>
      <c r="D114" s="22"/>
      <c r="E114" s="22"/>
      <c r="F114" s="22"/>
      <c r="G114" s="22"/>
      <c r="H114" s="22"/>
      <c r="I114" s="23"/>
      <c r="K114" s="24"/>
      <c r="L114" s="56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3">
      <c r="A115" s="21"/>
      <c r="B115" s="22"/>
      <c r="C115" s="22"/>
      <c r="D115" s="22"/>
      <c r="E115" s="22"/>
      <c r="F115" s="22"/>
      <c r="G115" s="22"/>
      <c r="H115" s="22"/>
      <c r="I115" s="23"/>
      <c r="K115" s="24"/>
      <c r="L115" s="56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3">
      <c r="A116" s="24"/>
      <c r="B116" s="22"/>
      <c r="C116" s="22"/>
      <c r="D116" s="22"/>
      <c r="E116" s="22"/>
      <c r="F116" s="22"/>
      <c r="G116" s="22"/>
      <c r="H116" s="22"/>
      <c r="I116" s="23"/>
      <c r="K116" s="24"/>
      <c r="L116" s="56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3">
      <c r="A117" s="24">
        <f t="shared" ref="A117:G117" si="26">SUM(A103:A116)</f>
        <v>6163.52</v>
      </c>
      <c r="B117" s="24">
        <f t="shared" si="26"/>
        <v>5596.84</v>
      </c>
      <c r="C117" s="24">
        <f t="shared" si="26"/>
        <v>6186.28</v>
      </c>
      <c r="D117" s="24">
        <f t="shared" si="26"/>
        <v>2798.4</v>
      </c>
      <c r="E117" s="24">
        <f t="shared" si="26"/>
        <v>450</v>
      </c>
      <c r="F117" s="24">
        <f t="shared" si="26"/>
        <v>6184.09</v>
      </c>
      <c r="G117" s="24">
        <f t="shared" si="26"/>
        <v>5471.3</v>
      </c>
      <c r="H117" s="29">
        <f>SUM(A117:G117)+I109</f>
        <v>54443.65</v>
      </c>
      <c r="I117" s="30" t="s">
        <v>7</v>
      </c>
      <c r="K117" s="24">
        <f t="shared" ref="K117:X118" si="27">SUM(K104:K116)</f>
        <v>3368</v>
      </c>
      <c r="L117" s="24">
        <f t="shared" si="27"/>
        <v>989.5</v>
      </c>
      <c r="M117" s="24">
        <f t="shared" si="27"/>
        <v>3081</v>
      </c>
      <c r="N117" s="24">
        <f t="shared" si="27"/>
        <v>382.5</v>
      </c>
      <c r="O117" s="24">
        <f t="shared" si="27"/>
        <v>4088</v>
      </c>
      <c r="P117" s="24">
        <f t="shared" si="27"/>
        <v>1057.5</v>
      </c>
      <c r="Q117" s="24">
        <f t="shared" si="27"/>
        <v>668</v>
      </c>
      <c r="R117" s="24">
        <f t="shared" si="27"/>
        <v>15</v>
      </c>
      <c r="S117" s="24">
        <f t="shared" si="27"/>
        <v>0</v>
      </c>
      <c r="T117" s="24">
        <f t="shared" si="27"/>
        <v>0</v>
      </c>
      <c r="U117" s="24">
        <f t="shared" si="27"/>
        <v>4453</v>
      </c>
      <c r="V117" s="24">
        <f t="shared" si="27"/>
        <v>467</v>
      </c>
      <c r="W117" s="24">
        <f t="shared" si="27"/>
        <v>3550</v>
      </c>
      <c r="X117" s="24">
        <f t="shared" si="27"/>
        <v>1344.2</v>
      </c>
    </row>
    <row r="118" spans="1:24" x14ac:dyDescent="0.3">
      <c r="A118" s="24">
        <v>6163.52</v>
      </c>
      <c r="B118" s="24">
        <v>5596.84</v>
      </c>
      <c r="C118" s="24">
        <v>6186.28</v>
      </c>
      <c r="D118" s="24">
        <v>2798.4</v>
      </c>
      <c r="E118" s="24">
        <v>450</v>
      </c>
      <c r="F118" s="24">
        <v>6184.09</v>
      </c>
      <c r="G118" s="24">
        <v>5471.3</v>
      </c>
      <c r="H118" s="22">
        <f>SUM(A118:G118)+I109</f>
        <v>54443.65</v>
      </c>
      <c r="I118" s="33" t="s">
        <v>1</v>
      </c>
      <c r="K118" s="24">
        <v>3368</v>
      </c>
      <c r="L118" s="24">
        <v>989.5</v>
      </c>
      <c r="M118" s="24">
        <v>3081</v>
      </c>
      <c r="N118" s="24">
        <v>382.5</v>
      </c>
      <c r="O118" s="24">
        <v>4088</v>
      </c>
      <c r="P118" s="24">
        <v>1057.5</v>
      </c>
      <c r="Q118" s="24">
        <v>668</v>
      </c>
      <c r="R118" s="24">
        <v>15</v>
      </c>
      <c r="S118" s="24">
        <f t="shared" si="27"/>
        <v>0</v>
      </c>
      <c r="T118" s="24">
        <f t="shared" si="27"/>
        <v>0</v>
      </c>
      <c r="U118" s="24">
        <v>4453</v>
      </c>
      <c r="V118" s="24">
        <v>467</v>
      </c>
      <c r="W118" s="24">
        <v>3550</v>
      </c>
      <c r="X118" s="24">
        <v>1344.2</v>
      </c>
    </row>
    <row r="119" spans="1:24" ht="15" thickBot="1" x14ac:dyDescent="0.35">
      <c r="A119" s="35">
        <f t="shared" ref="A119" si="28">A117-A118</f>
        <v>0</v>
      </c>
      <c r="B119" s="35">
        <f t="shared" ref="B119:H119" si="29">B117-B118</f>
        <v>0</v>
      </c>
      <c r="C119" s="35">
        <f t="shared" si="29"/>
        <v>0</v>
      </c>
      <c r="D119" s="35">
        <f t="shared" si="29"/>
        <v>0</v>
      </c>
      <c r="E119" s="35">
        <f t="shared" si="29"/>
        <v>0</v>
      </c>
      <c r="F119" s="35">
        <f t="shared" si="29"/>
        <v>0</v>
      </c>
      <c r="G119" s="35">
        <f t="shared" si="29"/>
        <v>0</v>
      </c>
      <c r="H119" s="35">
        <f t="shared" si="29"/>
        <v>0</v>
      </c>
      <c r="I119" s="16">
        <f>SUM(I113:I118)</f>
        <v>0</v>
      </c>
      <c r="K119" s="86">
        <f t="shared" ref="K119:V119" si="30">K117-K118</f>
        <v>0</v>
      </c>
      <c r="L119" s="86">
        <f t="shared" si="30"/>
        <v>0</v>
      </c>
      <c r="M119" s="86">
        <f t="shared" si="30"/>
        <v>0</v>
      </c>
      <c r="N119" s="86">
        <f t="shared" si="30"/>
        <v>0</v>
      </c>
      <c r="O119" s="86">
        <f t="shared" si="30"/>
        <v>0</v>
      </c>
      <c r="P119" s="86">
        <f t="shared" si="30"/>
        <v>0</v>
      </c>
      <c r="Q119" s="86">
        <f t="shared" si="30"/>
        <v>0</v>
      </c>
      <c r="R119" s="86">
        <f t="shared" si="30"/>
        <v>0</v>
      </c>
      <c r="S119" s="86">
        <f t="shared" si="30"/>
        <v>0</v>
      </c>
      <c r="T119" s="86">
        <f t="shared" si="30"/>
        <v>0</v>
      </c>
      <c r="U119" s="86">
        <f t="shared" si="30"/>
        <v>0</v>
      </c>
      <c r="V119" s="86">
        <f t="shared" si="30"/>
        <v>0</v>
      </c>
      <c r="W119" s="86">
        <f>W117-W118</f>
        <v>0</v>
      </c>
      <c r="X119" s="86">
        <f>X117-X118</f>
        <v>0</v>
      </c>
    </row>
    <row r="120" spans="1:24" ht="15" thickTop="1" x14ac:dyDescent="0.3"/>
    <row r="121" spans="1:24" ht="15" thickBot="1" x14ac:dyDescent="0.35"/>
    <row r="122" spans="1:24" x14ac:dyDescent="0.3">
      <c r="A122" s="17">
        <v>45511</v>
      </c>
      <c r="B122" s="17">
        <v>45512</v>
      </c>
      <c r="C122" s="17">
        <v>45513</v>
      </c>
      <c r="D122" s="17">
        <v>45514</v>
      </c>
      <c r="E122" s="17">
        <v>45515</v>
      </c>
      <c r="F122" s="17">
        <v>45516</v>
      </c>
      <c r="G122" s="17">
        <v>45517</v>
      </c>
      <c r="H122" s="17"/>
      <c r="I122" s="13"/>
      <c r="K122" s="59" t="s">
        <v>51</v>
      </c>
      <c r="L122" s="59"/>
      <c r="M122" s="59">
        <v>45512</v>
      </c>
      <c r="N122" s="59"/>
      <c r="O122" s="59">
        <v>45513</v>
      </c>
      <c r="P122" s="59"/>
      <c r="Q122" s="59">
        <v>45514</v>
      </c>
      <c r="R122" s="59"/>
      <c r="S122" s="59">
        <v>45515</v>
      </c>
      <c r="T122" s="59"/>
      <c r="U122" s="59">
        <v>45516</v>
      </c>
      <c r="V122" s="59"/>
      <c r="W122" s="59">
        <v>45517</v>
      </c>
      <c r="X122" s="59"/>
    </row>
    <row r="123" spans="1:24" ht="15" thickBot="1" x14ac:dyDescent="0.35">
      <c r="A123" s="21">
        <v>1090</v>
      </c>
      <c r="B123" s="22">
        <v>2148.52</v>
      </c>
      <c r="C123" s="22">
        <v>2795</v>
      </c>
      <c r="D123" s="22">
        <v>1248.5899999999999</v>
      </c>
      <c r="E123" s="22">
        <v>330</v>
      </c>
      <c r="F123" s="22">
        <v>980</v>
      </c>
      <c r="G123" s="22">
        <v>1949.07</v>
      </c>
      <c r="H123" s="37"/>
      <c r="I123" s="15">
        <v>1646.8</v>
      </c>
      <c r="K123" s="124" t="s">
        <v>10</v>
      </c>
      <c r="L123" s="125" t="s">
        <v>11</v>
      </c>
      <c r="M123" s="126" t="s">
        <v>10</v>
      </c>
      <c r="N123" s="126" t="s">
        <v>11</v>
      </c>
      <c r="O123" s="126" t="s">
        <v>10</v>
      </c>
      <c r="P123" s="126" t="s">
        <v>11</v>
      </c>
      <c r="Q123" s="126" t="s">
        <v>10</v>
      </c>
      <c r="R123" s="126" t="s">
        <v>11</v>
      </c>
      <c r="S123" s="126" t="s">
        <v>10</v>
      </c>
      <c r="T123" s="126" t="s">
        <v>11</v>
      </c>
      <c r="U123" s="126" t="s">
        <v>10</v>
      </c>
      <c r="V123" s="126" t="s">
        <v>11</v>
      </c>
      <c r="W123" s="126" t="s">
        <v>10</v>
      </c>
      <c r="X123" s="126" t="s">
        <v>11</v>
      </c>
    </row>
    <row r="124" spans="1:24" x14ac:dyDescent="0.3">
      <c r="A124" s="21">
        <v>2835</v>
      </c>
      <c r="B124" s="22">
        <v>2295</v>
      </c>
      <c r="C124" s="22">
        <v>980</v>
      </c>
      <c r="D124" s="22">
        <v>1465</v>
      </c>
      <c r="E124" s="25"/>
      <c r="F124" s="22">
        <v>2490</v>
      </c>
      <c r="G124" s="22">
        <v>2455</v>
      </c>
      <c r="H124" s="37"/>
      <c r="I124" s="15">
        <v>6262.9</v>
      </c>
      <c r="K124" s="75">
        <v>330</v>
      </c>
      <c r="L124" s="76">
        <v>60</v>
      </c>
      <c r="M124" s="77">
        <v>420</v>
      </c>
      <c r="N124" s="77">
        <v>2040</v>
      </c>
      <c r="O124" s="77">
        <v>3210</v>
      </c>
      <c r="P124" s="77">
        <v>57.5</v>
      </c>
      <c r="Q124" s="77">
        <v>1430</v>
      </c>
      <c r="R124" s="77">
        <v>2140</v>
      </c>
      <c r="S124" s="78">
        <v>760</v>
      </c>
      <c r="T124" s="69">
        <v>0</v>
      </c>
      <c r="U124" s="63">
        <v>710</v>
      </c>
      <c r="V124" s="63">
        <v>67.5</v>
      </c>
      <c r="W124" s="63">
        <v>700</v>
      </c>
      <c r="X124" s="63">
        <v>60</v>
      </c>
    </row>
    <row r="125" spans="1:24" x14ac:dyDescent="0.3">
      <c r="A125" s="21">
        <v>2193.5300000000002</v>
      </c>
      <c r="B125" s="22">
        <v>1390</v>
      </c>
      <c r="C125" s="22"/>
      <c r="D125" s="26">
        <v>1085</v>
      </c>
      <c r="E125" s="22"/>
      <c r="F125" s="22">
        <v>2161.3200000000002</v>
      </c>
      <c r="G125" s="22">
        <v>1420</v>
      </c>
      <c r="H125" s="37"/>
      <c r="I125" s="15">
        <v>2330</v>
      </c>
      <c r="K125" s="21">
        <v>332</v>
      </c>
      <c r="L125" s="79">
        <v>300</v>
      </c>
      <c r="M125" s="80">
        <v>3050</v>
      </c>
      <c r="N125" s="43">
        <v>57.5</v>
      </c>
      <c r="O125" s="43">
        <v>396</v>
      </c>
      <c r="P125" s="43"/>
      <c r="Q125" s="80">
        <v>243</v>
      </c>
      <c r="R125" s="80">
        <v>57.5</v>
      </c>
      <c r="S125" s="43">
        <v>84</v>
      </c>
      <c r="T125" s="22"/>
      <c r="U125" s="22">
        <v>303</v>
      </c>
      <c r="V125" s="22">
        <v>802</v>
      </c>
      <c r="W125" s="22">
        <v>2720</v>
      </c>
      <c r="X125" s="22">
        <v>409.5</v>
      </c>
    </row>
    <row r="126" spans="1:24" x14ac:dyDescent="0.3">
      <c r="A126" s="21"/>
      <c r="B126" s="22"/>
      <c r="C126" s="22"/>
      <c r="D126" s="25"/>
      <c r="E126" s="22"/>
      <c r="F126" s="22"/>
      <c r="G126" s="22"/>
      <c r="H126" s="37"/>
      <c r="I126" s="15">
        <v>5800</v>
      </c>
      <c r="K126" s="21">
        <v>2770</v>
      </c>
      <c r="L126" s="79"/>
      <c r="M126" s="81">
        <v>257</v>
      </c>
      <c r="N126" s="43">
        <v>40</v>
      </c>
      <c r="O126" s="43">
        <v>300</v>
      </c>
      <c r="P126" s="43"/>
      <c r="Q126" s="80">
        <v>340</v>
      </c>
      <c r="R126" s="81"/>
      <c r="S126" s="43"/>
      <c r="T126" s="22"/>
      <c r="U126" s="22">
        <v>3620</v>
      </c>
      <c r="V126" s="22"/>
      <c r="W126" s="22">
        <v>272</v>
      </c>
      <c r="X126" s="22">
        <v>65</v>
      </c>
    </row>
    <row r="127" spans="1:24" x14ac:dyDescent="0.3">
      <c r="A127" s="21"/>
      <c r="B127" s="22"/>
      <c r="C127" s="22"/>
      <c r="D127" s="22"/>
      <c r="E127" s="22"/>
      <c r="F127" s="22"/>
      <c r="G127" s="22"/>
      <c r="H127" s="37"/>
      <c r="I127" s="15">
        <v>2242.5</v>
      </c>
      <c r="K127" s="21">
        <v>300</v>
      </c>
      <c r="L127" s="79"/>
      <c r="M127" s="43">
        <v>240</v>
      </c>
      <c r="N127" s="43"/>
      <c r="O127" s="43"/>
      <c r="P127" s="43"/>
      <c r="Q127" s="43">
        <v>28</v>
      </c>
      <c r="R127" s="43"/>
      <c r="S127" s="43"/>
      <c r="T127" s="22"/>
      <c r="U127" s="22">
        <v>640</v>
      </c>
      <c r="V127" s="22"/>
      <c r="W127" s="22">
        <v>240</v>
      </c>
      <c r="X127" s="22">
        <v>99</v>
      </c>
    </row>
    <row r="128" spans="1:24" ht="15" thickBot="1" x14ac:dyDescent="0.35">
      <c r="A128" s="21"/>
      <c r="B128" s="22"/>
      <c r="C128" s="22"/>
      <c r="D128" s="22"/>
      <c r="E128" s="22"/>
      <c r="F128" s="22"/>
      <c r="G128" s="22"/>
      <c r="I128" s="131">
        <v>4245.6000000000004</v>
      </c>
      <c r="K128" s="128"/>
      <c r="L128" s="79"/>
      <c r="M128" s="43"/>
      <c r="N128" s="43"/>
      <c r="O128" s="43"/>
      <c r="P128" s="43"/>
      <c r="Q128" s="43"/>
      <c r="R128" s="43"/>
      <c r="S128" s="43"/>
      <c r="T128" s="22"/>
      <c r="U128" s="22"/>
      <c r="V128" s="22"/>
      <c r="W128" s="22"/>
      <c r="X128" s="22"/>
    </row>
    <row r="129" spans="1:24" ht="15.6" thickTop="1" thickBot="1" x14ac:dyDescent="0.35">
      <c r="A129" s="21"/>
      <c r="B129" s="22"/>
      <c r="C129" s="22"/>
      <c r="D129" s="22"/>
      <c r="E129" s="22"/>
      <c r="F129" s="22"/>
      <c r="G129" s="22"/>
      <c r="H129" s="37"/>
      <c r="I129" s="132">
        <f>SUM(I123:I128)</f>
        <v>22527.800000000003</v>
      </c>
      <c r="K129" s="21"/>
      <c r="L129" s="79"/>
      <c r="M129" s="43"/>
      <c r="N129" s="43"/>
      <c r="O129" s="43"/>
      <c r="P129" s="43"/>
      <c r="Q129" s="43"/>
      <c r="R129" s="43"/>
      <c r="S129" s="43"/>
      <c r="T129" s="22"/>
      <c r="U129" s="22"/>
      <c r="V129" s="22"/>
      <c r="W129" s="22"/>
      <c r="X129" s="22"/>
    </row>
    <row r="130" spans="1:24" ht="15" thickTop="1" x14ac:dyDescent="0.3">
      <c r="A130" s="21"/>
      <c r="B130" s="22"/>
      <c r="C130" s="22"/>
      <c r="D130" s="22"/>
      <c r="E130" s="22"/>
      <c r="F130" s="22"/>
      <c r="G130" s="22"/>
      <c r="H130" s="22"/>
      <c r="I130" s="40"/>
      <c r="K130" s="24"/>
      <c r="L130" s="56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3">
      <c r="A131" s="21"/>
      <c r="B131" s="22"/>
      <c r="C131" s="22"/>
      <c r="D131" s="22"/>
      <c r="E131" s="22"/>
      <c r="F131" s="22"/>
      <c r="G131" s="22"/>
      <c r="H131" s="22"/>
      <c r="I131" s="27"/>
      <c r="K131" s="24"/>
      <c r="L131" s="56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3">
      <c r="A132" s="21"/>
      <c r="B132" s="22"/>
      <c r="C132" s="22"/>
      <c r="D132" s="22"/>
      <c r="E132" s="22"/>
      <c r="F132" s="22"/>
      <c r="G132" s="22"/>
      <c r="H132" s="22"/>
      <c r="I132" s="27"/>
      <c r="K132" s="24"/>
      <c r="L132" s="56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3">
      <c r="A133" s="21"/>
      <c r="B133" s="22"/>
      <c r="C133" s="22"/>
      <c r="D133" s="22"/>
      <c r="E133" s="22"/>
      <c r="F133" s="22"/>
      <c r="G133" s="22"/>
      <c r="H133" s="22"/>
      <c r="I133" s="23"/>
      <c r="K133" s="24"/>
      <c r="L133" s="56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3">
      <c r="A134" s="21"/>
      <c r="B134" s="22"/>
      <c r="C134" s="22"/>
      <c r="D134" s="22"/>
      <c r="E134" s="22"/>
      <c r="F134" s="22"/>
      <c r="G134" s="22"/>
      <c r="H134" s="22"/>
      <c r="I134" s="23"/>
      <c r="K134" s="24"/>
      <c r="L134" s="56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3">
      <c r="A135" s="21"/>
      <c r="B135" s="22"/>
      <c r="C135" s="22"/>
      <c r="D135" s="22"/>
      <c r="E135" s="22"/>
      <c r="F135" s="22"/>
      <c r="G135" s="22"/>
      <c r="H135" s="22"/>
      <c r="I135" s="23"/>
      <c r="K135" s="24"/>
      <c r="L135" s="56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3">
      <c r="A136" s="24"/>
      <c r="B136" s="22"/>
      <c r="C136" s="22"/>
      <c r="D136" s="22"/>
      <c r="E136" s="22"/>
      <c r="F136" s="22"/>
      <c r="G136" s="22"/>
      <c r="H136" s="22"/>
      <c r="I136" s="23"/>
      <c r="K136" s="24"/>
      <c r="L136" s="56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3">
      <c r="A137" s="24">
        <f t="shared" ref="A137:G137" si="31">SUM(A123:A136)</f>
        <v>6118.5300000000007</v>
      </c>
      <c r="B137" s="24">
        <f t="shared" ref="B137:D137" si="32">SUM(B123:B136)</f>
        <v>5833.52</v>
      </c>
      <c r="C137" s="24">
        <f t="shared" si="32"/>
        <v>3775</v>
      </c>
      <c r="D137" s="24">
        <f t="shared" si="32"/>
        <v>3798.59</v>
      </c>
      <c r="E137" s="24">
        <f t="shared" si="31"/>
        <v>330</v>
      </c>
      <c r="F137" s="24">
        <f t="shared" si="31"/>
        <v>5631.32</v>
      </c>
      <c r="G137" s="24">
        <f t="shared" si="31"/>
        <v>5824.07</v>
      </c>
      <c r="H137" s="29">
        <f>SUM(A137:G137)+I129</f>
        <v>53838.83</v>
      </c>
      <c r="I137" s="30" t="s">
        <v>7</v>
      </c>
      <c r="K137" s="24">
        <f t="shared" ref="K137:X137" si="33">SUM(K124:K136)</f>
        <v>3732</v>
      </c>
      <c r="L137" s="24">
        <f t="shared" ref="L137" si="34">SUM(L124:L136)</f>
        <v>360</v>
      </c>
      <c r="M137" s="24">
        <f t="shared" si="33"/>
        <v>3967</v>
      </c>
      <c r="N137" s="24">
        <f t="shared" si="33"/>
        <v>2137.5</v>
      </c>
      <c r="O137" s="24">
        <f t="shared" si="33"/>
        <v>3906</v>
      </c>
      <c r="P137" s="24">
        <f t="shared" si="33"/>
        <v>57.5</v>
      </c>
      <c r="Q137" s="24">
        <f t="shared" si="33"/>
        <v>2041</v>
      </c>
      <c r="R137" s="24">
        <f t="shared" si="33"/>
        <v>2197.5</v>
      </c>
      <c r="S137" s="24">
        <f t="shared" si="33"/>
        <v>844</v>
      </c>
      <c r="T137" s="24">
        <f t="shared" si="33"/>
        <v>0</v>
      </c>
      <c r="U137" s="24">
        <f t="shared" si="33"/>
        <v>5273</v>
      </c>
      <c r="V137" s="24">
        <f t="shared" si="33"/>
        <v>869.5</v>
      </c>
      <c r="W137" s="24">
        <f t="shared" si="33"/>
        <v>3932</v>
      </c>
      <c r="X137" s="24">
        <f t="shared" si="33"/>
        <v>633.5</v>
      </c>
    </row>
    <row r="138" spans="1:24" x14ac:dyDescent="0.3">
      <c r="A138" s="24">
        <v>6118.53</v>
      </c>
      <c r="B138" s="24">
        <v>5833.52</v>
      </c>
      <c r="C138" s="24">
        <v>3775</v>
      </c>
      <c r="D138" s="24">
        <v>3798.59</v>
      </c>
      <c r="E138" s="24">
        <f t="shared" ref="E138" si="35">SUM(E124:E137)</f>
        <v>330</v>
      </c>
      <c r="F138" s="24">
        <v>5631.32</v>
      </c>
      <c r="G138" s="24">
        <v>5824.07</v>
      </c>
      <c r="H138" s="22">
        <f>SUM(A138:G138)+I129</f>
        <v>53838.83</v>
      </c>
      <c r="I138" s="33" t="s">
        <v>1</v>
      </c>
      <c r="K138" s="24">
        <v>3732</v>
      </c>
      <c r="L138" s="24">
        <v>360</v>
      </c>
      <c r="M138" s="24">
        <v>3967</v>
      </c>
      <c r="N138" s="24">
        <v>2137.5</v>
      </c>
      <c r="O138" s="24">
        <v>3906</v>
      </c>
      <c r="P138" s="24">
        <v>57.5</v>
      </c>
      <c r="Q138" s="24">
        <v>2041</v>
      </c>
      <c r="R138" s="24">
        <v>2197.5</v>
      </c>
      <c r="S138" s="24">
        <v>844</v>
      </c>
      <c r="T138" s="24">
        <f t="shared" ref="T138" si="36">SUM(T125:T137)</f>
        <v>0</v>
      </c>
      <c r="U138" s="24">
        <v>5273</v>
      </c>
      <c r="V138" s="24">
        <v>869.5</v>
      </c>
      <c r="W138" s="24">
        <v>3932</v>
      </c>
      <c r="X138" s="24">
        <v>633.5</v>
      </c>
    </row>
    <row r="139" spans="1:24" ht="15" thickBot="1" x14ac:dyDescent="0.35">
      <c r="A139" s="35">
        <f t="shared" ref="A139:H139" si="37">A137-A138</f>
        <v>0</v>
      </c>
      <c r="B139" s="35">
        <f t="shared" si="37"/>
        <v>0</v>
      </c>
      <c r="C139" s="35">
        <f t="shared" si="37"/>
        <v>0</v>
      </c>
      <c r="D139" s="35">
        <f t="shared" si="37"/>
        <v>0</v>
      </c>
      <c r="E139" s="35">
        <f t="shared" si="37"/>
        <v>0</v>
      </c>
      <c r="F139" s="35">
        <f t="shared" si="37"/>
        <v>0</v>
      </c>
      <c r="G139" s="35">
        <f t="shared" si="37"/>
        <v>0</v>
      </c>
      <c r="H139" s="35">
        <f t="shared" si="37"/>
        <v>0</v>
      </c>
      <c r="I139" s="16">
        <f>SUM(I133:I138)</f>
        <v>0</v>
      </c>
      <c r="K139" s="86">
        <f t="shared" ref="K139:W139" si="38">K137-K138</f>
        <v>0</v>
      </c>
      <c r="L139" s="86">
        <f t="shared" si="38"/>
        <v>0</v>
      </c>
      <c r="M139" s="86">
        <f t="shared" si="38"/>
        <v>0</v>
      </c>
      <c r="N139" s="86">
        <f t="shared" si="38"/>
        <v>0</v>
      </c>
      <c r="O139" s="86">
        <f t="shared" si="38"/>
        <v>0</v>
      </c>
      <c r="P139" s="86">
        <f t="shared" si="38"/>
        <v>0</v>
      </c>
      <c r="Q139" s="86">
        <f t="shared" si="38"/>
        <v>0</v>
      </c>
      <c r="R139" s="86">
        <f t="shared" si="38"/>
        <v>0</v>
      </c>
      <c r="S139" s="86">
        <f t="shared" si="38"/>
        <v>0</v>
      </c>
      <c r="T139" s="86">
        <f t="shared" si="38"/>
        <v>0</v>
      </c>
      <c r="U139" s="86">
        <f t="shared" si="38"/>
        <v>0</v>
      </c>
      <c r="V139" s="86">
        <f t="shared" si="38"/>
        <v>0</v>
      </c>
      <c r="W139" s="86">
        <f t="shared" si="38"/>
        <v>0</v>
      </c>
      <c r="X139" s="86">
        <f>X137-X138</f>
        <v>0</v>
      </c>
    </row>
    <row r="140" spans="1:24" ht="15" thickTop="1" x14ac:dyDescent="0.3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FCB8-52F6-4EB7-BF3A-13BAEBE8FA32}">
  <dimension ref="A1:X79"/>
  <sheetViews>
    <sheetView topLeftCell="B49" workbookViewId="0">
      <selection activeCell="K61" sqref="K61:X78"/>
    </sheetView>
  </sheetViews>
  <sheetFormatPr defaultRowHeight="14.4" x14ac:dyDescent="0.3"/>
  <cols>
    <col min="1" max="1" width="11" customWidth="1"/>
    <col min="2" max="2" width="11.88671875" customWidth="1"/>
    <col min="3" max="3" width="10.5546875" customWidth="1"/>
    <col min="4" max="4" width="11.44140625" customWidth="1"/>
    <col min="5" max="5" width="10.88671875" customWidth="1"/>
    <col min="6" max="6" width="11.44140625" customWidth="1"/>
    <col min="7" max="7" width="11.6640625" customWidth="1"/>
    <col min="8" max="8" width="10.6640625" customWidth="1"/>
    <col min="9" max="9" width="13" bestFit="1" customWidth="1"/>
    <col min="11" max="11" width="12.33203125" customWidth="1"/>
    <col min="12" max="12" width="12.88671875" customWidth="1"/>
    <col min="13" max="13" width="12.109375" customWidth="1"/>
    <col min="14" max="14" width="13.44140625" customWidth="1"/>
    <col min="15" max="15" width="10.109375" customWidth="1"/>
    <col min="16" max="16" width="11" customWidth="1"/>
    <col min="17" max="17" width="12.6640625" customWidth="1"/>
    <col min="18" max="18" width="12" customWidth="1"/>
    <col min="19" max="20" width="10.33203125" customWidth="1"/>
    <col min="21" max="21" width="12.33203125" customWidth="1"/>
    <col min="22" max="22" width="11" customWidth="1"/>
    <col min="23" max="23" width="11.33203125" customWidth="1"/>
    <col min="24" max="24" width="11.88671875" customWidth="1"/>
  </cols>
  <sheetData>
    <row r="1" spans="1:24" ht="15" thickBot="1" x14ac:dyDescent="0.35"/>
    <row r="2" spans="1:24" x14ac:dyDescent="0.3">
      <c r="A2" s="17">
        <v>45511</v>
      </c>
      <c r="B2" s="17">
        <v>45512</v>
      </c>
      <c r="C2" s="17">
        <v>45513</v>
      </c>
      <c r="D2" s="17">
        <v>45514</v>
      </c>
      <c r="E2" s="17">
        <v>45515</v>
      </c>
      <c r="F2" s="17">
        <v>45516</v>
      </c>
      <c r="G2" s="17">
        <v>45517</v>
      </c>
      <c r="H2" s="17"/>
      <c r="I2" s="13"/>
      <c r="K2" s="59" t="s">
        <v>51</v>
      </c>
      <c r="L2" s="59"/>
      <c r="M2" s="59">
        <v>45512</v>
      </c>
      <c r="N2" s="59"/>
      <c r="O2" s="59">
        <v>45513</v>
      </c>
      <c r="P2" s="59"/>
      <c r="Q2" s="59">
        <v>45514</v>
      </c>
      <c r="R2" s="59"/>
      <c r="S2" s="59">
        <v>45515</v>
      </c>
      <c r="T2" s="59"/>
      <c r="U2" s="59">
        <v>45516</v>
      </c>
      <c r="V2" s="59"/>
      <c r="W2" s="59">
        <v>45517</v>
      </c>
      <c r="X2" s="59"/>
    </row>
    <row r="3" spans="1:24" ht="15" thickBot="1" x14ac:dyDescent="0.35">
      <c r="A3" s="21">
        <v>1090</v>
      </c>
      <c r="B3" s="22">
        <v>2148.52</v>
      </c>
      <c r="C3" s="22">
        <v>2795</v>
      </c>
      <c r="D3" s="22">
        <v>1248.5899999999999</v>
      </c>
      <c r="E3" s="22">
        <v>330</v>
      </c>
      <c r="F3" s="22">
        <v>980</v>
      </c>
      <c r="G3" s="22">
        <v>1949.07</v>
      </c>
      <c r="H3" s="37"/>
      <c r="I3" s="15">
        <v>1646.8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1">
        <v>2835</v>
      </c>
      <c r="B4" s="22">
        <v>2295</v>
      </c>
      <c r="C4" s="22">
        <v>980</v>
      </c>
      <c r="D4" s="22">
        <v>1465</v>
      </c>
      <c r="E4" s="25"/>
      <c r="F4" s="22">
        <v>2490</v>
      </c>
      <c r="G4" s="22">
        <v>2455</v>
      </c>
      <c r="H4" s="37"/>
      <c r="I4" s="15">
        <v>6262.9</v>
      </c>
      <c r="K4" s="75">
        <v>330</v>
      </c>
      <c r="L4" s="76">
        <v>60</v>
      </c>
      <c r="M4" s="77">
        <v>420</v>
      </c>
      <c r="N4" s="77">
        <v>2040</v>
      </c>
      <c r="O4" s="77">
        <v>3210</v>
      </c>
      <c r="P4" s="77">
        <v>57.5</v>
      </c>
      <c r="Q4" s="77">
        <v>1430</v>
      </c>
      <c r="R4" s="77">
        <v>2140</v>
      </c>
      <c r="S4" s="78">
        <v>760</v>
      </c>
      <c r="T4" s="69">
        <v>0</v>
      </c>
      <c r="U4" s="63">
        <v>710</v>
      </c>
      <c r="V4" s="63">
        <v>67.5</v>
      </c>
      <c r="W4" s="63">
        <v>700</v>
      </c>
      <c r="X4" s="63">
        <v>60</v>
      </c>
    </row>
    <row r="5" spans="1:24" x14ac:dyDescent="0.3">
      <c r="A5" s="21">
        <v>2193.5300000000002</v>
      </c>
      <c r="B5" s="22">
        <v>1390</v>
      </c>
      <c r="C5" s="22"/>
      <c r="D5" s="26">
        <v>1085</v>
      </c>
      <c r="E5" s="22"/>
      <c r="F5" s="22">
        <v>2161.3200000000002</v>
      </c>
      <c r="G5" s="22">
        <v>1420</v>
      </c>
      <c r="H5" s="37"/>
      <c r="I5" s="15">
        <v>2330</v>
      </c>
      <c r="K5" s="21">
        <v>332</v>
      </c>
      <c r="L5" s="79">
        <v>300</v>
      </c>
      <c r="M5" s="80">
        <v>3050</v>
      </c>
      <c r="N5" s="43">
        <v>57.5</v>
      </c>
      <c r="O5" s="43">
        <v>396</v>
      </c>
      <c r="P5" s="43"/>
      <c r="Q5" s="80">
        <v>243</v>
      </c>
      <c r="R5" s="80">
        <v>57.5</v>
      </c>
      <c r="S5" s="43">
        <v>84</v>
      </c>
      <c r="T5" s="22"/>
      <c r="U5" s="22">
        <v>303</v>
      </c>
      <c r="V5" s="22">
        <v>802</v>
      </c>
      <c r="W5" s="22">
        <v>2720</v>
      </c>
      <c r="X5" s="22">
        <v>409.5</v>
      </c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5800</v>
      </c>
      <c r="K6" s="21">
        <v>2770</v>
      </c>
      <c r="L6" s="79"/>
      <c r="M6" s="81">
        <v>257</v>
      </c>
      <c r="N6" s="43">
        <v>40</v>
      </c>
      <c r="O6" s="43">
        <v>300</v>
      </c>
      <c r="P6" s="43"/>
      <c r="Q6" s="80">
        <v>340</v>
      </c>
      <c r="R6" s="81"/>
      <c r="S6" s="43"/>
      <c r="T6" s="22"/>
      <c r="U6" s="22">
        <v>3620</v>
      </c>
      <c r="V6" s="22"/>
      <c r="W6" s="22">
        <v>272</v>
      </c>
      <c r="X6" s="22">
        <v>65</v>
      </c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2242.5</v>
      </c>
      <c r="K7" s="21">
        <v>300</v>
      </c>
      <c r="L7" s="79"/>
      <c r="M7" s="43">
        <v>240</v>
      </c>
      <c r="N7" s="43"/>
      <c r="O7" s="43"/>
      <c r="P7" s="43"/>
      <c r="Q7" s="43">
        <v>28</v>
      </c>
      <c r="R7" s="43"/>
      <c r="S7" s="43"/>
      <c r="T7" s="22"/>
      <c r="U7" s="22">
        <v>640</v>
      </c>
      <c r="V7" s="22"/>
      <c r="W7" s="22">
        <v>240</v>
      </c>
      <c r="X7" s="22">
        <v>99</v>
      </c>
    </row>
    <row r="8" spans="1:24" ht="15" thickBot="1" x14ac:dyDescent="0.35">
      <c r="A8" s="21"/>
      <c r="B8" s="22"/>
      <c r="C8" s="22"/>
      <c r="D8" s="22"/>
      <c r="E8" s="22"/>
      <c r="F8" s="22"/>
      <c r="G8" s="22"/>
      <c r="I8" s="131">
        <v>4245.6000000000004</v>
      </c>
      <c r="K8" s="128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22"/>
    </row>
    <row r="9" spans="1:24" ht="15.6" thickTop="1" thickBot="1" x14ac:dyDescent="0.35">
      <c r="A9" s="21"/>
      <c r="B9" s="22"/>
      <c r="C9" s="22"/>
      <c r="D9" s="22"/>
      <c r="E9" s="22"/>
      <c r="F9" s="22"/>
      <c r="G9" s="22"/>
      <c r="H9" s="37"/>
      <c r="I9" s="132">
        <f>SUM(I3:I8)</f>
        <v>22527.800000000003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1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1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1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3">
      <c r="A17" s="24">
        <f t="shared" ref="A17:G18" si="0">SUM(A3:A16)</f>
        <v>6118.5300000000007</v>
      </c>
      <c r="B17" s="24">
        <f t="shared" si="0"/>
        <v>5833.52</v>
      </c>
      <c r="C17" s="24">
        <f t="shared" si="0"/>
        <v>3775</v>
      </c>
      <c r="D17" s="24">
        <f t="shared" si="0"/>
        <v>3798.59</v>
      </c>
      <c r="E17" s="24">
        <f t="shared" si="0"/>
        <v>330</v>
      </c>
      <c r="F17" s="24">
        <f t="shared" si="0"/>
        <v>5631.32</v>
      </c>
      <c r="G17" s="24">
        <f t="shared" si="0"/>
        <v>5824.07</v>
      </c>
      <c r="H17" s="29">
        <f>SUM(A17:G17)+I9</f>
        <v>53838.83</v>
      </c>
      <c r="I17" s="30" t="s">
        <v>7</v>
      </c>
      <c r="K17" s="24">
        <f t="shared" ref="K17:X18" si="1">SUM(K4:K16)</f>
        <v>3732</v>
      </c>
      <c r="L17" s="24">
        <f t="shared" si="1"/>
        <v>360</v>
      </c>
      <c r="M17" s="24">
        <f t="shared" si="1"/>
        <v>3967</v>
      </c>
      <c r="N17" s="24">
        <f t="shared" si="1"/>
        <v>2137.5</v>
      </c>
      <c r="O17" s="24">
        <f t="shared" si="1"/>
        <v>3906</v>
      </c>
      <c r="P17" s="24">
        <f t="shared" si="1"/>
        <v>57.5</v>
      </c>
      <c r="Q17" s="24">
        <f t="shared" si="1"/>
        <v>2041</v>
      </c>
      <c r="R17" s="24">
        <f t="shared" si="1"/>
        <v>2197.5</v>
      </c>
      <c r="S17" s="24">
        <f t="shared" si="1"/>
        <v>844</v>
      </c>
      <c r="T17" s="24">
        <f t="shared" si="1"/>
        <v>0</v>
      </c>
      <c r="U17" s="24">
        <f t="shared" si="1"/>
        <v>5273</v>
      </c>
      <c r="V17" s="24">
        <f t="shared" si="1"/>
        <v>869.5</v>
      </c>
      <c r="W17" s="24">
        <f t="shared" si="1"/>
        <v>3932</v>
      </c>
      <c r="X17" s="24">
        <f t="shared" si="1"/>
        <v>633.5</v>
      </c>
    </row>
    <row r="18" spans="1:24" x14ac:dyDescent="0.3">
      <c r="A18" s="24">
        <v>6118.53</v>
      </c>
      <c r="B18" s="24">
        <v>5833.52</v>
      </c>
      <c r="C18" s="24">
        <v>3775</v>
      </c>
      <c r="D18" s="24">
        <v>3798.59</v>
      </c>
      <c r="E18" s="24">
        <f t="shared" si="0"/>
        <v>330</v>
      </c>
      <c r="F18" s="24">
        <v>5631.32</v>
      </c>
      <c r="G18" s="24">
        <v>5824.07</v>
      </c>
      <c r="H18" s="22">
        <f>SUM(A18:G18)+I9</f>
        <v>53838.83</v>
      </c>
      <c r="I18" s="33" t="s">
        <v>1</v>
      </c>
      <c r="K18" s="24">
        <v>3732</v>
      </c>
      <c r="L18" s="24">
        <v>360</v>
      </c>
      <c r="M18" s="24">
        <v>3967</v>
      </c>
      <c r="N18" s="24">
        <v>2137.5</v>
      </c>
      <c r="O18" s="24">
        <v>3906</v>
      </c>
      <c r="P18" s="24">
        <v>57.5</v>
      </c>
      <c r="Q18" s="24">
        <v>2041</v>
      </c>
      <c r="R18" s="24">
        <v>2197.5</v>
      </c>
      <c r="S18" s="24">
        <v>844</v>
      </c>
      <c r="T18" s="24">
        <f t="shared" si="1"/>
        <v>0</v>
      </c>
      <c r="U18" s="24">
        <v>5273</v>
      </c>
      <c r="V18" s="24">
        <v>869.5</v>
      </c>
      <c r="W18" s="24">
        <v>3932</v>
      </c>
      <c r="X18" s="24">
        <v>633.5</v>
      </c>
    </row>
    <row r="19" spans="1:24" ht="15" thickBot="1" x14ac:dyDescent="0.35">
      <c r="A19" s="35">
        <f t="shared" ref="A19:H19" si="2">A17-A18</f>
        <v>0</v>
      </c>
      <c r="B19" s="35">
        <f t="shared" si="2"/>
        <v>0</v>
      </c>
      <c r="C19" s="35">
        <f t="shared" si="2"/>
        <v>0</v>
      </c>
      <c r="D19" s="35">
        <f t="shared" si="2"/>
        <v>0</v>
      </c>
      <c r="E19" s="35">
        <f t="shared" si="2"/>
        <v>0</v>
      </c>
      <c r="F19" s="35">
        <f t="shared" si="2"/>
        <v>0</v>
      </c>
      <c r="G19" s="35">
        <f t="shared" si="2"/>
        <v>0</v>
      </c>
      <c r="H19" s="35">
        <f t="shared" si="2"/>
        <v>0</v>
      </c>
      <c r="I19" s="16">
        <f>SUM(I13:I18)</f>
        <v>0</v>
      </c>
      <c r="K19" s="86">
        <f t="shared" ref="K19:W19" si="3">K17-K18</f>
        <v>0</v>
      </c>
      <c r="L19" s="86">
        <f t="shared" si="3"/>
        <v>0</v>
      </c>
      <c r="M19" s="86">
        <f t="shared" si="3"/>
        <v>0</v>
      </c>
      <c r="N19" s="86">
        <f t="shared" si="3"/>
        <v>0</v>
      </c>
      <c r="O19" s="86">
        <f t="shared" si="3"/>
        <v>0</v>
      </c>
      <c r="P19" s="86">
        <f t="shared" si="3"/>
        <v>0</v>
      </c>
      <c r="Q19" s="86">
        <f t="shared" si="3"/>
        <v>0</v>
      </c>
      <c r="R19" s="86">
        <f t="shared" si="3"/>
        <v>0</v>
      </c>
      <c r="S19" s="86">
        <f t="shared" si="3"/>
        <v>0</v>
      </c>
      <c r="T19" s="86">
        <f t="shared" si="3"/>
        <v>0</v>
      </c>
      <c r="U19" s="86">
        <f t="shared" si="3"/>
        <v>0</v>
      </c>
      <c r="V19" s="86">
        <f t="shared" si="3"/>
        <v>0</v>
      </c>
      <c r="W19" s="86">
        <f t="shared" si="3"/>
        <v>0</v>
      </c>
      <c r="X19" s="86">
        <f>X17-X18</f>
        <v>0</v>
      </c>
    </row>
    <row r="20" spans="1:24" ht="15" thickTop="1" x14ac:dyDescent="0.3"/>
    <row r="21" spans="1:24" ht="15" thickBot="1" x14ac:dyDescent="0.35"/>
    <row r="22" spans="1:24" x14ac:dyDescent="0.3">
      <c r="A22" s="17">
        <v>45518</v>
      </c>
      <c r="B22" s="17">
        <v>45519</v>
      </c>
      <c r="C22" s="17">
        <v>45520</v>
      </c>
      <c r="D22" s="17">
        <v>45521</v>
      </c>
      <c r="E22" s="17">
        <v>45522</v>
      </c>
      <c r="F22" s="17">
        <v>45523</v>
      </c>
      <c r="G22" s="17">
        <v>45524</v>
      </c>
      <c r="H22" s="17"/>
      <c r="I22" s="13" t="s">
        <v>8</v>
      </c>
      <c r="K22" s="59">
        <v>45518</v>
      </c>
      <c r="L22" s="59"/>
      <c r="M22" s="59">
        <v>45519</v>
      </c>
      <c r="N22" s="59"/>
      <c r="O22" s="59">
        <v>45520</v>
      </c>
      <c r="P22" s="59"/>
      <c r="Q22" s="59">
        <v>45521</v>
      </c>
      <c r="R22" s="59"/>
      <c r="S22" s="59">
        <v>45522</v>
      </c>
      <c r="T22" s="59"/>
      <c r="U22" s="59">
        <v>45523</v>
      </c>
      <c r="V22" s="59"/>
      <c r="W22" s="59">
        <v>45524</v>
      </c>
      <c r="X22" s="59"/>
    </row>
    <row r="23" spans="1:24" ht="15" thickBot="1" x14ac:dyDescent="0.35">
      <c r="A23" s="21">
        <v>1659.6</v>
      </c>
      <c r="B23" s="22">
        <v>1205</v>
      </c>
      <c r="C23" s="22">
        <v>995</v>
      </c>
      <c r="D23" s="22">
        <v>1050</v>
      </c>
      <c r="E23" s="22">
        <v>450</v>
      </c>
      <c r="F23" s="22">
        <v>1949.07</v>
      </c>
      <c r="G23" s="22">
        <v>1485</v>
      </c>
      <c r="H23" s="37"/>
      <c r="I23" s="15">
        <v>6000</v>
      </c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26" t="s">
        <v>11</v>
      </c>
    </row>
    <row r="24" spans="1:24" x14ac:dyDescent="0.3">
      <c r="A24" s="21">
        <v>2970</v>
      </c>
      <c r="B24" s="22">
        <v>2540</v>
      </c>
      <c r="C24" s="22">
        <v>3230</v>
      </c>
      <c r="D24" s="22">
        <v>720</v>
      </c>
      <c r="E24" s="25"/>
      <c r="F24" s="22">
        <v>3055</v>
      </c>
      <c r="G24" s="22">
        <v>2550</v>
      </c>
      <c r="H24" s="37"/>
      <c r="I24" s="15">
        <v>2137.5</v>
      </c>
      <c r="K24" s="75">
        <v>540</v>
      </c>
      <c r="L24" s="76">
        <v>460</v>
      </c>
      <c r="M24" s="77">
        <v>28</v>
      </c>
      <c r="N24" s="77">
        <v>62.5</v>
      </c>
      <c r="O24" s="77">
        <v>270</v>
      </c>
      <c r="P24" s="77">
        <v>127.5</v>
      </c>
      <c r="Q24" s="77">
        <v>28</v>
      </c>
      <c r="R24" s="77">
        <v>37.5</v>
      </c>
      <c r="S24" s="78">
        <v>84</v>
      </c>
      <c r="T24" s="69">
        <v>15</v>
      </c>
      <c r="U24" s="63">
        <v>660</v>
      </c>
      <c r="V24" s="63">
        <v>67.5</v>
      </c>
      <c r="W24" s="63">
        <v>28</v>
      </c>
      <c r="X24" s="63">
        <v>65</v>
      </c>
    </row>
    <row r="25" spans="1:24" x14ac:dyDescent="0.3">
      <c r="A25" s="21">
        <v>1165</v>
      </c>
      <c r="B25" s="22">
        <v>2071.3000000000002</v>
      </c>
      <c r="C25" s="22">
        <v>1981.28</v>
      </c>
      <c r="D25" s="26">
        <v>823.4</v>
      </c>
      <c r="E25" s="22"/>
      <c r="F25" s="22">
        <v>900</v>
      </c>
      <c r="G25" s="22">
        <v>1916.86</v>
      </c>
      <c r="H25" s="37"/>
      <c r="I25" s="15">
        <v>1950</v>
      </c>
      <c r="K25" s="21">
        <v>3060</v>
      </c>
      <c r="L25" s="79">
        <v>50</v>
      </c>
      <c r="M25" s="80">
        <v>440</v>
      </c>
      <c r="N25" s="43">
        <v>220</v>
      </c>
      <c r="O25" s="43">
        <v>396</v>
      </c>
      <c r="P25" s="43">
        <v>60</v>
      </c>
      <c r="Q25" s="43">
        <v>240</v>
      </c>
      <c r="R25" s="80">
        <v>200</v>
      </c>
      <c r="S25" s="43">
        <v>660</v>
      </c>
      <c r="T25" s="22"/>
      <c r="U25" s="22">
        <v>3570</v>
      </c>
      <c r="V25" s="22"/>
      <c r="W25" s="22">
        <v>240</v>
      </c>
      <c r="X25" s="22">
        <v>70.900000000000006</v>
      </c>
    </row>
    <row r="26" spans="1:24" x14ac:dyDescent="0.3">
      <c r="A26" s="21"/>
      <c r="B26" s="22"/>
      <c r="C26" s="22"/>
      <c r="D26" s="25"/>
      <c r="E26" s="22"/>
      <c r="F26" s="22"/>
      <c r="G26" s="22"/>
      <c r="H26" s="37"/>
      <c r="I26" s="15">
        <v>977.84</v>
      </c>
      <c r="K26" s="21">
        <v>444</v>
      </c>
      <c r="L26" s="79"/>
      <c r="M26" s="81">
        <v>397</v>
      </c>
      <c r="N26" s="43"/>
      <c r="O26" s="43">
        <v>3820</v>
      </c>
      <c r="P26" s="43"/>
      <c r="Q26" s="43">
        <v>257</v>
      </c>
      <c r="R26" s="81"/>
      <c r="S26" s="43"/>
      <c r="T26" s="22"/>
      <c r="U26" s="22">
        <v>329</v>
      </c>
      <c r="V26" s="22"/>
      <c r="W26" s="22">
        <v>260</v>
      </c>
      <c r="X26" s="22"/>
    </row>
    <row r="27" spans="1:24" ht="15" thickBot="1" x14ac:dyDescent="0.35">
      <c r="A27" s="21"/>
      <c r="B27" s="22"/>
      <c r="C27" s="22"/>
      <c r="D27" s="22"/>
      <c r="E27" s="22"/>
      <c r="F27" s="22"/>
      <c r="G27" s="22"/>
      <c r="H27" s="37"/>
      <c r="I27" s="131">
        <v>5598.42</v>
      </c>
      <c r="K27" s="21">
        <v>270</v>
      </c>
      <c r="L27" s="79"/>
      <c r="M27" s="43">
        <v>2920</v>
      </c>
      <c r="N27" s="43"/>
      <c r="O27" s="43">
        <v>120</v>
      </c>
      <c r="P27" s="43"/>
      <c r="Q27" s="43">
        <v>1590</v>
      </c>
      <c r="R27" s="43"/>
      <c r="S27" s="43"/>
      <c r="T27" s="22"/>
      <c r="U27" s="22">
        <v>330</v>
      </c>
      <c r="V27" s="22"/>
      <c r="W27" s="22">
        <v>2660</v>
      </c>
      <c r="X27" s="22"/>
    </row>
    <row r="28" spans="1:24" ht="15.6" thickTop="1" thickBot="1" x14ac:dyDescent="0.35">
      <c r="A28" s="21"/>
      <c r="B28" s="22"/>
      <c r="C28" s="22"/>
      <c r="D28" s="22"/>
      <c r="E28" s="22"/>
      <c r="F28" s="22"/>
      <c r="G28" s="22"/>
      <c r="I28" s="131">
        <v>4245.6000000000004</v>
      </c>
      <c r="K28" s="128">
        <v>28</v>
      </c>
      <c r="L28" s="79"/>
      <c r="M28" s="43">
        <v>240</v>
      </c>
      <c r="N28" s="43"/>
      <c r="O28" s="43"/>
      <c r="P28" s="43"/>
      <c r="Q28" s="43"/>
      <c r="R28" s="43"/>
      <c r="S28" s="43"/>
      <c r="T28" s="22"/>
      <c r="U28" s="22"/>
      <c r="V28" s="22"/>
      <c r="W28" s="22">
        <v>720</v>
      </c>
      <c r="X28" s="22"/>
    </row>
    <row r="29" spans="1:24" ht="15.6" thickTop="1" thickBot="1" x14ac:dyDescent="0.35">
      <c r="A29" s="21"/>
      <c r="B29" s="22"/>
      <c r="C29" s="22"/>
      <c r="D29" s="22"/>
      <c r="E29" s="22"/>
      <c r="F29" s="22"/>
      <c r="G29" s="22"/>
      <c r="H29" s="37"/>
      <c r="I29" s="132">
        <f>SUM(I23:I28)</f>
        <v>20909.36</v>
      </c>
      <c r="K29" s="21"/>
      <c r="L29" s="79"/>
      <c r="M29" s="43"/>
      <c r="N29" s="43"/>
      <c r="O29" s="43"/>
      <c r="P29" s="43"/>
      <c r="Q29" s="43"/>
      <c r="R29" s="43"/>
      <c r="S29" s="43"/>
      <c r="T29" s="22"/>
      <c r="U29" s="22"/>
      <c r="V29" s="22"/>
      <c r="W29" s="22"/>
      <c r="X29" s="22"/>
    </row>
    <row r="30" spans="1:24" ht="15" thickTop="1" x14ac:dyDescent="0.3">
      <c r="A30" s="21"/>
      <c r="B30" s="22"/>
      <c r="C30" s="22"/>
      <c r="D30" s="22"/>
      <c r="E30" s="22"/>
      <c r="F30" s="22"/>
      <c r="G30" s="22"/>
      <c r="H30" s="22"/>
      <c r="I30" s="40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1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1"/>
      <c r="B32" s="22"/>
      <c r="C32" s="22"/>
      <c r="D32" s="22"/>
      <c r="E32" s="22"/>
      <c r="F32" s="22"/>
      <c r="G32" s="22"/>
      <c r="H32" s="22"/>
      <c r="I32" s="27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1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4"/>
      <c r="B36" s="22"/>
      <c r="C36" s="22"/>
      <c r="D36" s="22"/>
      <c r="E36" s="22"/>
      <c r="F36" s="22"/>
      <c r="G36" s="22"/>
      <c r="H36" s="22"/>
      <c r="I36" s="23"/>
      <c r="K36" s="24"/>
      <c r="L36" s="56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3">
      <c r="A37" s="24">
        <f t="shared" ref="A37:G37" si="4">SUM(A23:A36)</f>
        <v>5794.6</v>
      </c>
      <c r="B37" s="24">
        <f t="shared" si="4"/>
        <v>5816.3</v>
      </c>
      <c r="C37" s="24">
        <f t="shared" si="4"/>
        <v>6206.28</v>
      </c>
      <c r="D37" s="24">
        <f t="shared" si="4"/>
        <v>2593.4</v>
      </c>
      <c r="E37" s="24">
        <f t="shared" si="4"/>
        <v>450</v>
      </c>
      <c r="F37" s="24">
        <f t="shared" si="4"/>
        <v>5904.07</v>
      </c>
      <c r="G37" s="24">
        <f t="shared" si="4"/>
        <v>5951.86</v>
      </c>
      <c r="H37" s="29">
        <f>SUM(A37:G37)+I29</f>
        <v>53625.87</v>
      </c>
      <c r="I37" s="30" t="s">
        <v>7</v>
      </c>
      <c r="K37" s="24">
        <f t="shared" ref="K37:X37" si="5">SUM(K24:K36)</f>
        <v>4342</v>
      </c>
      <c r="L37" s="24">
        <f t="shared" si="5"/>
        <v>510</v>
      </c>
      <c r="M37" s="24">
        <f t="shared" si="5"/>
        <v>4025</v>
      </c>
      <c r="N37" s="24">
        <f t="shared" si="5"/>
        <v>282.5</v>
      </c>
      <c r="O37" s="24">
        <f t="shared" si="5"/>
        <v>4606</v>
      </c>
      <c r="P37" s="24">
        <f t="shared" si="5"/>
        <v>187.5</v>
      </c>
      <c r="Q37" s="24">
        <f t="shared" si="5"/>
        <v>2115</v>
      </c>
      <c r="R37" s="24">
        <f t="shared" si="5"/>
        <v>237.5</v>
      </c>
      <c r="S37" s="24">
        <f t="shared" si="5"/>
        <v>744</v>
      </c>
      <c r="T37" s="24">
        <f t="shared" si="5"/>
        <v>15</v>
      </c>
      <c r="U37" s="24">
        <f t="shared" si="5"/>
        <v>4889</v>
      </c>
      <c r="V37" s="24">
        <f t="shared" si="5"/>
        <v>67.5</v>
      </c>
      <c r="W37" s="24">
        <f t="shared" si="5"/>
        <v>3908</v>
      </c>
      <c r="X37" s="24">
        <f t="shared" si="5"/>
        <v>135.9</v>
      </c>
    </row>
    <row r="38" spans="1:24" x14ac:dyDescent="0.3">
      <c r="A38" s="24">
        <v>5794.6</v>
      </c>
      <c r="B38" s="24">
        <v>5816.3</v>
      </c>
      <c r="C38" s="24">
        <v>6206.28</v>
      </c>
      <c r="D38" s="24">
        <v>2593.4</v>
      </c>
      <c r="E38" s="24">
        <v>450</v>
      </c>
      <c r="F38" s="24">
        <v>5904.07</v>
      </c>
      <c r="G38" s="24">
        <v>5951.86</v>
      </c>
      <c r="H38" s="22">
        <f>SUM(A38:G38)+I29</f>
        <v>53625.87</v>
      </c>
      <c r="I38" s="33" t="s">
        <v>1</v>
      </c>
      <c r="K38" s="24">
        <v>4342</v>
      </c>
      <c r="L38" s="24">
        <v>510</v>
      </c>
      <c r="M38" s="24">
        <v>4025</v>
      </c>
      <c r="N38" s="24">
        <v>282.5</v>
      </c>
      <c r="O38" s="24">
        <v>4606</v>
      </c>
      <c r="P38" s="24">
        <v>187.5</v>
      </c>
      <c r="Q38" s="24">
        <v>2115</v>
      </c>
      <c r="R38" s="24">
        <v>237.5</v>
      </c>
      <c r="S38" s="24">
        <v>744</v>
      </c>
      <c r="T38" s="24">
        <v>15</v>
      </c>
      <c r="U38" s="24">
        <v>4889</v>
      </c>
      <c r="V38" s="24">
        <v>67.5</v>
      </c>
      <c r="W38" s="24">
        <v>3908</v>
      </c>
      <c r="X38" s="24">
        <v>135.9</v>
      </c>
    </row>
    <row r="39" spans="1:24" ht="15" thickBot="1" x14ac:dyDescent="0.35">
      <c r="A39" s="35">
        <f t="shared" ref="A39:H39" si="6">A37-A38</f>
        <v>0</v>
      </c>
      <c r="B39" s="35">
        <f t="shared" si="6"/>
        <v>0</v>
      </c>
      <c r="C39" s="35">
        <f t="shared" si="6"/>
        <v>0</v>
      </c>
      <c r="D39" s="35">
        <f t="shared" si="6"/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16">
        <f>SUM(I33:I38)</f>
        <v>0</v>
      </c>
      <c r="K39" s="86">
        <f t="shared" ref="K39:W39" si="7">K37-K38</f>
        <v>0</v>
      </c>
      <c r="L39" s="86">
        <f t="shared" si="7"/>
        <v>0</v>
      </c>
      <c r="M39" s="86">
        <f t="shared" si="7"/>
        <v>0</v>
      </c>
      <c r="N39" s="86">
        <f t="shared" si="7"/>
        <v>0</v>
      </c>
      <c r="O39" s="86">
        <f t="shared" si="7"/>
        <v>0</v>
      </c>
      <c r="P39" s="86">
        <f t="shared" si="7"/>
        <v>0</v>
      </c>
      <c r="Q39" s="86">
        <f t="shared" si="7"/>
        <v>0</v>
      </c>
      <c r="R39" s="86">
        <f t="shared" si="7"/>
        <v>0</v>
      </c>
      <c r="S39" s="86">
        <f t="shared" si="7"/>
        <v>0</v>
      </c>
      <c r="T39" s="86">
        <f t="shared" si="7"/>
        <v>0</v>
      </c>
      <c r="U39" s="86">
        <f t="shared" si="7"/>
        <v>0</v>
      </c>
      <c r="V39" s="86">
        <f t="shared" si="7"/>
        <v>0</v>
      </c>
      <c r="W39" s="86">
        <f t="shared" si="7"/>
        <v>0</v>
      </c>
      <c r="X39" s="86">
        <f>X37-X38</f>
        <v>0</v>
      </c>
    </row>
    <row r="40" spans="1:24" ht="15" thickTop="1" x14ac:dyDescent="0.3"/>
    <row r="41" spans="1:24" ht="15" thickBot="1" x14ac:dyDescent="0.35"/>
    <row r="42" spans="1:24" x14ac:dyDescent="0.3">
      <c r="A42" s="17">
        <v>45525</v>
      </c>
      <c r="B42" s="17">
        <v>45526</v>
      </c>
      <c r="C42" s="17">
        <v>45527</v>
      </c>
      <c r="D42" s="17">
        <v>45528</v>
      </c>
      <c r="E42" s="17">
        <v>45529</v>
      </c>
      <c r="F42" s="17">
        <v>45530</v>
      </c>
      <c r="G42" s="17">
        <v>45531</v>
      </c>
      <c r="H42" s="17"/>
      <c r="I42" s="13" t="s">
        <v>8</v>
      </c>
      <c r="K42" s="59">
        <v>45525</v>
      </c>
      <c r="L42" s="59"/>
      <c r="M42" s="59">
        <v>45526</v>
      </c>
      <c r="N42" s="59"/>
      <c r="O42" s="59">
        <v>45527</v>
      </c>
      <c r="P42" s="59"/>
      <c r="Q42" s="59">
        <v>45528</v>
      </c>
      <c r="R42" s="59"/>
      <c r="S42" s="59">
        <v>45529</v>
      </c>
      <c r="T42" s="59"/>
      <c r="U42" s="59">
        <v>45530</v>
      </c>
      <c r="V42" s="59"/>
      <c r="W42" s="59">
        <v>45531</v>
      </c>
      <c r="X42" s="59"/>
    </row>
    <row r="43" spans="1:24" ht="15" thickBot="1" x14ac:dyDescent="0.35">
      <c r="A43" s="21">
        <v>1994.08</v>
      </c>
      <c r="B43" s="22">
        <v>1250</v>
      </c>
      <c r="C43" s="22">
        <v>2283.5500000000002</v>
      </c>
      <c r="D43" s="22">
        <v>1248.5899999999999</v>
      </c>
      <c r="E43" s="22">
        <v>530</v>
      </c>
      <c r="F43" s="22">
        <v>995</v>
      </c>
      <c r="G43" s="22">
        <v>2103.5100000000002</v>
      </c>
      <c r="H43" s="37"/>
      <c r="I43" s="15">
        <v>5598.42</v>
      </c>
      <c r="K43" s="124" t="s">
        <v>10</v>
      </c>
      <c r="L43" s="125" t="s">
        <v>11</v>
      </c>
      <c r="M43" s="126" t="s">
        <v>10</v>
      </c>
      <c r="N43" s="126" t="s">
        <v>11</v>
      </c>
      <c r="O43" s="126" t="s">
        <v>10</v>
      </c>
      <c r="P43" s="126" t="s">
        <v>11</v>
      </c>
      <c r="Q43" s="126" t="s">
        <v>10</v>
      </c>
      <c r="R43" s="126" t="s">
        <v>11</v>
      </c>
      <c r="S43" s="126" t="s">
        <v>10</v>
      </c>
      <c r="T43" s="126" t="s">
        <v>11</v>
      </c>
      <c r="U43" s="126" t="s">
        <v>10</v>
      </c>
      <c r="V43" s="126" t="s">
        <v>11</v>
      </c>
      <c r="W43" s="126" t="s">
        <v>10</v>
      </c>
      <c r="X43" s="126" t="s">
        <v>11</v>
      </c>
    </row>
    <row r="44" spans="1:24" x14ac:dyDescent="0.3">
      <c r="A44" s="21">
        <v>3040</v>
      </c>
      <c r="B44" s="22">
        <v>2655</v>
      </c>
      <c r="C44" s="22">
        <v>3345</v>
      </c>
      <c r="D44" s="22">
        <v>1300</v>
      </c>
      <c r="E44" s="25"/>
      <c r="F44" s="22">
        <v>2845</v>
      </c>
      <c r="G44" s="22">
        <v>2300</v>
      </c>
      <c r="H44" s="37"/>
      <c r="I44" s="15">
        <v>6000</v>
      </c>
      <c r="K44" s="75">
        <v>1370</v>
      </c>
      <c r="L44" s="76">
        <v>15</v>
      </c>
      <c r="M44" s="77">
        <v>420</v>
      </c>
      <c r="N44" s="77">
        <v>50</v>
      </c>
      <c r="O44" s="77">
        <v>920</v>
      </c>
      <c r="P44" s="77">
        <v>60</v>
      </c>
      <c r="Q44" s="77">
        <v>1610</v>
      </c>
      <c r="R44" s="77">
        <v>1140</v>
      </c>
      <c r="S44" s="78">
        <v>520</v>
      </c>
      <c r="T44" s="69">
        <v>15</v>
      </c>
      <c r="U44" s="63">
        <v>300</v>
      </c>
      <c r="V44" s="63">
        <v>67.5</v>
      </c>
      <c r="W44" s="63">
        <v>180</v>
      </c>
      <c r="X44" s="63">
        <v>65</v>
      </c>
    </row>
    <row r="45" spans="1:24" x14ac:dyDescent="0.3">
      <c r="A45" s="21">
        <v>1020</v>
      </c>
      <c r="B45" s="22">
        <v>2148.52</v>
      </c>
      <c r="C45" s="22">
        <v>975</v>
      </c>
      <c r="D45" s="26">
        <v>925</v>
      </c>
      <c r="E45" s="22"/>
      <c r="F45" s="22">
        <v>1826.84</v>
      </c>
      <c r="G45" s="22">
        <v>1410</v>
      </c>
      <c r="H45" s="37"/>
      <c r="I45" s="15">
        <v>2820</v>
      </c>
      <c r="K45" s="21">
        <v>180</v>
      </c>
      <c r="L45" s="79"/>
      <c r="M45" s="80">
        <v>2940</v>
      </c>
      <c r="N45" s="43"/>
      <c r="O45" s="43">
        <v>3070</v>
      </c>
      <c r="P45" s="43">
        <v>409.5</v>
      </c>
      <c r="Q45" s="80">
        <v>239</v>
      </c>
      <c r="R45" s="80">
        <v>57.5</v>
      </c>
      <c r="S45" s="43">
        <v>84</v>
      </c>
      <c r="T45" s="22"/>
      <c r="U45" s="22">
        <v>344</v>
      </c>
      <c r="V45" s="22">
        <v>60</v>
      </c>
      <c r="W45" s="22">
        <v>1970</v>
      </c>
      <c r="X45" s="22"/>
    </row>
    <row r="46" spans="1:24" x14ac:dyDescent="0.3">
      <c r="A46" s="21"/>
      <c r="B46" s="22"/>
      <c r="C46" s="22"/>
      <c r="D46" s="25"/>
      <c r="E46" s="22"/>
      <c r="F46" s="22"/>
      <c r="G46" s="22"/>
      <c r="H46" s="37"/>
      <c r="I46" s="15">
        <v>4245.6000000000004</v>
      </c>
      <c r="K46" s="21"/>
      <c r="L46" s="79"/>
      <c r="M46" s="81">
        <v>304</v>
      </c>
      <c r="N46" s="43"/>
      <c r="O46" s="43">
        <v>396</v>
      </c>
      <c r="P46" s="43">
        <v>57.5</v>
      </c>
      <c r="Q46" s="80">
        <v>250</v>
      </c>
      <c r="R46" s="81"/>
      <c r="S46" s="43"/>
      <c r="T46" s="22"/>
      <c r="U46" s="22">
        <v>3200</v>
      </c>
      <c r="V46" s="22"/>
      <c r="W46" s="22">
        <v>260</v>
      </c>
      <c r="X46" s="22"/>
    </row>
    <row r="47" spans="1:24" x14ac:dyDescent="0.3">
      <c r="A47" s="21"/>
      <c r="B47" s="22"/>
      <c r="C47" s="22"/>
      <c r="D47" s="22"/>
      <c r="E47" s="22"/>
      <c r="F47" s="22"/>
      <c r="G47" s="22"/>
      <c r="H47" s="37"/>
      <c r="I47" s="15">
        <v>1950</v>
      </c>
      <c r="K47" s="21"/>
      <c r="L47" s="79"/>
      <c r="M47" s="43">
        <v>240</v>
      </c>
      <c r="N47" s="43"/>
      <c r="O47" s="43">
        <v>270</v>
      </c>
      <c r="P47" s="43"/>
      <c r="Q47" s="43">
        <v>28</v>
      </c>
      <c r="R47" s="43"/>
      <c r="S47" s="43"/>
      <c r="T47" s="22"/>
      <c r="U47" s="22">
        <v>480</v>
      </c>
      <c r="V47" s="22"/>
      <c r="W47" s="22">
        <v>300</v>
      </c>
      <c r="X47" s="22"/>
    </row>
    <row r="48" spans="1:24" ht="15" thickBot="1" x14ac:dyDescent="0.35">
      <c r="A48" s="21"/>
      <c r="B48" s="22"/>
      <c r="C48" s="22"/>
      <c r="D48" s="22"/>
      <c r="E48" s="22"/>
      <c r="F48" s="22"/>
      <c r="G48" s="22"/>
      <c r="I48" s="131">
        <v>244.46</v>
      </c>
      <c r="K48" s="128"/>
      <c r="L48" s="79"/>
      <c r="M48" s="43"/>
      <c r="N48" s="43"/>
      <c r="O48" s="43"/>
      <c r="P48" s="43"/>
      <c r="Q48" s="43"/>
      <c r="R48" s="43"/>
      <c r="S48" s="43"/>
      <c r="T48" s="22"/>
      <c r="U48" s="22"/>
      <c r="V48" s="22"/>
      <c r="W48" s="22">
        <v>52</v>
      </c>
      <c r="X48" s="22"/>
    </row>
    <row r="49" spans="1:24" ht="15.6" thickTop="1" thickBot="1" x14ac:dyDescent="0.35">
      <c r="A49" s="21"/>
      <c r="B49" s="22"/>
      <c r="C49" s="22"/>
      <c r="D49" s="22"/>
      <c r="E49" s="22"/>
      <c r="F49" s="22"/>
      <c r="G49" s="22"/>
      <c r="H49" s="37"/>
      <c r="I49" s="132">
        <f>SUM(I43:I48)</f>
        <v>20858.48</v>
      </c>
      <c r="K49" s="21"/>
      <c r="L49" s="79"/>
      <c r="M49" s="43"/>
      <c r="N49" s="43"/>
      <c r="O49" s="43"/>
      <c r="P49" s="43"/>
      <c r="Q49" s="43"/>
      <c r="R49" s="43"/>
      <c r="S49" s="43"/>
      <c r="T49" s="22"/>
      <c r="U49" s="22"/>
      <c r="V49" s="22"/>
      <c r="W49" s="22"/>
      <c r="X49" s="22"/>
    </row>
    <row r="50" spans="1:24" ht="15" thickTop="1" x14ac:dyDescent="0.3">
      <c r="A50" s="21"/>
      <c r="B50" s="22"/>
      <c r="C50" s="22"/>
      <c r="D50" s="22"/>
      <c r="E50" s="22"/>
      <c r="F50" s="22"/>
      <c r="G50" s="22"/>
      <c r="H50" s="22"/>
      <c r="I50" s="40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7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1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1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3">
      <c r="A56" s="24"/>
      <c r="B56" s="22"/>
      <c r="C56" s="22"/>
      <c r="D56" s="22"/>
      <c r="E56" s="22"/>
      <c r="F56" s="22"/>
      <c r="G56" s="22"/>
      <c r="H56" s="22"/>
      <c r="I56" s="23"/>
      <c r="K56" s="24"/>
      <c r="L56" s="56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3">
      <c r="A57" s="24">
        <f t="shared" ref="A57:G57" si="8">SUM(A43:A56)</f>
        <v>6054.08</v>
      </c>
      <c r="B57" s="24">
        <f t="shared" si="8"/>
        <v>6053.52</v>
      </c>
      <c r="C57" s="24">
        <f t="shared" si="8"/>
        <v>6603.55</v>
      </c>
      <c r="D57" s="24">
        <f t="shared" si="8"/>
        <v>3473.59</v>
      </c>
      <c r="E57" s="24">
        <f t="shared" si="8"/>
        <v>530</v>
      </c>
      <c r="F57" s="24">
        <f t="shared" si="8"/>
        <v>5666.84</v>
      </c>
      <c r="G57" s="24">
        <f t="shared" si="8"/>
        <v>5813.51</v>
      </c>
      <c r="H57" s="29">
        <f>SUM(A57:G57)+I49</f>
        <v>55053.570000000007</v>
      </c>
      <c r="I57" s="30" t="s">
        <v>7</v>
      </c>
      <c r="K57" s="24">
        <f t="shared" ref="K57:X57" si="9">SUM(K44:K56)</f>
        <v>1550</v>
      </c>
      <c r="L57" s="24">
        <f t="shared" si="9"/>
        <v>15</v>
      </c>
      <c r="M57" s="24">
        <f t="shared" si="9"/>
        <v>3904</v>
      </c>
      <c r="N57" s="24">
        <f t="shared" si="9"/>
        <v>50</v>
      </c>
      <c r="O57" s="24">
        <f t="shared" si="9"/>
        <v>4656</v>
      </c>
      <c r="P57" s="24">
        <f t="shared" si="9"/>
        <v>527</v>
      </c>
      <c r="Q57" s="24">
        <f t="shared" si="9"/>
        <v>2127</v>
      </c>
      <c r="R57" s="24">
        <f t="shared" si="9"/>
        <v>1197.5</v>
      </c>
      <c r="S57" s="24">
        <f t="shared" si="9"/>
        <v>604</v>
      </c>
      <c r="T57" s="24">
        <f t="shared" si="9"/>
        <v>15</v>
      </c>
      <c r="U57" s="24">
        <f t="shared" si="9"/>
        <v>4324</v>
      </c>
      <c r="V57" s="24">
        <f t="shared" si="9"/>
        <v>127.5</v>
      </c>
      <c r="W57" s="24">
        <f t="shared" si="9"/>
        <v>2762</v>
      </c>
      <c r="X57" s="24">
        <f t="shared" si="9"/>
        <v>65</v>
      </c>
    </row>
    <row r="58" spans="1:24" x14ac:dyDescent="0.3">
      <c r="A58" s="24">
        <v>6054.08</v>
      </c>
      <c r="B58" s="24">
        <v>6053.52</v>
      </c>
      <c r="C58" s="24">
        <v>6603.55</v>
      </c>
      <c r="D58" s="24">
        <v>3473.59</v>
      </c>
      <c r="E58" s="24">
        <v>530</v>
      </c>
      <c r="F58" s="24">
        <v>5666.84</v>
      </c>
      <c r="G58" s="24">
        <v>5813.51</v>
      </c>
      <c r="H58" s="22">
        <f>SUM(A58:G58)+I49</f>
        <v>55053.570000000007</v>
      </c>
      <c r="I58" s="33" t="s">
        <v>1</v>
      </c>
      <c r="K58" s="24">
        <v>1550</v>
      </c>
      <c r="L58" s="24">
        <v>15</v>
      </c>
      <c r="M58" s="24">
        <v>3904</v>
      </c>
      <c r="N58" s="24">
        <v>50</v>
      </c>
      <c r="O58" s="24">
        <v>4656</v>
      </c>
      <c r="P58" s="24">
        <v>527</v>
      </c>
      <c r="Q58" s="24">
        <v>2127</v>
      </c>
      <c r="R58" s="24">
        <v>1197.5</v>
      </c>
      <c r="S58" s="24">
        <v>604</v>
      </c>
      <c r="T58" s="24">
        <v>15</v>
      </c>
      <c r="U58" s="24">
        <v>4324</v>
      </c>
      <c r="V58" s="24">
        <v>127.5</v>
      </c>
      <c r="W58" s="24">
        <v>2762</v>
      </c>
      <c r="X58" s="24">
        <v>65</v>
      </c>
    </row>
    <row r="59" spans="1:24" ht="15" thickBot="1" x14ac:dyDescent="0.35">
      <c r="A59" s="35">
        <f t="shared" ref="A59:H59" si="10">A57-A58</f>
        <v>0</v>
      </c>
      <c r="B59" s="35">
        <f t="shared" si="10"/>
        <v>0</v>
      </c>
      <c r="C59" s="35">
        <f t="shared" si="10"/>
        <v>0</v>
      </c>
      <c r="D59" s="35">
        <f t="shared" si="10"/>
        <v>0</v>
      </c>
      <c r="E59" s="35">
        <f t="shared" si="10"/>
        <v>0</v>
      </c>
      <c r="F59" s="35">
        <f t="shared" si="10"/>
        <v>0</v>
      </c>
      <c r="G59" s="35">
        <f t="shared" si="10"/>
        <v>0</v>
      </c>
      <c r="H59" s="35">
        <f t="shared" si="10"/>
        <v>0</v>
      </c>
      <c r="I59" s="16">
        <f>SUM(I53:I58)</f>
        <v>0</v>
      </c>
      <c r="K59" s="86">
        <f t="shared" ref="K59:W59" si="11">K57-K58</f>
        <v>0</v>
      </c>
      <c r="L59" s="86">
        <f t="shared" si="11"/>
        <v>0</v>
      </c>
      <c r="M59" s="86">
        <f t="shared" si="11"/>
        <v>0</v>
      </c>
      <c r="N59" s="86">
        <f t="shared" si="11"/>
        <v>0</v>
      </c>
      <c r="O59" s="86">
        <f t="shared" si="11"/>
        <v>0</v>
      </c>
      <c r="P59" s="86">
        <f t="shared" si="11"/>
        <v>0</v>
      </c>
      <c r="Q59" s="86">
        <f t="shared" si="11"/>
        <v>0</v>
      </c>
      <c r="R59" s="86">
        <f t="shared" si="11"/>
        <v>0</v>
      </c>
      <c r="S59" s="86">
        <f t="shared" si="11"/>
        <v>0</v>
      </c>
      <c r="T59" s="86">
        <f t="shared" si="11"/>
        <v>0</v>
      </c>
      <c r="U59" s="86">
        <f t="shared" si="11"/>
        <v>0</v>
      </c>
      <c r="V59" s="86">
        <f t="shared" si="11"/>
        <v>0</v>
      </c>
      <c r="W59" s="86">
        <f t="shared" si="11"/>
        <v>0</v>
      </c>
      <c r="X59" s="86">
        <f>X57-X58</f>
        <v>0</v>
      </c>
    </row>
    <row r="60" spans="1:24" ht="15.6" thickTop="1" thickBot="1" x14ac:dyDescent="0.35"/>
    <row r="61" spans="1:24" x14ac:dyDescent="0.3">
      <c r="A61" s="17">
        <v>45532</v>
      </c>
      <c r="B61" s="17">
        <v>45533</v>
      </c>
      <c r="C61" s="17">
        <v>45534</v>
      </c>
      <c r="D61" s="17">
        <v>45535</v>
      </c>
      <c r="E61" s="17">
        <v>45536</v>
      </c>
      <c r="F61" s="17">
        <v>45537</v>
      </c>
      <c r="G61" s="17">
        <v>45538</v>
      </c>
      <c r="H61" s="17"/>
      <c r="I61" s="13" t="s">
        <v>8</v>
      </c>
      <c r="K61" s="59">
        <v>45532</v>
      </c>
      <c r="L61" s="59"/>
      <c r="M61" s="59">
        <v>45533</v>
      </c>
      <c r="N61" s="59"/>
      <c r="O61" s="59">
        <v>45534</v>
      </c>
      <c r="P61" s="59"/>
      <c r="Q61" s="59">
        <v>45535</v>
      </c>
      <c r="R61" s="59"/>
      <c r="S61" s="59">
        <v>45536</v>
      </c>
      <c r="T61" s="59"/>
      <c r="U61" s="59">
        <v>45537</v>
      </c>
      <c r="V61" s="59"/>
      <c r="W61" s="59">
        <v>45538</v>
      </c>
      <c r="X61" s="59"/>
    </row>
    <row r="62" spans="1:24" ht="15" thickBot="1" x14ac:dyDescent="0.35">
      <c r="A62" s="21">
        <v>1659.6</v>
      </c>
      <c r="B62" s="22">
        <v>2193.5300000000002</v>
      </c>
      <c r="C62" s="22">
        <v>1310</v>
      </c>
      <c r="D62" s="22">
        <v>1085</v>
      </c>
      <c r="E62" s="22">
        <v>450</v>
      </c>
      <c r="F62" s="22">
        <v>1826.84</v>
      </c>
      <c r="G62" s="22">
        <v>1240</v>
      </c>
      <c r="H62" s="37"/>
      <c r="I62" s="15">
        <v>6000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26" t="s">
        <v>11</v>
      </c>
    </row>
    <row r="63" spans="1:24" x14ac:dyDescent="0.3">
      <c r="A63" s="21">
        <v>2825</v>
      </c>
      <c r="B63" s="22">
        <v>2565</v>
      </c>
      <c r="C63" s="22">
        <v>3020</v>
      </c>
      <c r="D63" s="22">
        <v>940</v>
      </c>
      <c r="E63" s="25"/>
      <c r="F63" s="22">
        <v>3120</v>
      </c>
      <c r="G63" s="22">
        <v>3250</v>
      </c>
      <c r="H63" s="37"/>
      <c r="I63" s="15">
        <v>1935</v>
      </c>
      <c r="K63" s="75">
        <v>540</v>
      </c>
      <c r="L63" s="76">
        <v>70</v>
      </c>
      <c r="M63" s="77">
        <v>540</v>
      </c>
      <c r="N63" s="77">
        <v>60</v>
      </c>
      <c r="O63" s="77">
        <v>330</v>
      </c>
      <c r="P63" s="77">
        <v>57.5</v>
      </c>
      <c r="Q63" s="77">
        <v>28</v>
      </c>
      <c r="R63" s="77">
        <v>42.5</v>
      </c>
      <c r="S63" s="78">
        <v>660</v>
      </c>
      <c r="T63" s="69"/>
      <c r="U63" s="63">
        <v>480</v>
      </c>
      <c r="V63" s="63">
        <v>400.5</v>
      </c>
      <c r="W63" s="63">
        <v>270</v>
      </c>
      <c r="X63" s="63">
        <v>50</v>
      </c>
    </row>
    <row r="64" spans="1:24" x14ac:dyDescent="0.3">
      <c r="A64" s="21">
        <v>1105</v>
      </c>
      <c r="B64" s="22">
        <v>1315</v>
      </c>
      <c r="C64" s="22">
        <v>1981.28</v>
      </c>
      <c r="D64" s="26">
        <v>2071.9899999999998</v>
      </c>
      <c r="E64" s="22"/>
      <c r="F64" s="22">
        <v>1165</v>
      </c>
      <c r="G64" s="22">
        <v>1826.84</v>
      </c>
      <c r="H64" s="37"/>
      <c r="I64" s="15">
        <v>5598.42</v>
      </c>
      <c r="K64" s="21">
        <v>2330</v>
      </c>
      <c r="L64" s="79"/>
      <c r="M64" s="80">
        <v>2090</v>
      </c>
      <c r="N64" s="43">
        <v>42.5</v>
      </c>
      <c r="O64" s="43">
        <v>344</v>
      </c>
      <c r="P64" s="43"/>
      <c r="Q64" s="80">
        <v>420</v>
      </c>
      <c r="R64" s="80"/>
      <c r="S64" s="43">
        <v>84</v>
      </c>
      <c r="T64" s="22"/>
      <c r="U64" s="22">
        <v>3030</v>
      </c>
      <c r="V64" s="22"/>
      <c r="W64" s="22">
        <v>260</v>
      </c>
      <c r="X64" s="22">
        <v>51</v>
      </c>
    </row>
    <row r="65" spans="1:24" x14ac:dyDescent="0.3">
      <c r="A65" s="21"/>
      <c r="B65" s="22"/>
      <c r="C65" s="22"/>
      <c r="D65" s="25"/>
      <c r="E65" s="22"/>
      <c r="F65" s="22"/>
      <c r="G65" s="22"/>
      <c r="H65" s="37"/>
      <c r="I65" s="15">
        <v>4245.6000000000004</v>
      </c>
      <c r="K65" s="21">
        <v>304</v>
      </c>
      <c r="L65" s="79"/>
      <c r="M65" s="81">
        <v>245</v>
      </c>
      <c r="N65" s="43"/>
      <c r="O65" s="43">
        <v>2850</v>
      </c>
      <c r="P65" s="43"/>
      <c r="Q65" s="80">
        <v>242</v>
      </c>
      <c r="R65" s="81"/>
      <c r="S65" s="43"/>
      <c r="T65" s="22"/>
      <c r="U65" s="22">
        <v>338</v>
      </c>
      <c r="V65" s="22"/>
      <c r="W65" s="22">
        <v>2380</v>
      </c>
      <c r="X65" s="22">
        <v>770</v>
      </c>
    </row>
    <row r="66" spans="1:24" x14ac:dyDescent="0.3">
      <c r="A66" s="21"/>
      <c r="B66" s="22"/>
      <c r="C66" s="22"/>
      <c r="D66" s="22"/>
      <c r="E66" s="22"/>
      <c r="F66" s="22"/>
      <c r="G66" s="22"/>
      <c r="H66" s="37"/>
      <c r="I66" s="15">
        <v>390</v>
      </c>
      <c r="K66" s="21">
        <v>600</v>
      </c>
      <c r="L66" s="79"/>
      <c r="M66" s="43">
        <v>510</v>
      </c>
      <c r="N66" s="43"/>
      <c r="O66" s="43">
        <v>360</v>
      </c>
      <c r="P66" s="43"/>
      <c r="Q66" s="43">
        <v>1360</v>
      </c>
      <c r="R66" s="43"/>
      <c r="S66" s="43"/>
      <c r="T66" s="22"/>
      <c r="U66" s="22">
        <v>210</v>
      </c>
      <c r="V66" s="22"/>
      <c r="W66" s="22">
        <v>360</v>
      </c>
      <c r="X66" s="22">
        <v>2040</v>
      </c>
    </row>
    <row r="67" spans="1:24" ht="15" thickBot="1" x14ac:dyDescent="0.35">
      <c r="A67" s="21"/>
      <c r="B67" s="22"/>
      <c r="C67" s="22"/>
      <c r="D67" s="22"/>
      <c r="E67" s="22"/>
      <c r="F67" s="22"/>
      <c r="G67" s="22"/>
      <c r="I67" s="131">
        <v>733.38</v>
      </c>
      <c r="K67" s="128">
        <v>28</v>
      </c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/>
      <c r="X67" s="22"/>
    </row>
    <row r="68" spans="1:24" ht="15.6" thickTop="1" thickBot="1" x14ac:dyDescent="0.35">
      <c r="A68" s="21"/>
      <c r="B68" s="22"/>
      <c r="C68" s="22"/>
      <c r="D68" s="22"/>
      <c r="E68" s="22"/>
      <c r="F68" s="22"/>
      <c r="G68" s="22"/>
      <c r="H68" s="37"/>
      <c r="I68" s="132">
        <f>SUM(I62:I67)</f>
        <v>18902.400000000001</v>
      </c>
      <c r="K68" s="21"/>
      <c r="L68" s="79"/>
      <c r="M68" s="43"/>
      <c r="N68" s="43"/>
      <c r="O68" s="43"/>
      <c r="P68" s="43"/>
      <c r="Q68" s="43"/>
      <c r="R68" s="43"/>
      <c r="S68" s="43"/>
      <c r="T68" s="22"/>
      <c r="U68" s="22"/>
      <c r="V68" s="22"/>
      <c r="W68" s="22"/>
      <c r="X68" s="22"/>
    </row>
    <row r="69" spans="1:24" ht="15" thickTop="1" x14ac:dyDescent="0.3">
      <c r="A69" s="21"/>
      <c r="B69" s="22"/>
      <c r="C69" s="22"/>
      <c r="D69" s="22"/>
      <c r="E69" s="22"/>
      <c r="F69" s="22"/>
      <c r="G69" s="22"/>
      <c r="H69" s="22"/>
      <c r="I69" s="40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1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7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1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1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3">
      <c r="A75" s="24"/>
      <c r="B75" s="22"/>
      <c r="C75" s="22"/>
      <c r="D75" s="22"/>
      <c r="E75" s="22"/>
      <c r="F75" s="22"/>
      <c r="G75" s="22"/>
      <c r="H75" s="22"/>
      <c r="I75" s="23"/>
      <c r="K75" s="24"/>
      <c r="L75" s="56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3">
      <c r="A76" s="24">
        <f t="shared" ref="A76:G76" si="12">SUM(A62:A75)</f>
        <v>5589.6</v>
      </c>
      <c r="B76" s="24">
        <f t="shared" si="12"/>
        <v>6073.5300000000007</v>
      </c>
      <c r="C76" s="24">
        <f t="shared" si="12"/>
        <v>6311.28</v>
      </c>
      <c r="D76" s="24">
        <f t="shared" si="12"/>
        <v>4096.99</v>
      </c>
      <c r="E76" s="24">
        <f t="shared" si="12"/>
        <v>450</v>
      </c>
      <c r="F76" s="24">
        <f t="shared" si="12"/>
        <v>6111.84</v>
      </c>
      <c r="G76" s="24">
        <f t="shared" si="12"/>
        <v>6316.84</v>
      </c>
      <c r="H76" s="29">
        <f>SUM(A76:G76)+I68</f>
        <v>53852.480000000003</v>
      </c>
      <c r="I76" s="30" t="s">
        <v>7</v>
      </c>
      <c r="K76" s="24">
        <f t="shared" ref="K76:X76" si="13">SUM(K63:K75)</f>
        <v>3802</v>
      </c>
      <c r="L76" s="24">
        <f t="shared" si="13"/>
        <v>70</v>
      </c>
      <c r="M76" s="24">
        <f t="shared" si="13"/>
        <v>3385</v>
      </c>
      <c r="N76" s="24">
        <f t="shared" si="13"/>
        <v>102.5</v>
      </c>
      <c r="O76" s="24">
        <f t="shared" si="13"/>
        <v>3884</v>
      </c>
      <c r="P76" s="24">
        <f t="shared" si="13"/>
        <v>57.5</v>
      </c>
      <c r="Q76" s="24">
        <f t="shared" si="13"/>
        <v>2050</v>
      </c>
      <c r="R76" s="24">
        <f t="shared" si="13"/>
        <v>42.5</v>
      </c>
      <c r="S76" s="24">
        <f t="shared" si="13"/>
        <v>744</v>
      </c>
      <c r="T76" s="24">
        <f t="shared" si="13"/>
        <v>0</v>
      </c>
      <c r="U76" s="24">
        <f t="shared" si="13"/>
        <v>4058</v>
      </c>
      <c r="V76" s="24">
        <f t="shared" si="13"/>
        <v>400.5</v>
      </c>
      <c r="W76" s="24">
        <f t="shared" si="13"/>
        <v>3270</v>
      </c>
      <c r="X76" s="24">
        <f t="shared" si="13"/>
        <v>2911</v>
      </c>
    </row>
    <row r="77" spans="1:24" x14ac:dyDescent="0.3">
      <c r="A77" s="24">
        <v>5589.6</v>
      </c>
      <c r="B77" s="24">
        <v>6073.53</v>
      </c>
      <c r="C77" s="24">
        <v>6311.28</v>
      </c>
      <c r="D77" s="24">
        <v>4096.99</v>
      </c>
      <c r="E77" s="24">
        <v>450</v>
      </c>
      <c r="F77" s="24">
        <v>6111.84</v>
      </c>
      <c r="G77" s="24">
        <v>6316.84</v>
      </c>
      <c r="H77" s="22">
        <f>SUM(A77:G77)+I68</f>
        <v>53852.480000000003</v>
      </c>
      <c r="I77" s="33" t="s">
        <v>1</v>
      </c>
      <c r="K77" s="24">
        <v>3802</v>
      </c>
      <c r="L77" s="24">
        <v>70</v>
      </c>
      <c r="M77" s="24">
        <v>3385</v>
      </c>
      <c r="N77" s="24">
        <v>102.5</v>
      </c>
      <c r="O77" s="24">
        <v>3884</v>
      </c>
      <c r="P77" s="24">
        <v>57.5</v>
      </c>
      <c r="Q77" s="24">
        <v>2050</v>
      </c>
      <c r="R77" s="24">
        <v>42.5</v>
      </c>
      <c r="S77" s="24">
        <v>744</v>
      </c>
      <c r="T77" s="24">
        <v>0</v>
      </c>
      <c r="U77" s="24">
        <v>4058</v>
      </c>
      <c r="V77" s="24">
        <v>400.5</v>
      </c>
      <c r="W77" s="24">
        <v>3270</v>
      </c>
      <c r="X77" s="24">
        <v>2911</v>
      </c>
    </row>
    <row r="78" spans="1:24" ht="15" thickBot="1" x14ac:dyDescent="0.35">
      <c r="A78" s="35">
        <f t="shared" ref="A78:H78" si="14">A76-A77</f>
        <v>0</v>
      </c>
      <c r="B78" s="35">
        <f t="shared" si="14"/>
        <v>0</v>
      </c>
      <c r="C78" s="35">
        <f t="shared" si="14"/>
        <v>0</v>
      </c>
      <c r="D78" s="35">
        <f t="shared" si="14"/>
        <v>0</v>
      </c>
      <c r="E78" s="35">
        <f t="shared" si="14"/>
        <v>0</v>
      </c>
      <c r="F78" s="35">
        <f t="shared" si="14"/>
        <v>0</v>
      </c>
      <c r="G78" s="35">
        <f t="shared" si="14"/>
        <v>0</v>
      </c>
      <c r="H78" s="35">
        <f t="shared" si="14"/>
        <v>0</v>
      </c>
      <c r="I78" s="16">
        <f>SUM(I72:I77)</f>
        <v>0</v>
      </c>
      <c r="K78" s="86">
        <f t="shared" ref="K78:W78" si="15">K76-K77</f>
        <v>0</v>
      </c>
      <c r="L78" s="86">
        <f t="shared" si="15"/>
        <v>0</v>
      </c>
      <c r="M78" s="86">
        <f t="shared" si="15"/>
        <v>0</v>
      </c>
      <c r="N78" s="86">
        <f t="shared" si="15"/>
        <v>0</v>
      </c>
      <c r="O78" s="86">
        <f t="shared" si="15"/>
        <v>0</v>
      </c>
      <c r="P78" s="86">
        <f t="shared" si="15"/>
        <v>0</v>
      </c>
      <c r="Q78" s="86">
        <f t="shared" si="15"/>
        <v>0</v>
      </c>
      <c r="R78" s="86">
        <f t="shared" si="15"/>
        <v>0</v>
      </c>
      <c r="S78" s="86">
        <f t="shared" si="15"/>
        <v>0</v>
      </c>
      <c r="T78" s="86">
        <f t="shared" si="15"/>
        <v>0</v>
      </c>
      <c r="U78" s="86">
        <f t="shared" si="15"/>
        <v>0</v>
      </c>
      <c r="V78" s="86">
        <f t="shared" si="15"/>
        <v>0</v>
      </c>
      <c r="W78" s="86">
        <f t="shared" si="15"/>
        <v>0</v>
      </c>
      <c r="X78" s="86">
        <f>X76-X77</f>
        <v>0</v>
      </c>
    </row>
    <row r="79" spans="1:24" ht="15" thickTop="1" x14ac:dyDescent="0.3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1DFB-BC8A-4951-A1A7-3921FB458F06}">
  <dimension ref="A1:X77"/>
  <sheetViews>
    <sheetView topLeftCell="C44" workbookViewId="0">
      <selection activeCell="K59" sqref="K59:X76"/>
    </sheetView>
  </sheetViews>
  <sheetFormatPr defaultRowHeight="14.4" x14ac:dyDescent="0.3"/>
  <cols>
    <col min="1" max="2" width="12" customWidth="1"/>
    <col min="3" max="3" width="11.109375" customWidth="1"/>
    <col min="4" max="4" width="11.44140625" customWidth="1"/>
    <col min="5" max="5" width="12.109375" customWidth="1"/>
    <col min="6" max="6" width="11.33203125" customWidth="1"/>
    <col min="7" max="7" width="12.109375" customWidth="1"/>
    <col min="8" max="8" width="11.33203125" customWidth="1"/>
    <col min="9" max="9" width="13" bestFit="1" customWidth="1"/>
    <col min="11" max="11" width="11.6640625" customWidth="1"/>
    <col min="12" max="12" width="14.109375" customWidth="1"/>
    <col min="13" max="13" width="11.88671875" customWidth="1"/>
    <col min="14" max="14" width="12.33203125" customWidth="1"/>
    <col min="15" max="15" width="11.88671875" customWidth="1"/>
    <col min="16" max="16" width="10.33203125" customWidth="1"/>
    <col min="17" max="17" width="10.5546875" customWidth="1"/>
    <col min="18" max="18" width="11.88671875" customWidth="1"/>
    <col min="19" max="19" width="10.88671875" customWidth="1"/>
    <col min="20" max="20" width="10.33203125" customWidth="1"/>
    <col min="21" max="21" width="10.109375" customWidth="1"/>
    <col min="22" max="22" width="10.5546875" customWidth="1"/>
    <col min="23" max="23" width="10.33203125" customWidth="1"/>
    <col min="24" max="24" width="12.33203125" bestFit="1" customWidth="1"/>
  </cols>
  <sheetData>
    <row r="1" spans="1:24" ht="15" thickBot="1" x14ac:dyDescent="0.35"/>
    <row r="2" spans="1:24" x14ac:dyDescent="0.3">
      <c r="A2" s="17">
        <v>45539</v>
      </c>
      <c r="B2" s="17">
        <v>45540</v>
      </c>
      <c r="C2" s="17">
        <v>45541</v>
      </c>
      <c r="D2" s="17">
        <v>45542</v>
      </c>
      <c r="E2" s="17">
        <v>45543</v>
      </c>
      <c r="F2" s="17">
        <v>45544</v>
      </c>
      <c r="G2" s="17">
        <v>45545</v>
      </c>
      <c r="H2" s="17"/>
      <c r="I2" s="13" t="s">
        <v>8</v>
      </c>
      <c r="K2" s="59">
        <v>45539</v>
      </c>
      <c r="L2" s="59"/>
      <c r="M2" s="59">
        <v>45540</v>
      </c>
      <c r="N2" s="59"/>
      <c r="O2" s="59">
        <v>45541</v>
      </c>
      <c r="P2" s="59"/>
      <c r="Q2" s="59">
        <v>45542</v>
      </c>
      <c r="R2" s="59"/>
      <c r="S2" s="59">
        <v>45543</v>
      </c>
      <c r="T2" s="59"/>
      <c r="U2" s="59">
        <v>45544</v>
      </c>
      <c r="V2" s="59"/>
      <c r="W2" s="59">
        <v>45545</v>
      </c>
      <c r="X2" s="59"/>
    </row>
    <row r="3" spans="1:24" ht="15" thickBot="1" x14ac:dyDescent="0.35">
      <c r="A3" s="21">
        <v>1736.82</v>
      </c>
      <c r="B3" s="22">
        <v>1210</v>
      </c>
      <c r="C3" s="22">
        <v>2323.54</v>
      </c>
      <c r="D3" s="22">
        <v>1248.5899999999999</v>
      </c>
      <c r="E3" s="22">
        <v>330</v>
      </c>
      <c r="F3" s="22">
        <v>1570.13</v>
      </c>
      <c r="G3" s="22">
        <v>1570.13</v>
      </c>
      <c r="H3" s="37"/>
      <c r="I3" s="15">
        <v>4245.6000000000004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1">
        <v>2985</v>
      </c>
      <c r="B4" s="22">
        <v>2450</v>
      </c>
      <c r="C4" s="22">
        <v>3045</v>
      </c>
      <c r="D4" s="22">
        <v>1005</v>
      </c>
      <c r="E4" s="25"/>
      <c r="F4" s="22">
        <v>3565</v>
      </c>
      <c r="G4" s="22">
        <v>3215</v>
      </c>
      <c r="H4" s="37"/>
      <c r="I4" s="15">
        <v>733.38</v>
      </c>
      <c r="K4" s="75">
        <v>240</v>
      </c>
      <c r="L4" s="76">
        <v>60</v>
      </c>
      <c r="M4" s="77">
        <v>356</v>
      </c>
      <c r="N4" s="77">
        <v>42.5</v>
      </c>
      <c r="O4" s="77">
        <v>120</v>
      </c>
      <c r="P4" s="77">
        <v>57.5</v>
      </c>
      <c r="Q4" s="77">
        <v>1650</v>
      </c>
      <c r="R4" s="77">
        <v>1500</v>
      </c>
      <c r="S4" s="78">
        <v>760</v>
      </c>
      <c r="T4" s="69">
        <v>15</v>
      </c>
      <c r="U4" s="63">
        <v>300</v>
      </c>
      <c r="V4" s="63">
        <v>57.5</v>
      </c>
      <c r="W4" s="63">
        <v>540</v>
      </c>
      <c r="X4" s="63">
        <v>65</v>
      </c>
    </row>
    <row r="5" spans="1:24" x14ac:dyDescent="0.3">
      <c r="A5" s="21">
        <v>920</v>
      </c>
      <c r="B5" s="22">
        <v>1859.05</v>
      </c>
      <c r="C5" s="22">
        <v>1275</v>
      </c>
      <c r="D5" s="26">
        <v>1000</v>
      </c>
      <c r="E5" s="22"/>
      <c r="F5" s="22">
        <v>1105</v>
      </c>
      <c r="G5" s="22">
        <v>1490</v>
      </c>
      <c r="H5" s="37"/>
      <c r="I5" s="15">
        <v>5600.66</v>
      </c>
      <c r="K5" s="21">
        <v>2920</v>
      </c>
      <c r="L5" s="79">
        <v>70</v>
      </c>
      <c r="M5" s="80">
        <v>250</v>
      </c>
      <c r="N5" s="43">
        <v>459.9</v>
      </c>
      <c r="O5" s="43">
        <v>3100</v>
      </c>
      <c r="P5" s="43"/>
      <c r="Q5" s="80">
        <v>386</v>
      </c>
      <c r="R5" s="80">
        <v>250</v>
      </c>
      <c r="S5" s="43">
        <v>84</v>
      </c>
      <c r="T5" s="22"/>
      <c r="U5" s="22">
        <v>3400</v>
      </c>
      <c r="V5" s="22">
        <v>200</v>
      </c>
      <c r="W5" s="22">
        <v>2280</v>
      </c>
      <c r="X5" s="22">
        <v>249.9</v>
      </c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6800</v>
      </c>
      <c r="K6" s="21">
        <v>304</v>
      </c>
      <c r="L6" s="79"/>
      <c r="M6" s="81">
        <v>2710</v>
      </c>
      <c r="N6" s="43">
        <v>409.5</v>
      </c>
      <c r="O6" s="43">
        <v>400</v>
      </c>
      <c r="P6" s="43"/>
      <c r="Q6" s="80">
        <v>430</v>
      </c>
      <c r="R6" s="81">
        <v>140</v>
      </c>
      <c r="S6" s="43"/>
      <c r="T6" s="22"/>
      <c r="U6" s="22">
        <v>423</v>
      </c>
      <c r="V6" s="22"/>
      <c r="W6" s="22">
        <v>266</v>
      </c>
      <c r="X6" s="22"/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2755</v>
      </c>
      <c r="K7" s="21">
        <v>300</v>
      </c>
      <c r="L7" s="79"/>
      <c r="M7" s="43">
        <v>420</v>
      </c>
      <c r="N7" s="43"/>
      <c r="O7" s="43">
        <v>300</v>
      </c>
      <c r="P7" s="43"/>
      <c r="Q7" s="43">
        <v>48</v>
      </c>
      <c r="R7" s="43">
        <v>57.5</v>
      </c>
      <c r="S7" s="43"/>
      <c r="T7" s="22"/>
      <c r="U7" s="22">
        <v>270</v>
      </c>
      <c r="V7" s="22"/>
      <c r="W7" s="22">
        <v>420</v>
      </c>
      <c r="X7" s="22"/>
    </row>
    <row r="8" spans="1:24" ht="15" thickBot="1" x14ac:dyDescent="0.35">
      <c r="A8" s="21"/>
      <c r="B8" s="22"/>
      <c r="C8" s="22"/>
      <c r="D8" s="22"/>
      <c r="E8" s="22"/>
      <c r="F8" s="22"/>
      <c r="G8" s="22"/>
      <c r="I8" s="131"/>
      <c r="K8" s="128"/>
      <c r="L8" s="79"/>
      <c r="M8" s="43"/>
      <c r="N8" s="43"/>
      <c r="O8" s="43">
        <v>28</v>
      </c>
      <c r="P8" s="43"/>
      <c r="Q8" s="43"/>
      <c r="R8" s="43">
        <v>51.9</v>
      </c>
      <c r="S8" s="43"/>
      <c r="T8" s="22"/>
      <c r="U8" s="22"/>
      <c r="V8" s="22"/>
      <c r="W8" s="22">
        <v>28</v>
      </c>
      <c r="X8" s="22"/>
    </row>
    <row r="9" spans="1:24" ht="15.6" thickTop="1" thickBot="1" x14ac:dyDescent="0.35">
      <c r="A9" s="21"/>
      <c r="B9" s="22"/>
      <c r="C9" s="22"/>
      <c r="D9" s="22"/>
      <c r="E9" s="22"/>
      <c r="F9" s="22"/>
      <c r="G9" s="22"/>
      <c r="H9" s="37"/>
      <c r="I9" s="132">
        <f>SUM(I3:I8)</f>
        <v>20134.64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1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1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1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3">
      <c r="A17" s="24">
        <f t="shared" ref="A17:G17" si="0">SUM(A3:A16)</f>
        <v>5641.82</v>
      </c>
      <c r="B17" s="24">
        <f t="shared" si="0"/>
        <v>5519.05</v>
      </c>
      <c r="C17" s="24">
        <f t="shared" si="0"/>
        <v>6643.54</v>
      </c>
      <c r="D17" s="24">
        <f t="shared" si="0"/>
        <v>3253.59</v>
      </c>
      <c r="E17" s="24">
        <f t="shared" si="0"/>
        <v>330</v>
      </c>
      <c r="F17" s="24">
        <f t="shared" si="0"/>
        <v>6240.13</v>
      </c>
      <c r="G17" s="24">
        <f t="shared" si="0"/>
        <v>6275.13</v>
      </c>
      <c r="H17" s="29">
        <f>SUM(A17:G17)+I9</f>
        <v>54037.9</v>
      </c>
      <c r="I17" s="30" t="s">
        <v>7</v>
      </c>
      <c r="K17" s="24">
        <f t="shared" ref="K17:X17" si="1">SUM(K4:K16)</f>
        <v>3764</v>
      </c>
      <c r="L17" s="24">
        <f t="shared" si="1"/>
        <v>130</v>
      </c>
      <c r="M17" s="24">
        <f t="shared" si="1"/>
        <v>3736</v>
      </c>
      <c r="N17" s="24">
        <f t="shared" si="1"/>
        <v>911.9</v>
      </c>
      <c r="O17" s="24">
        <f t="shared" si="1"/>
        <v>3948</v>
      </c>
      <c r="P17" s="24">
        <f t="shared" si="1"/>
        <v>57.5</v>
      </c>
      <c r="Q17" s="24">
        <f t="shared" si="1"/>
        <v>2514</v>
      </c>
      <c r="R17" s="24">
        <f t="shared" si="1"/>
        <v>1999.4</v>
      </c>
      <c r="S17" s="24">
        <f t="shared" si="1"/>
        <v>844</v>
      </c>
      <c r="T17" s="24">
        <f t="shared" si="1"/>
        <v>15</v>
      </c>
      <c r="U17" s="24">
        <f t="shared" si="1"/>
        <v>4393</v>
      </c>
      <c r="V17" s="24">
        <f t="shared" si="1"/>
        <v>257.5</v>
      </c>
      <c r="W17" s="24">
        <f t="shared" si="1"/>
        <v>3534</v>
      </c>
      <c r="X17" s="24">
        <f t="shared" si="1"/>
        <v>314.89999999999998</v>
      </c>
    </row>
    <row r="18" spans="1:24" x14ac:dyDescent="0.3">
      <c r="A18" s="24">
        <v>5641.82</v>
      </c>
      <c r="B18" s="24">
        <v>5519.05</v>
      </c>
      <c r="C18" s="24">
        <v>6643.54</v>
      </c>
      <c r="D18" s="24">
        <v>3253.59</v>
      </c>
      <c r="E18" s="24">
        <v>330</v>
      </c>
      <c r="F18" s="24">
        <v>6240.13</v>
      </c>
      <c r="G18" s="24">
        <v>6275.13</v>
      </c>
      <c r="H18" s="22">
        <f>SUM(A18:G18)+I9</f>
        <v>54037.9</v>
      </c>
      <c r="I18" s="33" t="s">
        <v>1</v>
      </c>
      <c r="K18" s="24">
        <v>3764</v>
      </c>
      <c r="L18" s="24">
        <v>130</v>
      </c>
      <c r="M18" s="24">
        <v>3736</v>
      </c>
      <c r="N18" s="24">
        <v>911.9</v>
      </c>
      <c r="O18" s="24">
        <v>3948</v>
      </c>
      <c r="P18" s="24">
        <v>57.5</v>
      </c>
      <c r="Q18" s="24">
        <v>2514</v>
      </c>
      <c r="R18" s="24">
        <v>1999.4</v>
      </c>
      <c r="S18" s="24">
        <v>844</v>
      </c>
      <c r="T18" s="24">
        <v>15</v>
      </c>
      <c r="U18" s="24">
        <v>4393</v>
      </c>
      <c r="V18" s="24">
        <v>257.5</v>
      </c>
      <c r="W18" s="24">
        <v>3534</v>
      </c>
      <c r="X18" s="24">
        <v>314.89999999999998</v>
      </c>
    </row>
    <row r="19" spans="1:24" ht="15" thickBot="1" x14ac:dyDescent="0.35">
      <c r="A19" s="35">
        <f t="shared" ref="A19:H19" si="2">A17-A18</f>
        <v>0</v>
      </c>
      <c r="B19" s="35">
        <f t="shared" si="2"/>
        <v>0</v>
      </c>
      <c r="C19" s="35">
        <f t="shared" si="2"/>
        <v>0</v>
      </c>
      <c r="D19" s="35">
        <f t="shared" si="2"/>
        <v>0</v>
      </c>
      <c r="E19" s="35">
        <f t="shared" si="2"/>
        <v>0</v>
      </c>
      <c r="F19" s="35">
        <f t="shared" si="2"/>
        <v>0</v>
      </c>
      <c r="G19" s="35">
        <f t="shared" si="2"/>
        <v>0</v>
      </c>
      <c r="H19" s="35">
        <f t="shared" si="2"/>
        <v>0</v>
      </c>
      <c r="I19" s="16">
        <f>SUM(I13:I18)</f>
        <v>0</v>
      </c>
      <c r="K19" s="86">
        <f t="shared" ref="K19:W19" si="3">K17-K18</f>
        <v>0</v>
      </c>
      <c r="L19" s="86">
        <f t="shared" si="3"/>
        <v>0</v>
      </c>
      <c r="M19" s="86">
        <f t="shared" si="3"/>
        <v>0</v>
      </c>
      <c r="N19" s="86">
        <f t="shared" si="3"/>
        <v>0</v>
      </c>
      <c r="O19" s="86">
        <f t="shared" si="3"/>
        <v>0</v>
      </c>
      <c r="P19" s="86">
        <f t="shared" si="3"/>
        <v>0</v>
      </c>
      <c r="Q19" s="86">
        <f t="shared" si="3"/>
        <v>0</v>
      </c>
      <c r="R19" s="86">
        <f t="shared" si="3"/>
        <v>0</v>
      </c>
      <c r="S19" s="86">
        <f t="shared" si="3"/>
        <v>0</v>
      </c>
      <c r="T19" s="86">
        <f t="shared" si="3"/>
        <v>0</v>
      </c>
      <c r="U19" s="86">
        <f t="shared" si="3"/>
        <v>0</v>
      </c>
      <c r="V19" s="86">
        <f t="shared" si="3"/>
        <v>0</v>
      </c>
      <c r="W19" s="86">
        <f t="shared" si="3"/>
        <v>0</v>
      </c>
      <c r="X19" s="86">
        <f>X17-X18</f>
        <v>0</v>
      </c>
    </row>
    <row r="20" spans="1:24" ht="15.6" thickTop="1" thickBot="1" x14ac:dyDescent="0.35"/>
    <row r="21" spans="1:24" x14ac:dyDescent="0.3">
      <c r="A21" s="17">
        <v>45546</v>
      </c>
      <c r="B21" s="17">
        <v>45547</v>
      </c>
      <c r="C21" s="17">
        <v>45548</v>
      </c>
      <c r="D21" s="17">
        <v>45549</v>
      </c>
      <c r="E21" s="17">
        <v>45550</v>
      </c>
      <c r="F21" s="17">
        <v>45551</v>
      </c>
      <c r="G21" s="17">
        <v>45552</v>
      </c>
      <c r="H21" s="17"/>
      <c r="I21" s="13" t="s">
        <v>8</v>
      </c>
      <c r="K21" s="59">
        <v>45546</v>
      </c>
      <c r="L21" s="59"/>
      <c r="M21" s="59">
        <v>45547</v>
      </c>
      <c r="N21" s="59"/>
      <c r="O21" s="59">
        <v>45548</v>
      </c>
      <c r="P21" s="59"/>
      <c r="Q21" s="59">
        <v>45549</v>
      </c>
      <c r="R21" s="59"/>
      <c r="S21" s="59">
        <v>45550</v>
      </c>
      <c r="T21" s="59"/>
      <c r="U21" s="59">
        <v>45551</v>
      </c>
      <c r="V21" s="59"/>
      <c r="W21" s="59">
        <v>45552</v>
      </c>
      <c r="X21" s="59"/>
    </row>
    <row r="22" spans="1:24" ht="15" thickBot="1" x14ac:dyDescent="0.35">
      <c r="A22" s="21">
        <v>1859.6</v>
      </c>
      <c r="B22" s="22">
        <v>1949.62</v>
      </c>
      <c r="C22" s="22">
        <v>1095</v>
      </c>
      <c r="D22" s="22">
        <v>1010</v>
      </c>
      <c r="E22" s="22">
        <v>650</v>
      </c>
      <c r="F22" s="22">
        <v>1692.36</v>
      </c>
      <c r="G22" s="22">
        <v>1505</v>
      </c>
      <c r="H22" s="37"/>
      <c r="I22" s="15">
        <v>2155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</row>
    <row r="23" spans="1:24" x14ac:dyDescent="0.3">
      <c r="A23" s="21">
        <v>2895</v>
      </c>
      <c r="B23" s="22">
        <v>3060</v>
      </c>
      <c r="C23" s="22">
        <v>3015</v>
      </c>
      <c r="D23" s="22">
        <v>1590</v>
      </c>
      <c r="E23" s="25"/>
      <c r="F23" s="22">
        <v>2905</v>
      </c>
      <c r="G23" s="22">
        <v>3465</v>
      </c>
      <c r="H23" s="37"/>
      <c r="I23" s="15">
        <v>6400</v>
      </c>
      <c r="K23" s="75">
        <v>540</v>
      </c>
      <c r="L23" s="76">
        <v>42.5</v>
      </c>
      <c r="M23" s="77">
        <v>300</v>
      </c>
      <c r="N23" s="77">
        <v>900</v>
      </c>
      <c r="O23" s="77">
        <v>240</v>
      </c>
      <c r="P23" s="77">
        <v>57.5</v>
      </c>
      <c r="Q23" s="77">
        <v>28</v>
      </c>
      <c r="R23" s="77">
        <v>50</v>
      </c>
      <c r="S23" s="78">
        <v>84</v>
      </c>
      <c r="T23" s="69">
        <v>15</v>
      </c>
      <c r="U23" s="63">
        <v>740</v>
      </c>
      <c r="V23" s="63">
        <v>217.5</v>
      </c>
      <c r="W23" s="63">
        <v>360</v>
      </c>
      <c r="X23" s="63">
        <v>65</v>
      </c>
    </row>
    <row r="24" spans="1:24" x14ac:dyDescent="0.3">
      <c r="A24" s="21">
        <v>1120</v>
      </c>
      <c r="B24" s="22">
        <v>1245</v>
      </c>
      <c r="C24" s="22">
        <v>2059.0500000000002</v>
      </c>
      <c r="D24" s="26">
        <v>778.94</v>
      </c>
      <c r="E24" s="22"/>
      <c r="F24" s="22">
        <v>1270</v>
      </c>
      <c r="G24" s="22">
        <v>2271.3000000000002</v>
      </c>
      <c r="H24" s="37"/>
      <c r="I24" s="15">
        <v>5602.9</v>
      </c>
      <c r="K24" s="21">
        <v>2860</v>
      </c>
      <c r="L24" s="79"/>
      <c r="M24" s="80">
        <v>2380</v>
      </c>
      <c r="N24" s="43">
        <v>42.5</v>
      </c>
      <c r="O24" s="43">
        <v>346</v>
      </c>
      <c r="P24" s="43">
        <v>99</v>
      </c>
      <c r="Q24" s="80">
        <v>280</v>
      </c>
      <c r="R24" s="80">
        <v>10</v>
      </c>
      <c r="S24" s="43">
        <v>420</v>
      </c>
      <c r="T24" s="22"/>
      <c r="U24" s="22">
        <v>3790</v>
      </c>
      <c r="V24" s="22"/>
      <c r="W24" s="22">
        <v>266</v>
      </c>
      <c r="X24" s="22">
        <v>431.1</v>
      </c>
    </row>
    <row r="25" spans="1:24" x14ac:dyDescent="0.3">
      <c r="A25" s="21"/>
      <c r="B25" s="22"/>
      <c r="C25" s="22"/>
      <c r="D25" s="25"/>
      <c r="E25" s="22"/>
      <c r="F25" s="22"/>
      <c r="G25" s="22"/>
      <c r="H25" s="37"/>
      <c r="I25" s="15">
        <v>4245.6000000000004</v>
      </c>
      <c r="K25" s="21">
        <v>304</v>
      </c>
      <c r="L25" s="79"/>
      <c r="M25" s="81">
        <v>254</v>
      </c>
      <c r="N25" s="43"/>
      <c r="O25" s="43">
        <v>3130</v>
      </c>
      <c r="P25" s="43"/>
      <c r="Q25" s="80">
        <v>254</v>
      </c>
      <c r="R25" s="81"/>
      <c r="S25" s="43"/>
      <c r="T25" s="22"/>
      <c r="U25" s="22">
        <v>355</v>
      </c>
      <c r="V25" s="22"/>
      <c r="W25" s="22">
        <v>3050</v>
      </c>
      <c r="X25" s="22">
        <v>409.5</v>
      </c>
    </row>
    <row r="26" spans="1:24" x14ac:dyDescent="0.3">
      <c r="A26" s="21"/>
      <c r="B26" s="22"/>
      <c r="C26" s="22"/>
      <c r="D26" s="22"/>
      <c r="E26" s="22"/>
      <c r="F26" s="22"/>
      <c r="G26" s="22"/>
      <c r="H26" s="37"/>
      <c r="I26" s="15">
        <v>823.4</v>
      </c>
      <c r="K26" s="21">
        <v>270</v>
      </c>
      <c r="L26" s="79"/>
      <c r="M26" s="43">
        <v>360</v>
      </c>
      <c r="N26" s="43"/>
      <c r="O26" s="43" t="s">
        <v>9</v>
      </c>
      <c r="P26" s="43"/>
      <c r="Q26" s="43">
        <v>1630</v>
      </c>
      <c r="R26" s="43"/>
      <c r="S26" s="43"/>
      <c r="T26" s="22"/>
      <c r="U26" s="22">
        <v>360</v>
      </c>
      <c r="V26" s="22"/>
      <c r="W26" s="22">
        <v>120</v>
      </c>
      <c r="X26" s="22"/>
    </row>
    <row r="27" spans="1:24" ht="15" thickBot="1" x14ac:dyDescent="0.35">
      <c r="A27" s="21"/>
      <c r="B27" s="22"/>
      <c r="C27" s="22"/>
      <c r="D27" s="22"/>
      <c r="E27" s="22"/>
      <c r="F27" s="22"/>
      <c r="G27" s="22"/>
      <c r="I27" s="131"/>
      <c r="K27" s="128"/>
      <c r="L27" s="79"/>
      <c r="M27" s="43">
        <v>28</v>
      </c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22"/>
    </row>
    <row r="28" spans="1:24" ht="15.6" thickTop="1" thickBot="1" x14ac:dyDescent="0.35">
      <c r="A28" s="21"/>
      <c r="B28" s="22"/>
      <c r="C28" s="22"/>
      <c r="D28" s="22"/>
      <c r="E28" s="22"/>
      <c r="F28" s="22"/>
      <c r="G28" s="22"/>
      <c r="H28" s="37"/>
      <c r="I28" s="132">
        <f>SUM(I22:I27)</f>
        <v>19226.900000000001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22"/>
    </row>
    <row r="29" spans="1:24" ht="15" thickTop="1" x14ac:dyDescent="0.3">
      <c r="A29" s="21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21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1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1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4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4">
        <f t="shared" ref="A36:G36" si="4">SUM(A22:A35)</f>
        <v>5874.6</v>
      </c>
      <c r="B36" s="24">
        <f t="shared" si="4"/>
        <v>6254.62</v>
      </c>
      <c r="C36" s="24">
        <f t="shared" si="4"/>
        <v>6169.05</v>
      </c>
      <c r="D36" s="24">
        <f t="shared" si="4"/>
        <v>3378.94</v>
      </c>
      <c r="E36" s="24">
        <f t="shared" si="4"/>
        <v>650</v>
      </c>
      <c r="F36" s="24">
        <f t="shared" si="4"/>
        <v>5867.36</v>
      </c>
      <c r="G36" s="24">
        <f t="shared" si="4"/>
        <v>7241.3</v>
      </c>
      <c r="H36" s="29">
        <f>SUM(A36:G36)+I28</f>
        <v>54662.770000000004</v>
      </c>
      <c r="I36" s="30" t="s">
        <v>7</v>
      </c>
      <c r="K36" s="24">
        <f t="shared" ref="K36:X36" si="5">SUM(K23:K35)</f>
        <v>3974</v>
      </c>
      <c r="L36" s="24">
        <f t="shared" si="5"/>
        <v>42.5</v>
      </c>
      <c r="M36" s="24">
        <f t="shared" si="5"/>
        <v>3322</v>
      </c>
      <c r="N36" s="24">
        <f t="shared" si="5"/>
        <v>942.5</v>
      </c>
      <c r="O36" s="24">
        <f t="shared" si="5"/>
        <v>3716</v>
      </c>
      <c r="P36" s="24">
        <f t="shared" si="5"/>
        <v>156.5</v>
      </c>
      <c r="Q36" s="24">
        <f t="shared" si="5"/>
        <v>2192</v>
      </c>
      <c r="R36" s="24">
        <f t="shared" si="5"/>
        <v>60</v>
      </c>
      <c r="S36" s="24">
        <f t="shared" si="5"/>
        <v>504</v>
      </c>
      <c r="T36" s="24">
        <f t="shared" si="5"/>
        <v>15</v>
      </c>
      <c r="U36" s="24">
        <f t="shared" si="5"/>
        <v>5245</v>
      </c>
      <c r="V36" s="24">
        <f t="shared" si="5"/>
        <v>217.5</v>
      </c>
      <c r="W36" s="24">
        <f t="shared" si="5"/>
        <v>3796</v>
      </c>
      <c r="X36" s="24">
        <f t="shared" si="5"/>
        <v>905.6</v>
      </c>
    </row>
    <row r="37" spans="1:24" x14ac:dyDescent="0.3">
      <c r="A37" s="24">
        <v>5874.6</v>
      </c>
      <c r="B37" s="24">
        <v>6254.62</v>
      </c>
      <c r="C37" s="24">
        <v>6169.05</v>
      </c>
      <c r="D37" s="24">
        <v>3378.94</v>
      </c>
      <c r="E37" s="24">
        <v>650</v>
      </c>
      <c r="F37" s="24">
        <v>5867.36</v>
      </c>
      <c r="G37" s="24">
        <v>7241.3</v>
      </c>
      <c r="H37" s="22">
        <f>SUM(A37:G37)+I28</f>
        <v>54662.770000000004</v>
      </c>
      <c r="I37" s="33" t="s">
        <v>1</v>
      </c>
      <c r="K37" s="24">
        <v>3974</v>
      </c>
      <c r="L37" s="24">
        <v>42.5</v>
      </c>
      <c r="M37" s="24">
        <v>3322</v>
      </c>
      <c r="N37" s="24">
        <v>942.5</v>
      </c>
      <c r="O37" s="24">
        <v>3896</v>
      </c>
      <c r="P37" s="24">
        <v>156.5</v>
      </c>
      <c r="Q37" s="24">
        <v>2192</v>
      </c>
      <c r="R37" s="24">
        <v>60</v>
      </c>
      <c r="S37" s="24">
        <v>504</v>
      </c>
      <c r="T37" s="24">
        <v>15</v>
      </c>
      <c r="U37" s="24">
        <v>5245</v>
      </c>
      <c r="V37" s="24">
        <v>217.5</v>
      </c>
      <c r="W37" s="24">
        <v>3796</v>
      </c>
      <c r="X37" s="24">
        <f>219.9+685.7</f>
        <v>905.6</v>
      </c>
    </row>
    <row r="38" spans="1:24" ht="15" thickBot="1" x14ac:dyDescent="0.35">
      <c r="A38" s="35">
        <f t="shared" ref="A38:H38" si="6">A36-A37</f>
        <v>0</v>
      </c>
      <c r="B38" s="35">
        <f t="shared" si="6"/>
        <v>0</v>
      </c>
      <c r="C38" s="35">
        <f t="shared" si="6"/>
        <v>0</v>
      </c>
      <c r="D38" s="35">
        <f t="shared" si="6"/>
        <v>0</v>
      </c>
      <c r="E38" s="35">
        <f t="shared" si="6"/>
        <v>0</v>
      </c>
      <c r="F38" s="35">
        <f t="shared" si="6"/>
        <v>0</v>
      </c>
      <c r="G38" s="35">
        <f t="shared" si="6"/>
        <v>0</v>
      </c>
      <c r="H38" s="35">
        <f t="shared" si="6"/>
        <v>0</v>
      </c>
      <c r="I38" s="16">
        <f>SUM(I32:I37)</f>
        <v>0</v>
      </c>
      <c r="K38" s="86">
        <f t="shared" ref="K38:W38" si="7">K36-K37</f>
        <v>0</v>
      </c>
      <c r="L38" s="86">
        <f t="shared" si="7"/>
        <v>0</v>
      </c>
      <c r="M38" s="86">
        <f t="shared" si="7"/>
        <v>0</v>
      </c>
      <c r="N38" s="86">
        <f t="shared" si="7"/>
        <v>0</v>
      </c>
      <c r="O38" s="86">
        <f t="shared" si="7"/>
        <v>-180</v>
      </c>
      <c r="P38" s="86">
        <f t="shared" si="7"/>
        <v>0</v>
      </c>
      <c r="Q38" s="86">
        <f t="shared" si="7"/>
        <v>0</v>
      </c>
      <c r="R38" s="86">
        <f t="shared" si="7"/>
        <v>0</v>
      </c>
      <c r="S38" s="86">
        <f t="shared" si="7"/>
        <v>0</v>
      </c>
      <c r="T38" s="86">
        <f t="shared" si="7"/>
        <v>0</v>
      </c>
      <c r="U38" s="86">
        <f t="shared" si="7"/>
        <v>0</v>
      </c>
      <c r="V38" s="86">
        <f t="shared" si="7"/>
        <v>0</v>
      </c>
      <c r="W38" s="86">
        <f t="shared" si="7"/>
        <v>0</v>
      </c>
      <c r="X38" s="86">
        <f>X36-X37</f>
        <v>0</v>
      </c>
    </row>
    <row r="39" spans="1:24" ht="15.6" thickTop="1" thickBot="1" x14ac:dyDescent="0.35"/>
    <row r="40" spans="1:24" x14ac:dyDescent="0.3">
      <c r="A40" s="17">
        <v>45553</v>
      </c>
      <c r="B40" s="17">
        <v>45554</v>
      </c>
      <c r="C40" s="17">
        <v>45555</v>
      </c>
      <c r="D40" s="17">
        <v>45556</v>
      </c>
      <c r="E40" s="17">
        <v>45557</v>
      </c>
      <c r="F40" s="17">
        <v>45558</v>
      </c>
      <c r="G40" s="17">
        <v>45559</v>
      </c>
      <c r="H40" s="17"/>
      <c r="I40" s="13" t="s">
        <v>8</v>
      </c>
      <c r="K40" s="59">
        <v>45553</v>
      </c>
      <c r="L40" s="59"/>
      <c r="M40" s="59">
        <v>45554</v>
      </c>
      <c r="N40" s="59"/>
      <c r="O40" s="59">
        <v>45555</v>
      </c>
      <c r="P40" s="59"/>
      <c r="Q40" s="59">
        <v>45556</v>
      </c>
      <c r="R40" s="59"/>
      <c r="S40" s="59">
        <v>45557</v>
      </c>
      <c r="T40" s="59"/>
      <c r="U40" s="59">
        <v>45558</v>
      </c>
      <c r="V40" s="59"/>
      <c r="W40" s="59">
        <v>45559</v>
      </c>
      <c r="X40" s="59"/>
    </row>
    <row r="41" spans="1:24" ht="15" thickBot="1" x14ac:dyDescent="0.35">
      <c r="A41" s="21">
        <v>2393.5300000000002</v>
      </c>
      <c r="B41" s="22">
        <v>1370</v>
      </c>
      <c r="C41" s="22">
        <v>2348.52</v>
      </c>
      <c r="D41" s="22">
        <v>1248.5899999999999</v>
      </c>
      <c r="E41" s="22">
        <v>570</v>
      </c>
      <c r="F41" s="22">
        <v>2104.06</v>
      </c>
      <c r="G41" s="22">
        <v>2880</v>
      </c>
      <c r="H41" s="37"/>
      <c r="I41" s="15">
        <v>6000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</row>
    <row r="42" spans="1:24" x14ac:dyDescent="0.3">
      <c r="A42" s="21">
        <v>3195</v>
      </c>
      <c r="B42" s="22">
        <v>2100</v>
      </c>
      <c r="C42" s="22">
        <v>3245</v>
      </c>
      <c r="D42" s="22">
        <v>1030</v>
      </c>
      <c r="E42" s="25"/>
      <c r="F42" s="22">
        <v>3125</v>
      </c>
      <c r="G42" s="22">
        <v>1330</v>
      </c>
      <c r="H42" s="37"/>
      <c r="I42" s="15">
        <v>1401.74</v>
      </c>
      <c r="K42" s="75">
        <v>420</v>
      </c>
      <c r="L42" s="76">
        <v>635</v>
      </c>
      <c r="M42" s="77">
        <v>328</v>
      </c>
      <c r="N42" s="77">
        <v>42.5</v>
      </c>
      <c r="O42" s="77">
        <v>300</v>
      </c>
      <c r="P42" s="77">
        <v>57.5</v>
      </c>
      <c r="Q42" s="77">
        <v>1540</v>
      </c>
      <c r="R42" s="77">
        <v>57.5</v>
      </c>
      <c r="S42" s="78">
        <v>560</v>
      </c>
      <c r="T42" s="69">
        <v>15</v>
      </c>
      <c r="U42" s="63">
        <v>300</v>
      </c>
      <c r="V42" s="63">
        <v>37.5</v>
      </c>
      <c r="W42" s="63">
        <v>3610</v>
      </c>
      <c r="X42" s="63">
        <v>1440</v>
      </c>
    </row>
    <row r="43" spans="1:24" x14ac:dyDescent="0.3">
      <c r="A43" s="21">
        <v>1065</v>
      </c>
      <c r="B43" s="22">
        <v>2316.31</v>
      </c>
      <c r="C43" s="22">
        <v>1145</v>
      </c>
      <c r="D43" s="26">
        <v>935</v>
      </c>
      <c r="E43" s="22"/>
      <c r="F43" s="22">
        <v>1015</v>
      </c>
      <c r="G43" s="22"/>
      <c r="H43" s="37"/>
      <c r="I43" s="15">
        <v>4245.6000000000004</v>
      </c>
      <c r="K43" s="21">
        <v>2450</v>
      </c>
      <c r="L43" s="79">
        <v>50</v>
      </c>
      <c r="M43" s="80">
        <v>173</v>
      </c>
      <c r="N43" s="43">
        <v>540</v>
      </c>
      <c r="O43" s="43">
        <v>3370</v>
      </c>
      <c r="P43" s="43">
        <v>275.8</v>
      </c>
      <c r="Q43" s="80">
        <v>168</v>
      </c>
      <c r="R43" s="80">
        <v>200</v>
      </c>
      <c r="S43" s="43">
        <v>84</v>
      </c>
      <c r="T43" s="22"/>
      <c r="U43" s="22">
        <v>2980</v>
      </c>
      <c r="V43" s="22"/>
      <c r="W43" s="22">
        <v>260</v>
      </c>
      <c r="X43" s="22">
        <v>110</v>
      </c>
    </row>
    <row r="44" spans="1:24" x14ac:dyDescent="0.3">
      <c r="A44" s="21"/>
      <c r="B44" s="22"/>
      <c r="C44" s="22"/>
      <c r="D44" s="25"/>
      <c r="E44" s="22"/>
      <c r="F44" s="22"/>
      <c r="G44" s="22"/>
      <c r="H44" s="37"/>
      <c r="I44" s="15">
        <v>5935.14</v>
      </c>
      <c r="K44" s="21">
        <v>304</v>
      </c>
      <c r="L44" s="79">
        <v>175</v>
      </c>
      <c r="M44" s="81">
        <v>2450</v>
      </c>
      <c r="N44" s="43"/>
      <c r="O44" s="43">
        <v>468</v>
      </c>
      <c r="P44" s="43"/>
      <c r="Q44" s="80">
        <v>300</v>
      </c>
      <c r="R44" s="81"/>
      <c r="S44" s="43"/>
      <c r="T44" s="22"/>
      <c r="U44" s="22">
        <v>355</v>
      </c>
      <c r="V44" s="22"/>
      <c r="W44" s="22">
        <v>270</v>
      </c>
      <c r="X44" s="22">
        <v>49.9</v>
      </c>
    </row>
    <row r="45" spans="1:24" x14ac:dyDescent="0.3">
      <c r="A45" s="21"/>
      <c r="B45" s="22"/>
      <c r="C45" s="22"/>
      <c r="D45" s="22"/>
      <c r="E45" s="22"/>
      <c r="F45" s="22"/>
      <c r="G45" s="22"/>
      <c r="H45" s="37"/>
      <c r="I45" s="15">
        <v>2837.5</v>
      </c>
      <c r="K45" s="21">
        <v>390</v>
      </c>
      <c r="L45" s="79"/>
      <c r="M45" s="43">
        <v>120</v>
      </c>
      <c r="N45" s="43"/>
      <c r="O45" s="43">
        <v>240</v>
      </c>
      <c r="P45" s="43"/>
      <c r="Q45" s="43">
        <v>28</v>
      </c>
      <c r="R45" s="43"/>
      <c r="S45" s="43"/>
      <c r="T45" s="22"/>
      <c r="U45" s="22">
        <v>390</v>
      </c>
      <c r="V45" s="22"/>
      <c r="W45" s="22"/>
      <c r="X45" s="22"/>
    </row>
    <row r="46" spans="1:24" ht="15" thickBot="1" x14ac:dyDescent="0.35">
      <c r="A46" s="21"/>
      <c r="B46" s="22"/>
      <c r="C46" s="22"/>
      <c r="D46" s="22"/>
      <c r="E46" s="22"/>
      <c r="F46" s="22"/>
      <c r="G46" s="22"/>
      <c r="I46" s="131"/>
      <c r="K46" s="128"/>
      <c r="L46" s="79"/>
      <c r="M46" s="43"/>
      <c r="N46" s="43"/>
      <c r="O46" s="43"/>
      <c r="P46" s="43"/>
      <c r="Q46" s="43"/>
      <c r="R46" s="43"/>
      <c r="S46" s="43"/>
      <c r="T46" s="22"/>
      <c r="U46" s="22"/>
      <c r="V46" s="22"/>
      <c r="W46" s="22"/>
      <c r="X46" s="22"/>
    </row>
    <row r="47" spans="1:24" ht="15.6" thickTop="1" thickBot="1" x14ac:dyDescent="0.35">
      <c r="A47" s="21"/>
      <c r="B47" s="22"/>
      <c r="C47" s="22"/>
      <c r="D47" s="22"/>
      <c r="E47" s="22"/>
      <c r="F47" s="22"/>
      <c r="G47" s="22"/>
      <c r="H47" s="37"/>
      <c r="I47" s="132">
        <f>SUM(I41:I46)</f>
        <v>20419.98</v>
      </c>
      <c r="K47" s="21"/>
      <c r="L47" s="79"/>
      <c r="M47" s="43"/>
      <c r="N47" s="43"/>
      <c r="O47" s="43"/>
      <c r="P47" s="43"/>
      <c r="Q47" s="43"/>
      <c r="R47" s="43"/>
      <c r="S47" s="43"/>
      <c r="T47" s="22"/>
      <c r="U47" s="22"/>
      <c r="V47" s="22"/>
      <c r="W47" s="22"/>
      <c r="X47" s="22"/>
    </row>
    <row r="48" spans="1:24" ht="15" thickTop="1" x14ac:dyDescent="0.3">
      <c r="A48" s="21"/>
      <c r="B48" s="22"/>
      <c r="C48" s="22"/>
      <c r="D48" s="22"/>
      <c r="E48" s="22"/>
      <c r="F48" s="22"/>
      <c r="G48" s="22"/>
      <c r="H48" s="22"/>
      <c r="I48" s="40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3">
      <c r="A49" s="21"/>
      <c r="B49" s="22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1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4">
        <f t="shared" ref="A55:G56" si="8">SUM(A41:A54)</f>
        <v>6653.5300000000007</v>
      </c>
      <c r="B55" s="24">
        <f t="shared" si="8"/>
        <v>5786.3099999999995</v>
      </c>
      <c r="C55" s="24">
        <f t="shared" si="8"/>
        <v>6738.52</v>
      </c>
      <c r="D55" s="24">
        <f t="shared" si="8"/>
        <v>3213.59</v>
      </c>
      <c r="E55" s="24">
        <f t="shared" si="8"/>
        <v>570</v>
      </c>
      <c r="F55" s="24">
        <f t="shared" si="8"/>
        <v>6244.0599999999995</v>
      </c>
      <c r="G55" s="24">
        <f t="shared" si="8"/>
        <v>4210</v>
      </c>
      <c r="H55" s="29">
        <f>SUM(A55:G55)+I47</f>
        <v>53835.990000000005</v>
      </c>
      <c r="I55" s="30" t="s">
        <v>7</v>
      </c>
      <c r="K55" s="24">
        <f t="shared" ref="K55:X55" si="9">SUM(K42:K54)</f>
        <v>3564</v>
      </c>
      <c r="L55" s="24">
        <f t="shared" si="9"/>
        <v>860</v>
      </c>
      <c r="M55" s="24">
        <f t="shared" si="9"/>
        <v>3071</v>
      </c>
      <c r="N55" s="24">
        <f t="shared" si="9"/>
        <v>582.5</v>
      </c>
      <c r="O55" s="24">
        <f t="shared" si="9"/>
        <v>4378</v>
      </c>
      <c r="P55" s="24">
        <f t="shared" si="9"/>
        <v>333.3</v>
      </c>
      <c r="Q55" s="24">
        <f t="shared" si="9"/>
        <v>2036</v>
      </c>
      <c r="R55" s="24">
        <f t="shared" si="9"/>
        <v>257.5</v>
      </c>
      <c r="S55" s="24">
        <f t="shared" si="9"/>
        <v>644</v>
      </c>
      <c r="T55" s="24">
        <f t="shared" si="9"/>
        <v>15</v>
      </c>
      <c r="U55" s="24">
        <f t="shared" si="9"/>
        <v>4025</v>
      </c>
      <c r="V55" s="24">
        <f t="shared" si="9"/>
        <v>37.5</v>
      </c>
      <c r="W55" s="24">
        <f t="shared" si="9"/>
        <v>4140</v>
      </c>
      <c r="X55" s="24">
        <f t="shared" si="9"/>
        <v>1599.9</v>
      </c>
    </row>
    <row r="56" spans="1:24" x14ac:dyDescent="0.3">
      <c r="A56" s="24">
        <f t="shared" si="8"/>
        <v>10913.53</v>
      </c>
      <c r="B56" s="24">
        <v>5786.31</v>
      </c>
      <c r="C56" s="24">
        <v>6738.52</v>
      </c>
      <c r="D56" s="24">
        <v>3213.59</v>
      </c>
      <c r="E56" s="24">
        <v>570</v>
      </c>
      <c r="F56" s="24">
        <v>6244.06</v>
      </c>
      <c r="G56" s="24">
        <v>4210</v>
      </c>
      <c r="H56" s="22">
        <f>SUM(A56:G56)+I47</f>
        <v>58095.990000000005</v>
      </c>
      <c r="I56" s="33" t="s">
        <v>1</v>
      </c>
      <c r="K56" s="24">
        <v>3564</v>
      </c>
      <c r="L56" s="24">
        <v>860</v>
      </c>
      <c r="M56" s="24">
        <v>3071</v>
      </c>
      <c r="N56" s="24">
        <v>582.5</v>
      </c>
      <c r="O56" s="24">
        <v>4378</v>
      </c>
      <c r="P56" s="24">
        <v>333.3</v>
      </c>
      <c r="Q56" s="24">
        <v>2036</v>
      </c>
      <c r="R56" s="24">
        <v>257.5</v>
      </c>
      <c r="S56" s="24">
        <v>644</v>
      </c>
      <c r="T56" s="24">
        <v>15</v>
      </c>
      <c r="U56" s="24">
        <v>4025</v>
      </c>
      <c r="V56" s="24">
        <v>37.5</v>
      </c>
      <c r="W56" s="24">
        <v>4140</v>
      </c>
      <c r="X56" s="24">
        <v>1599.9</v>
      </c>
    </row>
    <row r="57" spans="1:24" ht="15" thickBot="1" x14ac:dyDescent="0.35">
      <c r="A57" s="35">
        <f t="shared" ref="A57:H57" si="10">A55-A56</f>
        <v>-4260</v>
      </c>
      <c r="B57" s="35">
        <f t="shared" si="10"/>
        <v>0</v>
      </c>
      <c r="C57" s="35">
        <f t="shared" si="10"/>
        <v>0</v>
      </c>
      <c r="D57" s="35">
        <f t="shared" si="10"/>
        <v>0</v>
      </c>
      <c r="E57" s="35">
        <f t="shared" si="10"/>
        <v>0</v>
      </c>
      <c r="F57" s="35">
        <f t="shared" si="10"/>
        <v>0</v>
      </c>
      <c r="G57" s="35">
        <f t="shared" si="10"/>
        <v>0</v>
      </c>
      <c r="H57" s="35">
        <f t="shared" si="10"/>
        <v>-4260</v>
      </c>
      <c r="I57" s="16">
        <f>SUM(I51:I56)</f>
        <v>0</v>
      </c>
      <c r="K57" s="86">
        <f t="shared" ref="K57:W57" si="11">K55-K56</f>
        <v>0</v>
      </c>
      <c r="L57" s="86">
        <f t="shared" si="11"/>
        <v>0</v>
      </c>
      <c r="M57" s="86">
        <f t="shared" si="11"/>
        <v>0</v>
      </c>
      <c r="N57" s="86">
        <f t="shared" si="11"/>
        <v>0</v>
      </c>
      <c r="O57" s="86">
        <f t="shared" si="11"/>
        <v>0</v>
      </c>
      <c r="P57" s="86">
        <f t="shared" si="11"/>
        <v>0</v>
      </c>
      <c r="Q57" s="86">
        <f t="shared" si="11"/>
        <v>0</v>
      </c>
      <c r="R57" s="86">
        <f t="shared" si="11"/>
        <v>0</v>
      </c>
      <c r="S57" s="86">
        <f t="shared" si="11"/>
        <v>0</v>
      </c>
      <c r="T57" s="86">
        <f t="shared" si="11"/>
        <v>0</v>
      </c>
      <c r="U57" s="86">
        <f t="shared" si="11"/>
        <v>0</v>
      </c>
      <c r="V57" s="86">
        <f t="shared" si="11"/>
        <v>0</v>
      </c>
      <c r="W57" s="86">
        <f t="shared" si="11"/>
        <v>0</v>
      </c>
      <c r="X57" s="86">
        <f>X55-X56</f>
        <v>0</v>
      </c>
    </row>
    <row r="58" spans="1:24" ht="15.6" thickTop="1" thickBot="1" x14ac:dyDescent="0.35"/>
    <row r="59" spans="1:24" x14ac:dyDescent="0.3">
      <c r="A59" s="17">
        <v>45560</v>
      </c>
      <c r="B59" s="17">
        <v>45561</v>
      </c>
      <c r="C59" s="17">
        <v>45562</v>
      </c>
      <c r="D59" s="17">
        <v>45563</v>
      </c>
      <c r="E59" s="17">
        <v>45564</v>
      </c>
      <c r="F59" s="17">
        <v>45565</v>
      </c>
      <c r="G59" s="17">
        <v>45566</v>
      </c>
      <c r="H59" s="17"/>
      <c r="I59" s="13" t="s">
        <v>8</v>
      </c>
      <c r="K59" s="59">
        <v>45560</v>
      </c>
      <c r="L59" s="59"/>
      <c r="M59" s="59">
        <v>45561</v>
      </c>
      <c r="N59" s="59"/>
      <c r="O59" s="59">
        <v>45562</v>
      </c>
      <c r="P59" s="59"/>
      <c r="Q59" s="59">
        <v>45563</v>
      </c>
      <c r="R59" s="59"/>
      <c r="S59" s="59">
        <v>45564</v>
      </c>
      <c r="T59" s="59"/>
      <c r="U59" s="59">
        <v>45565</v>
      </c>
      <c r="V59" s="59"/>
      <c r="W59" s="59">
        <v>45566</v>
      </c>
      <c r="X59" s="59"/>
    </row>
    <row r="60" spans="1:24" ht="15" thickBot="1" x14ac:dyDescent="0.35">
      <c r="A60" s="21">
        <v>1000</v>
      </c>
      <c r="B60" s="22">
        <v>1330</v>
      </c>
      <c r="C60" s="22">
        <v>1090</v>
      </c>
      <c r="D60" s="22">
        <v>1030</v>
      </c>
      <c r="E60" s="22">
        <v>10</v>
      </c>
      <c r="F60" s="22">
        <v>2059.0500000000002</v>
      </c>
      <c r="G60" s="22">
        <v>1736.82</v>
      </c>
      <c r="H60" s="37"/>
      <c r="I60" s="15">
        <v>4445.6000000000004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</row>
    <row r="61" spans="1:24" x14ac:dyDescent="0.3">
      <c r="A61" s="21">
        <v>3060</v>
      </c>
      <c r="B61" s="22">
        <v>2265</v>
      </c>
      <c r="C61" s="22">
        <v>3340</v>
      </c>
      <c r="D61" s="22">
        <v>1190</v>
      </c>
      <c r="E61" s="25">
        <v>870</v>
      </c>
      <c r="F61" s="22">
        <v>2830</v>
      </c>
      <c r="G61" s="22">
        <v>2365</v>
      </c>
      <c r="H61" s="37"/>
      <c r="I61" s="15">
        <v>5596.18</v>
      </c>
      <c r="K61" s="75">
        <v>300</v>
      </c>
      <c r="L61" s="76">
        <v>50</v>
      </c>
      <c r="M61" s="77">
        <v>24</v>
      </c>
      <c r="N61" s="77">
        <v>42.5</v>
      </c>
      <c r="O61" s="77">
        <v>360</v>
      </c>
      <c r="P61" s="77">
        <v>57.5</v>
      </c>
      <c r="Q61" s="77">
        <v>28</v>
      </c>
      <c r="R61" s="77">
        <v>84</v>
      </c>
      <c r="S61" s="78">
        <v>84</v>
      </c>
      <c r="T61" s="69">
        <v>15</v>
      </c>
      <c r="U61" s="63">
        <v>300</v>
      </c>
      <c r="V61" s="63">
        <v>120</v>
      </c>
      <c r="W61" s="63">
        <v>360</v>
      </c>
      <c r="X61" s="63">
        <v>352.5</v>
      </c>
    </row>
    <row r="62" spans="1:24" x14ac:dyDescent="0.3">
      <c r="A62" s="21">
        <v>1692.36</v>
      </c>
      <c r="B62" s="22">
        <v>1846.8</v>
      </c>
      <c r="C62" s="22">
        <v>2104.06</v>
      </c>
      <c r="D62" s="26">
        <v>823.4</v>
      </c>
      <c r="E62" s="22"/>
      <c r="F62" s="22">
        <v>1105</v>
      </c>
      <c r="G62" s="22">
        <v>1665</v>
      </c>
      <c r="H62" s="37"/>
      <c r="I62" s="15">
        <v>6000</v>
      </c>
      <c r="K62" s="21">
        <v>330</v>
      </c>
      <c r="L62" s="79">
        <v>61</v>
      </c>
      <c r="M62" s="80">
        <v>330</v>
      </c>
      <c r="N62" s="43"/>
      <c r="O62" s="43">
        <v>474</v>
      </c>
      <c r="P62" s="43">
        <v>433.4</v>
      </c>
      <c r="Q62" s="80">
        <v>240</v>
      </c>
      <c r="R62" s="80">
        <v>310</v>
      </c>
      <c r="S62" s="43">
        <v>310</v>
      </c>
      <c r="T62" s="22"/>
      <c r="U62" s="22">
        <v>3250</v>
      </c>
      <c r="V62" s="22">
        <v>52.5</v>
      </c>
      <c r="W62" s="22">
        <v>3280</v>
      </c>
      <c r="X62" s="22">
        <v>105</v>
      </c>
    </row>
    <row r="63" spans="1:24" x14ac:dyDescent="0.3">
      <c r="A63" s="21"/>
      <c r="B63" s="22"/>
      <c r="C63" s="22"/>
      <c r="D63" s="25"/>
      <c r="E63" s="22"/>
      <c r="F63" s="22"/>
      <c r="G63" s="22"/>
      <c r="H63" s="37"/>
      <c r="I63" s="15">
        <v>2020</v>
      </c>
      <c r="K63" s="21">
        <v>2780</v>
      </c>
      <c r="L63" s="79"/>
      <c r="M63" s="81">
        <v>202</v>
      </c>
      <c r="N63" s="43"/>
      <c r="O63" s="43">
        <v>3400</v>
      </c>
      <c r="P63" s="43"/>
      <c r="Q63" s="80">
        <v>196</v>
      </c>
      <c r="R63" s="81"/>
      <c r="S63" s="43"/>
      <c r="T63" s="22"/>
      <c r="U63" s="22">
        <v>343</v>
      </c>
      <c r="V63" s="22"/>
      <c r="W63" s="22">
        <v>260</v>
      </c>
      <c r="X63" s="22"/>
    </row>
    <row r="64" spans="1:24" x14ac:dyDescent="0.3">
      <c r="A64" s="21"/>
      <c r="B64" s="22"/>
      <c r="C64" s="22"/>
      <c r="D64" s="22"/>
      <c r="E64" s="22"/>
      <c r="F64" s="22"/>
      <c r="G64" s="22"/>
      <c r="H64" s="37"/>
      <c r="I64" s="15">
        <v>1200</v>
      </c>
      <c r="K64" s="21">
        <v>240</v>
      </c>
      <c r="L64" s="79"/>
      <c r="M64" s="43">
        <v>2470</v>
      </c>
      <c r="N64" s="43"/>
      <c r="O64" s="43">
        <v>180</v>
      </c>
      <c r="P64" s="43"/>
      <c r="Q64" s="43">
        <v>1690</v>
      </c>
      <c r="R64" s="43"/>
      <c r="S64" s="43"/>
      <c r="T64" s="22"/>
      <c r="U64" s="22">
        <v>270</v>
      </c>
      <c r="V64" s="22"/>
      <c r="W64" s="22">
        <v>250</v>
      </c>
      <c r="X64" s="22"/>
    </row>
    <row r="65" spans="1:24" ht="15" thickBot="1" x14ac:dyDescent="0.35">
      <c r="A65" s="21"/>
      <c r="B65" s="22"/>
      <c r="C65" s="22"/>
      <c r="D65" s="22"/>
      <c r="E65" s="22"/>
      <c r="F65" s="22"/>
      <c r="G65" s="22"/>
      <c r="I65" s="131">
        <v>977.04</v>
      </c>
      <c r="K65" s="128"/>
      <c r="L65" s="79"/>
      <c r="M65" s="43">
        <v>240</v>
      </c>
      <c r="N65" s="43"/>
      <c r="O65" s="43"/>
      <c r="P65" s="43"/>
      <c r="Q65" s="43"/>
      <c r="R65" s="43"/>
      <c r="S65" s="43"/>
      <c r="T65" s="22"/>
      <c r="U65" s="22"/>
      <c r="V65" s="22"/>
      <c r="W65" s="22">
        <v>26</v>
      </c>
      <c r="X65" s="22"/>
    </row>
    <row r="66" spans="1:24" ht="15.6" thickTop="1" thickBot="1" x14ac:dyDescent="0.35">
      <c r="A66" s="21"/>
      <c r="B66" s="22"/>
      <c r="C66" s="22"/>
      <c r="D66" s="22"/>
      <c r="E66" s="22"/>
      <c r="F66" s="22"/>
      <c r="G66" s="22"/>
      <c r="H66" s="37"/>
      <c r="I66" s="132">
        <f>SUM(I60:I65)</f>
        <v>20238.82</v>
      </c>
      <c r="K66" s="21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22"/>
    </row>
    <row r="67" spans="1:24" ht="15" thickTop="1" x14ac:dyDescent="0.3">
      <c r="A67" s="21"/>
      <c r="B67" s="22"/>
      <c r="C67" s="22"/>
      <c r="D67" s="22"/>
      <c r="E67" s="22"/>
      <c r="F67" s="22"/>
      <c r="G67" s="22"/>
      <c r="H67" s="22"/>
      <c r="I67" s="40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3">
      <c r="A68" s="21"/>
      <c r="B68" s="22"/>
      <c r="C68" s="22"/>
      <c r="D68" s="22"/>
      <c r="E68" s="22"/>
      <c r="F68" s="22"/>
      <c r="G68" s="22"/>
      <c r="H68" s="22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3">
      <c r="A69" s="21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1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4">
        <f t="shared" ref="A74:G74" si="12">SUM(A60:A73)</f>
        <v>5752.36</v>
      </c>
      <c r="B74" s="24">
        <f t="shared" si="12"/>
        <v>5441.8</v>
      </c>
      <c r="C74" s="24">
        <f t="shared" si="12"/>
        <v>6534.0599999999995</v>
      </c>
      <c r="D74" s="24">
        <f t="shared" si="12"/>
        <v>3043.4</v>
      </c>
      <c r="E74" s="24">
        <f t="shared" si="12"/>
        <v>880</v>
      </c>
      <c r="F74" s="24">
        <f t="shared" si="12"/>
        <v>5994.05</v>
      </c>
      <c r="G74" s="24">
        <f t="shared" si="12"/>
        <v>5766.82</v>
      </c>
      <c r="H74" s="29">
        <f>SUM(A74:G74)+I66</f>
        <v>53651.310000000005</v>
      </c>
      <c r="I74" s="30" t="s">
        <v>7</v>
      </c>
      <c r="K74" s="24">
        <f t="shared" ref="K74:X74" si="13">SUM(K61:K73)</f>
        <v>3650</v>
      </c>
      <c r="L74" s="24">
        <f t="shared" si="13"/>
        <v>111</v>
      </c>
      <c r="M74" s="24">
        <f t="shared" si="13"/>
        <v>3266</v>
      </c>
      <c r="N74" s="24">
        <f t="shared" si="13"/>
        <v>42.5</v>
      </c>
      <c r="O74" s="24">
        <f t="shared" si="13"/>
        <v>4414</v>
      </c>
      <c r="P74" s="24">
        <f t="shared" si="13"/>
        <v>490.9</v>
      </c>
      <c r="Q74" s="24">
        <f t="shared" si="13"/>
        <v>2154</v>
      </c>
      <c r="R74" s="24">
        <f t="shared" si="13"/>
        <v>394</v>
      </c>
      <c r="S74" s="24">
        <f t="shared" si="13"/>
        <v>394</v>
      </c>
      <c r="T74" s="24">
        <f t="shared" si="13"/>
        <v>15</v>
      </c>
      <c r="U74" s="24">
        <f t="shared" si="13"/>
        <v>4163</v>
      </c>
      <c r="V74" s="24">
        <f t="shared" si="13"/>
        <v>172.5</v>
      </c>
      <c r="W74" s="24">
        <f t="shared" si="13"/>
        <v>4176</v>
      </c>
      <c r="X74" s="24">
        <f t="shared" si="13"/>
        <v>457.5</v>
      </c>
    </row>
    <row r="75" spans="1:24" x14ac:dyDescent="0.3">
      <c r="A75" s="24">
        <v>5752.36</v>
      </c>
      <c r="B75" s="24">
        <v>5441.8</v>
      </c>
      <c r="C75" s="24">
        <v>6534.06</v>
      </c>
      <c r="D75" s="24">
        <v>3043.4</v>
      </c>
      <c r="E75" s="24">
        <v>880</v>
      </c>
      <c r="F75" s="24">
        <v>5994.05</v>
      </c>
      <c r="G75" s="24">
        <v>5766.82</v>
      </c>
      <c r="H75" s="22">
        <f>SUM(A75:G75)+I66</f>
        <v>53651.310000000005</v>
      </c>
      <c r="I75" s="33" t="s">
        <v>1</v>
      </c>
      <c r="K75" s="24">
        <v>3650</v>
      </c>
      <c r="L75" s="24">
        <v>111</v>
      </c>
      <c r="M75" s="24">
        <v>3266</v>
      </c>
      <c r="N75" s="24">
        <v>42.5</v>
      </c>
      <c r="O75" s="24">
        <v>4414</v>
      </c>
      <c r="P75" s="24">
        <v>490.9</v>
      </c>
      <c r="Q75" s="24">
        <v>2154</v>
      </c>
      <c r="R75" s="24">
        <v>394</v>
      </c>
      <c r="S75" s="24">
        <v>394</v>
      </c>
      <c r="T75" s="24">
        <v>15</v>
      </c>
      <c r="U75" s="24">
        <v>4163</v>
      </c>
      <c r="V75" s="24">
        <v>172.5</v>
      </c>
      <c r="W75" s="24">
        <v>4176</v>
      </c>
      <c r="X75" s="24">
        <v>457.5</v>
      </c>
    </row>
    <row r="76" spans="1:24" ht="15" thickBot="1" x14ac:dyDescent="0.35">
      <c r="A76" s="35">
        <f t="shared" ref="A76:H76" si="14">A74-A75</f>
        <v>0</v>
      </c>
      <c r="B76" s="35">
        <f t="shared" si="14"/>
        <v>0</v>
      </c>
      <c r="C76" s="35">
        <f t="shared" si="14"/>
        <v>0</v>
      </c>
      <c r="D76" s="35">
        <f t="shared" si="14"/>
        <v>0</v>
      </c>
      <c r="E76" s="35">
        <f t="shared" si="14"/>
        <v>0</v>
      </c>
      <c r="F76" s="35">
        <f t="shared" si="14"/>
        <v>0</v>
      </c>
      <c r="G76" s="35">
        <f t="shared" si="14"/>
        <v>0</v>
      </c>
      <c r="H76" s="35">
        <f t="shared" si="14"/>
        <v>0</v>
      </c>
      <c r="I76" s="16">
        <f>SUM(I70:I75)</f>
        <v>0</v>
      </c>
      <c r="K76" s="86">
        <f t="shared" ref="K76:W76" si="15">K74-K75</f>
        <v>0</v>
      </c>
      <c r="L76" s="86">
        <f t="shared" si="15"/>
        <v>0</v>
      </c>
      <c r="M76" s="86">
        <f t="shared" si="15"/>
        <v>0</v>
      </c>
      <c r="N76" s="86">
        <f t="shared" si="15"/>
        <v>0</v>
      </c>
      <c r="O76" s="86">
        <f t="shared" si="15"/>
        <v>0</v>
      </c>
      <c r="P76" s="86">
        <f t="shared" si="15"/>
        <v>0</v>
      </c>
      <c r="Q76" s="86">
        <f t="shared" si="15"/>
        <v>0</v>
      </c>
      <c r="R76" s="86">
        <f t="shared" si="15"/>
        <v>0</v>
      </c>
      <c r="S76" s="86">
        <f t="shared" si="15"/>
        <v>0</v>
      </c>
      <c r="T76" s="86">
        <f t="shared" si="15"/>
        <v>0</v>
      </c>
      <c r="U76" s="86">
        <f t="shared" si="15"/>
        <v>0</v>
      </c>
      <c r="V76" s="86">
        <f t="shared" si="15"/>
        <v>0</v>
      </c>
      <c r="W76" s="86">
        <f t="shared" si="15"/>
        <v>0</v>
      </c>
      <c r="X76" s="86">
        <f>X74-X75</f>
        <v>0</v>
      </c>
    </row>
    <row r="77" spans="1:24" ht="15" thickTop="1" x14ac:dyDescent="0.3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97F1-4FBE-4E33-A534-D66A00CCF628}">
  <dimension ref="A1:X98"/>
  <sheetViews>
    <sheetView topLeftCell="A69" workbookViewId="0">
      <selection activeCell="H103" sqref="H103"/>
    </sheetView>
  </sheetViews>
  <sheetFormatPr defaultRowHeight="14.4" x14ac:dyDescent="0.3"/>
  <cols>
    <col min="1" max="1" width="10.88671875" customWidth="1"/>
    <col min="2" max="2" width="11.88671875" customWidth="1"/>
    <col min="3" max="3" width="10.5546875" customWidth="1"/>
    <col min="4" max="4" width="10.88671875" customWidth="1"/>
    <col min="5" max="5" width="11.109375" customWidth="1"/>
    <col min="6" max="6" width="10.5546875" customWidth="1"/>
    <col min="7" max="7" width="10.6640625" customWidth="1"/>
    <col min="8" max="8" width="13.6640625" customWidth="1"/>
    <col min="9" max="9" width="11.88671875" customWidth="1"/>
    <col min="11" max="11" width="11" customWidth="1"/>
    <col min="12" max="12" width="11.109375" customWidth="1"/>
    <col min="13" max="13" width="11.33203125" customWidth="1"/>
    <col min="14" max="14" width="10.6640625" customWidth="1"/>
    <col min="15" max="15" width="10.88671875" customWidth="1"/>
    <col min="16" max="16" width="10.33203125" customWidth="1"/>
    <col min="17" max="17" width="11.33203125" customWidth="1"/>
    <col min="18" max="19" width="10.5546875" customWidth="1"/>
    <col min="20" max="20" width="10.33203125" customWidth="1"/>
    <col min="21" max="21" width="11" customWidth="1"/>
    <col min="22" max="22" width="11.88671875" customWidth="1"/>
    <col min="23" max="23" width="11.6640625" customWidth="1"/>
    <col min="24" max="24" width="10.5546875" customWidth="1"/>
  </cols>
  <sheetData>
    <row r="1" spans="1:24" ht="15" thickBot="1" x14ac:dyDescent="0.35"/>
    <row r="2" spans="1:24" x14ac:dyDescent="0.3">
      <c r="A2" s="17">
        <v>45567</v>
      </c>
      <c r="B2" s="17">
        <v>45568</v>
      </c>
      <c r="C2" s="17">
        <v>45569</v>
      </c>
      <c r="D2" s="17">
        <v>45570</v>
      </c>
      <c r="E2" s="17">
        <v>45571</v>
      </c>
      <c r="F2" s="17">
        <v>45572</v>
      </c>
      <c r="G2" s="17">
        <v>45573</v>
      </c>
      <c r="H2" s="17"/>
      <c r="I2" s="13" t="s">
        <v>8</v>
      </c>
      <c r="K2" s="59">
        <v>45567</v>
      </c>
      <c r="L2" s="59"/>
      <c r="M2" s="59">
        <v>45568</v>
      </c>
      <c r="N2" s="59"/>
      <c r="O2" s="59">
        <v>45569</v>
      </c>
      <c r="P2" s="59"/>
      <c r="Q2" s="59">
        <v>45570</v>
      </c>
      <c r="R2" s="59"/>
      <c r="S2" s="59">
        <v>45571</v>
      </c>
      <c r="T2" s="59"/>
      <c r="U2" s="59">
        <v>45572</v>
      </c>
      <c r="V2" s="59"/>
      <c r="W2" s="59">
        <v>45573</v>
      </c>
      <c r="X2" s="59"/>
    </row>
    <row r="3" spans="1:24" ht="15" thickBot="1" x14ac:dyDescent="0.35">
      <c r="A3" s="21">
        <v>1325.12</v>
      </c>
      <c r="B3" s="22">
        <v>1270</v>
      </c>
      <c r="C3" s="22">
        <v>1859.05</v>
      </c>
      <c r="D3" s="22">
        <v>1248.5899999999999</v>
      </c>
      <c r="E3" s="22">
        <v>410</v>
      </c>
      <c r="F3" s="22">
        <v>1155</v>
      </c>
      <c r="G3" s="22">
        <v>1480</v>
      </c>
      <c r="H3" s="37"/>
      <c r="I3" s="15">
        <v>6000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1">
        <v>2985</v>
      </c>
      <c r="B4" s="22">
        <v>2180</v>
      </c>
      <c r="C4" s="22">
        <v>2480</v>
      </c>
      <c r="D4" s="22">
        <v>1090</v>
      </c>
      <c r="E4" s="25"/>
      <c r="F4" s="22">
        <v>2935</v>
      </c>
      <c r="G4" s="22">
        <v>2165</v>
      </c>
      <c r="H4" s="37"/>
      <c r="I4" s="15">
        <v>2760</v>
      </c>
      <c r="K4" s="75">
        <v>180</v>
      </c>
      <c r="L4" s="76">
        <v>50</v>
      </c>
      <c r="M4" s="77">
        <v>270</v>
      </c>
      <c r="N4" s="77">
        <v>849</v>
      </c>
      <c r="O4" s="77">
        <v>300</v>
      </c>
      <c r="P4" s="77">
        <v>60</v>
      </c>
      <c r="Q4" s="77">
        <v>1430</v>
      </c>
      <c r="R4" s="77">
        <v>57.5</v>
      </c>
      <c r="S4" s="78">
        <v>620</v>
      </c>
      <c r="T4" s="69">
        <v>15</v>
      </c>
      <c r="U4" s="63">
        <v>300</v>
      </c>
      <c r="V4" s="63">
        <v>28</v>
      </c>
      <c r="W4" s="63">
        <v>270</v>
      </c>
      <c r="X4" s="63">
        <v>45</v>
      </c>
    </row>
    <row r="5" spans="1:24" x14ac:dyDescent="0.3">
      <c r="A5" s="21">
        <v>1075</v>
      </c>
      <c r="B5" s="22">
        <v>1826.84</v>
      </c>
      <c r="C5" s="22">
        <v>1475</v>
      </c>
      <c r="D5" s="26">
        <v>1030</v>
      </c>
      <c r="E5" s="22"/>
      <c r="F5" s="22">
        <v>1582.38</v>
      </c>
      <c r="G5" s="22">
        <v>1614.59</v>
      </c>
      <c r="H5" s="37"/>
      <c r="I5" s="15">
        <v>5596.18</v>
      </c>
      <c r="K5" s="21">
        <v>2540</v>
      </c>
      <c r="L5" s="79"/>
      <c r="M5" s="80">
        <v>176</v>
      </c>
      <c r="N5" s="43">
        <v>42.5</v>
      </c>
      <c r="O5" s="43">
        <v>3720</v>
      </c>
      <c r="P5" s="43">
        <v>65</v>
      </c>
      <c r="Q5" s="80">
        <v>168</v>
      </c>
      <c r="R5" s="80"/>
      <c r="S5" s="43">
        <v>84</v>
      </c>
      <c r="T5" s="22"/>
      <c r="U5" s="22">
        <v>329</v>
      </c>
      <c r="V5" s="22">
        <v>57.5</v>
      </c>
      <c r="W5" s="22">
        <v>260</v>
      </c>
      <c r="X5" s="22"/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5245.6</v>
      </c>
      <c r="K6" s="21">
        <v>304</v>
      </c>
      <c r="L6" s="79"/>
      <c r="M6" s="81">
        <v>2370</v>
      </c>
      <c r="N6" s="43">
        <v>1500</v>
      </c>
      <c r="O6" s="43">
        <v>416</v>
      </c>
      <c r="P6" s="43"/>
      <c r="Q6" s="80">
        <v>240</v>
      </c>
      <c r="R6" s="81"/>
      <c r="S6" s="43"/>
      <c r="T6" s="22"/>
      <c r="U6" s="22">
        <v>3710</v>
      </c>
      <c r="V6" s="22">
        <v>622</v>
      </c>
      <c r="W6" s="22">
        <v>2490</v>
      </c>
      <c r="X6" s="22"/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380</v>
      </c>
      <c r="K7" s="21">
        <v>330</v>
      </c>
      <c r="L7" s="79"/>
      <c r="M7" s="43">
        <v>240</v>
      </c>
      <c r="N7" s="43"/>
      <c r="O7" s="43">
        <v>240</v>
      </c>
      <c r="P7" s="43"/>
      <c r="Q7" s="43">
        <v>28</v>
      </c>
      <c r="R7" s="43"/>
      <c r="S7" s="43"/>
      <c r="T7" s="22"/>
      <c r="U7" s="22">
        <v>360</v>
      </c>
      <c r="V7" s="22"/>
      <c r="W7" s="22">
        <v>420</v>
      </c>
      <c r="X7" s="22"/>
    </row>
    <row r="8" spans="1:24" ht="15" thickBot="1" x14ac:dyDescent="0.35">
      <c r="A8" s="21"/>
      <c r="B8" s="22"/>
      <c r="C8" s="22"/>
      <c r="D8" s="22"/>
      <c r="E8" s="22"/>
      <c r="F8" s="22"/>
      <c r="G8" s="22"/>
      <c r="I8" s="131">
        <v>578.94000000000005</v>
      </c>
      <c r="K8" s="128"/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22"/>
    </row>
    <row r="9" spans="1:24" ht="15.6" thickTop="1" thickBot="1" x14ac:dyDescent="0.35">
      <c r="A9" s="21"/>
      <c r="B9" s="22"/>
      <c r="C9" s="22"/>
      <c r="D9" s="22"/>
      <c r="E9" s="22"/>
      <c r="F9" s="22"/>
      <c r="G9" s="22"/>
      <c r="H9" s="37"/>
      <c r="I9" s="132">
        <f>SUM(I3:I8)</f>
        <v>20560.719999999998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1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1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1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3">
      <c r="A17" s="24">
        <f t="shared" ref="A17:G17" si="0">SUM(A3:A16)</f>
        <v>5385.12</v>
      </c>
      <c r="B17" s="24">
        <f t="shared" si="0"/>
        <v>5276.84</v>
      </c>
      <c r="C17" s="24">
        <f t="shared" si="0"/>
        <v>5814.05</v>
      </c>
      <c r="D17" s="24">
        <f t="shared" si="0"/>
        <v>3368.59</v>
      </c>
      <c r="E17" s="24">
        <f t="shared" si="0"/>
        <v>410</v>
      </c>
      <c r="F17" s="24">
        <f t="shared" si="0"/>
        <v>5672.38</v>
      </c>
      <c r="G17" s="24">
        <f t="shared" si="0"/>
        <v>5259.59</v>
      </c>
      <c r="H17" s="29">
        <f>SUM(A17:G17)+I9</f>
        <v>51747.289999999994</v>
      </c>
      <c r="I17" s="30" t="s">
        <v>7</v>
      </c>
      <c r="K17" s="24">
        <f t="shared" ref="K17:X17" si="1">SUM(K4:K16)</f>
        <v>3354</v>
      </c>
      <c r="L17" s="24">
        <f t="shared" si="1"/>
        <v>50</v>
      </c>
      <c r="M17" s="24">
        <f t="shared" si="1"/>
        <v>3056</v>
      </c>
      <c r="N17" s="24">
        <f t="shared" si="1"/>
        <v>2391.5</v>
      </c>
      <c r="O17" s="24">
        <f t="shared" si="1"/>
        <v>4676</v>
      </c>
      <c r="P17" s="24">
        <f t="shared" si="1"/>
        <v>125</v>
      </c>
      <c r="Q17" s="24">
        <f t="shared" si="1"/>
        <v>1866</v>
      </c>
      <c r="R17" s="24">
        <f t="shared" si="1"/>
        <v>57.5</v>
      </c>
      <c r="S17" s="24">
        <f t="shared" si="1"/>
        <v>704</v>
      </c>
      <c r="T17" s="24">
        <f t="shared" si="1"/>
        <v>15</v>
      </c>
      <c r="U17" s="24">
        <f t="shared" si="1"/>
        <v>4699</v>
      </c>
      <c r="V17" s="24">
        <f t="shared" si="1"/>
        <v>707.5</v>
      </c>
      <c r="W17" s="24">
        <f t="shared" si="1"/>
        <v>3440</v>
      </c>
      <c r="X17" s="24">
        <f t="shared" si="1"/>
        <v>45</v>
      </c>
    </row>
    <row r="18" spans="1:24" x14ac:dyDescent="0.3">
      <c r="A18" s="24">
        <v>5385.12</v>
      </c>
      <c r="B18" s="24">
        <v>5276.84</v>
      </c>
      <c r="C18" s="24">
        <v>5814.05</v>
      </c>
      <c r="D18" s="24">
        <v>3368.59</v>
      </c>
      <c r="E18" s="24">
        <v>410</v>
      </c>
      <c r="F18" s="24">
        <v>5672.38</v>
      </c>
      <c r="G18" s="24">
        <v>5259.59</v>
      </c>
      <c r="H18" s="22">
        <f>SUM(A18:G18)+I9</f>
        <v>51747.289999999994</v>
      </c>
      <c r="I18" s="33" t="s">
        <v>1</v>
      </c>
      <c r="K18" s="24">
        <v>3354</v>
      </c>
      <c r="L18" s="24">
        <v>50</v>
      </c>
      <c r="M18" s="24">
        <v>3056</v>
      </c>
      <c r="N18" s="24">
        <v>2391.5</v>
      </c>
      <c r="O18" s="24">
        <v>4676</v>
      </c>
      <c r="P18" s="24">
        <v>125</v>
      </c>
      <c r="Q18" s="24">
        <v>1866</v>
      </c>
      <c r="R18" s="24">
        <v>57.5</v>
      </c>
      <c r="S18" s="24">
        <v>704</v>
      </c>
      <c r="T18" s="24">
        <v>15</v>
      </c>
      <c r="U18" s="24">
        <v>4699</v>
      </c>
      <c r="V18" s="24">
        <v>707.5</v>
      </c>
      <c r="W18" s="24">
        <v>3440</v>
      </c>
      <c r="X18" s="24">
        <v>45</v>
      </c>
    </row>
    <row r="19" spans="1:24" ht="15" thickBot="1" x14ac:dyDescent="0.35">
      <c r="A19" s="35">
        <f t="shared" ref="A19:H19" si="2">A17-A18</f>
        <v>0</v>
      </c>
      <c r="B19" s="35">
        <f t="shared" si="2"/>
        <v>0</v>
      </c>
      <c r="C19" s="35">
        <f t="shared" si="2"/>
        <v>0</v>
      </c>
      <c r="D19" s="35">
        <f t="shared" si="2"/>
        <v>0</v>
      </c>
      <c r="E19" s="35">
        <f t="shared" si="2"/>
        <v>0</v>
      </c>
      <c r="F19" s="35">
        <f t="shared" si="2"/>
        <v>0</v>
      </c>
      <c r="G19" s="35">
        <f t="shared" si="2"/>
        <v>0</v>
      </c>
      <c r="H19" s="35">
        <f t="shared" si="2"/>
        <v>0</v>
      </c>
      <c r="I19" s="16">
        <f>SUM(I13:I18)</f>
        <v>0</v>
      </c>
      <c r="K19" s="86">
        <f t="shared" ref="K19:W19" si="3">K17-K18</f>
        <v>0</v>
      </c>
      <c r="L19" s="86">
        <f t="shared" si="3"/>
        <v>0</v>
      </c>
      <c r="M19" s="86">
        <f t="shared" si="3"/>
        <v>0</v>
      </c>
      <c r="N19" s="86">
        <f t="shared" si="3"/>
        <v>0</v>
      </c>
      <c r="O19" s="86">
        <f t="shared" si="3"/>
        <v>0</v>
      </c>
      <c r="P19" s="86">
        <f t="shared" si="3"/>
        <v>0</v>
      </c>
      <c r="Q19" s="86">
        <f t="shared" si="3"/>
        <v>0</v>
      </c>
      <c r="R19" s="86">
        <f t="shared" si="3"/>
        <v>0</v>
      </c>
      <c r="S19" s="86">
        <f t="shared" si="3"/>
        <v>0</v>
      </c>
      <c r="T19" s="86">
        <f t="shared" si="3"/>
        <v>0</v>
      </c>
      <c r="U19" s="86">
        <f t="shared" si="3"/>
        <v>0</v>
      </c>
      <c r="V19" s="86">
        <f t="shared" si="3"/>
        <v>0</v>
      </c>
      <c r="W19" s="86">
        <f t="shared" si="3"/>
        <v>0</v>
      </c>
      <c r="X19" s="86">
        <f>X17-X18</f>
        <v>0</v>
      </c>
    </row>
    <row r="20" spans="1:24" ht="15" thickTop="1" x14ac:dyDescent="0.3"/>
    <row r="22" spans="1:24" ht="15" thickBot="1" x14ac:dyDescent="0.35"/>
    <row r="23" spans="1:24" x14ac:dyDescent="0.3">
      <c r="A23" s="17">
        <v>45574</v>
      </c>
      <c r="B23" s="17">
        <v>45575</v>
      </c>
      <c r="C23" s="17">
        <v>45576</v>
      </c>
      <c r="D23" s="17">
        <v>45577</v>
      </c>
      <c r="E23" s="17">
        <v>45578</v>
      </c>
      <c r="F23" s="17">
        <v>45579</v>
      </c>
      <c r="G23" s="17">
        <v>45580</v>
      </c>
      <c r="H23" s="17"/>
      <c r="I23" s="13" t="s">
        <v>8</v>
      </c>
      <c r="K23" s="59">
        <v>45574</v>
      </c>
      <c r="L23" s="59"/>
      <c r="M23" s="59">
        <v>45575</v>
      </c>
      <c r="N23" s="59"/>
      <c r="O23" s="59">
        <v>45576</v>
      </c>
      <c r="P23" s="59"/>
      <c r="Q23" s="59">
        <v>45577</v>
      </c>
      <c r="R23" s="59"/>
      <c r="S23" s="59">
        <v>45578</v>
      </c>
      <c r="T23" s="59"/>
      <c r="U23" s="59">
        <v>45579</v>
      </c>
      <c r="V23" s="59"/>
      <c r="W23" s="59">
        <v>45580</v>
      </c>
      <c r="X23" s="59"/>
    </row>
    <row r="24" spans="1:24" ht="15" thickBot="1" x14ac:dyDescent="0.35">
      <c r="A24" s="21">
        <v>1859.05</v>
      </c>
      <c r="B24" s="22">
        <v>1260</v>
      </c>
      <c r="C24" s="22">
        <v>1330</v>
      </c>
      <c r="D24" s="22">
        <v>1801.87</v>
      </c>
      <c r="E24" s="22">
        <v>20</v>
      </c>
      <c r="F24" s="22">
        <v>1936.82</v>
      </c>
      <c r="G24" s="22">
        <v>1859.6</v>
      </c>
      <c r="H24" s="37"/>
      <c r="I24" s="15">
        <v>4845.6000000000004</v>
      </c>
      <c r="K24" s="124" t="s">
        <v>10</v>
      </c>
      <c r="L24" s="125" t="s">
        <v>11</v>
      </c>
      <c r="M24" s="126" t="s">
        <v>10</v>
      </c>
      <c r="N24" s="126" t="s">
        <v>11</v>
      </c>
      <c r="O24" s="126" t="s">
        <v>10</v>
      </c>
      <c r="P24" s="126" t="s">
        <v>11</v>
      </c>
      <c r="Q24" s="126" t="s">
        <v>10</v>
      </c>
      <c r="R24" s="126" t="s">
        <v>11</v>
      </c>
      <c r="S24" s="126" t="s">
        <v>10</v>
      </c>
      <c r="T24" s="126" t="s">
        <v>11</v>
      </c>
      <c r="U24" s="126" t="s">
        <v>10</v>
      </c>
      <c r="V24" s="126" t="s">
        <v>11</v>
      </c>
      <c r="W24" s="126" t="s">
        <v>10</v>
      </c>
      <c r="X24" s="126" t="s">
        <v>11</v>
      </c>
    </row>
    <row r="25" spans="1:24" x14ac:dyDescent="0.3">
      <c r="A25" s="21">
        <v>3250</v>
      </c>
      <c r="B25" s="22">
        <v>2360</v>
      </c>
      <c r="C25" s="22">
        <v>3000</v>
      </c>
      <c r="D25" s="22">
        <v>1535</v>
      </c>
      <c r="E25" s="25">
        <v>855</v>
      </c>
      <c r="F25" s="22">
        <v>2935</v>
      </c>
      <c r="G25" s="22">
        <v>2395</v>
      </c>
      <c r="H25" s="37"/>
      <c r="I25" s="15">
        <v>4185.3999999999996</v>
      </c>
      <c r="K25" s="75">
        <v>300</v>
      </c>
      <c r="L25" s="76">
        <v>928</v>
      </c>
      <c r="M25" s="77">
        <v>270</v>
      </c>
      <c r="N25" s="77">
        <v>60</v>
      </c>
      <c r="O25" s="77">
        <v>328</v>
      </c>
      <c r="P25" s="77">
        <v>52.5</v>
      </c>
      <c r="Q25" s="77">
        <v>28</v>
      </c>
      <c r="R25" s="77">
        <v>45</v>
      </c>
      <c r="S25" s="78">
        <v>310</v>
      </c>
      <c r="T25" s="69">
        <v>15</v>
      </c>
      <c r="U25" s="63">
        <v>360</v>
      </c>
      <c r="V25" s="63">
        <v>57.5</v>
      </c>
      <c r="W25" s="63">
        <v>190</v>
      </c>
      <c r="X25" s="63">
        <v>1440</v>
      </c>
    </row>
    <row r="26" spans="1:24" x14ac:dyDescent="0.3">
      <c r="A26" s="21">
        <v>1090</v>
      </c>
      <c r="B26" s="22">
        <v>1826.84</v>
      </c>
      <c r="C26" s="22">
        <v>1859.05</v>
      </c>
      <c r="D26" s="26">
        <v>778.94</v>
      </c>
      <c r="E26" s="22"/>
      <c r="F26" s="22">
        <v>1115</v>
      </c>
      <c r="G26" s="22">
        <v>1410</v>
      </c>
      <c r="H26" s="37"/>
      <c r="I26" s="15">
        <v>1415.26</v>
      </c>
      <c r="K26" s="21">
        <v>2510</v>
      </c>
      <c r="L26" s="79">
        <v>50</v>
      </c>
      <c r="M26" s="80">
        <v>176</v>
      </c>
      <c r="N26" s="43">
        <v>409.5</v>
      </c>
      <c r="O26" s="43">
        <v>416</v>
      </c>
      <c r="P26" s="43">
        <v>228</v>
      </c>
      <c r="Q26" s="80">
        <v>330</v>
      </c>
      <c r="R26" s="80"/>
      <c r="S26" s="43">
        <v>84</v>
      </c>
      <c r="T26" s="22"/>
      <c r="U26" s="22">
        <v>3380</v>
      </c>
      <c r="V26" s="22"/>
      <c r="W26" s="22">
        <v>2390</v>
      </c>
      <c r="X26" s="22">
        <v>65</v>
      </c>
    </row>
    <row r="27" spans="1:24" x14ac:dyDescent="0.3">
      <c r="A27" s="21"/>
      <c r="B27" s="22"/>
      <c r="C27" s="22"/>
      <c r="D27" s="25"/>
      <c r="E27" s="22"/>
      <c r="F27" s="22"/>
      <c r="G27" s="22"/>
      <c r="H27" s="37"/>
      <c r="I27" s="15">
        <v>6000</v>
      </c>
      <c r="K27" s="21">
        <v>304</v>
      </c>
      <c r="L27" s="79"/>
      <c r="M27" s="81">
        <v>2190</v>
      </c>
      <c r="N27" s="43"/>
      <c r="O27" s="43">
        <v>3290</v>
      </c>
      <c r="P27" s="43"/>
      <c r="Q27" s="80">
        <v>308</v>
      </c>
      <c r="R27" s="81"/>
      <c r="S27" s="43"/>
      <c r="T27" s="22"/>
      <c r="U27" s="22">
        <v>439</v>
      </c>
      <c r="V27" s="22"/>
      <c r="W27" s="22">
        <v>260</v>
      </c>
      <c r="X27" s="22"/>
    </row>
    <row r="28" spans="1:24" x14ac:dyDescent="0.3">
      <c r="A28" s="21"/>
      <c r="B28" s="22"/>
      <c r="C28" s="22"/>
      <c r="D28" s="22"/>
      <c r="E28" s="22"/>
      <c r="F28" s="22"/>
      <c r="G28" s="22"/>
      <c r="H28" s="37"/>
      <c r="I28" s="15">
        <v>2855</v>
      </c>
      <c r="K28" s="21">
        <v>300</v>
      </c>
      <c r="L28" s="79"/>
      <c r="M28" s="43">
        <v>120</v>
      </c>
      <c r="N28" s="43"/>
      <c r="O28" s="43">
        <v>180</v>
      </c>
      <c r="P28" s="43"/>
      <c r="Q28" s="43">
        <v>1940</v>
      </c>
      <c r="R28" s="43"/>
      <c r="S28" s="43"/>
      <c r="T28" s="22"/>
      <c r="U28" s="22">
        <v>360</v>
      </c>
      <c r="V28" s="22"/>
      <c r="W28" s="22">
        <v>360</v>
      </c>
      <c r="X28" s="22"/>
    </row>
    <row r="29" spans="1:24" ht="15" thickBot="1" x14ac:dyDescent="0.35">
      <c r="A29" s="21"/>
      <c r="B29" s="22"/>
      <c r="C29" s="22"/>
      <c r="D29" s="22"/>
      <c r="E29" s="22"/>
      <c r="F29" s="22"/>
      <c r="G29" s="22"/>
      <c r="I29" s="131">
        <v>800</v>
      </c>
      <c r="K29" s="128"/>
      <c r="L29" s="79"/>
      <c r="M29" s="43"/>
      <c r="N29" s="43"/>
      <c r="O29" s="43"/>
      <c r="P29" s="43"/>
      <c r="Q29" s="43"/>
      <c r="R29" s="43"/>
      <c r="S29" s="43"/>
      <c r="T29" s="22"/>
      <c r="U29" s="22">
        <v>14</v>
      </c>
      <c r="V29" s="22"/>
      <c r="W29" s="22"/>
      <c r="X29" s="22"/>
    </row>
    <row r="30" spans="1:24" ht="15.6" thickTop="1" thickBot="1" x14ac:dyDescent="0.35">
      <c r="A30" s="21"/>
      <c r="B30" s="22"/>
      <c r="C30" s="22"/>
      <c r="D30" s="22"/>
      <c r="E30" s="22"/>
      <c r="F30" s="22"/>
      <c r="G30" s="22"/>
      <c r="H30" s="37"/>
      <c r="I30" s="132">
        <f>SUM(I24:I29)</f>
        <v>20101.260000000002</v>
      </c>
      <c r="K30" s="21"/>
      <c r="L30" s="79"/>
      <c r="M30" s="43"/>
      <c r="N30" s="43"/>
      <c r="O30" s="43"/>
      <c r="P30" s="43"/>
      <c r="Q30" s="43"/>
      <c r="R30" s="43"/>
      <c r="S30" s="43"/>
      <c r="T30" s="22"/>
      <c r="U30" s="22"/>
      <c r="V30" s="22"/>
      <c r="W30" s="22"/>
      <c r="X30" s="22"/>
    </row>
    <row r="31" spans="1:24" ht="15" thickTop="1" x14ac:dyDescent="0.3">
      <c r="A31" s="21"/>
      <c r="B31" s="22"/>
      <c r="C31" s="22"/>
      <c r="D31" s="22"/>
      <c r="E31" s="22"/>
      <c r="F31" s="22"/>
      <c r="G31" s="22"/>
      <c r="H31" s="22"/>
      <c r="I31" s="40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1"/>
      <c r="B32" s="22"/>
      <c r="C32" s="22"/>
      <c r="D32" s="22"/>
      <c r="E32" s="22"/>
      <c r="F32" s="22"/>
      <c r="G32" s="22"/>
      <c r="H32" s="22"/>
      <c r="I32" s="27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7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1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1"/>
      <c r="B36" s="22"/>
      <c r="C36" s="22"/>
      <c r="D36" s="22"/>
      <c r="E36" s="22"/>
      <c r="F36" s="22"/>
      <c r="G36" s="22"/>
      <c r="H36" s="22"/>
      <c r="I36" s="23"/>
      <c r="K36" s="24"/>
      <c r="L36" s="56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3">
      <c r="A37" s="24"/>
      <c r="B37" s="22"/>
      <c r="C37" s="22"/>
      <c r="D37" s="22"/>
      <c r="E37" s="22"/>
      <c r="F37" s="22"/>
      <c r="G37" s="22"/>
      <c r="H37" s="22"/>
      <c r="I37" s="23"/>
      <c r="K37" s="24"/>
      <c r="L37" s="56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3">
      <c r="A38" s="24">
        <f t="shared" ref="A38:G38" si="4">SUM(A24:A37)</f>
        <v>6199.05</v>
      </c>
      <c r="B38" s="24">
        <f t="shared" si="4"/>
        <v>5446.84</v>
      </c>
      <c r="C38" s="24">
        <f t="shared" si="4"/>
        <v>6189.05</v>
      </c>
      <c r="D38" s="24">
        <f t="shared" si="4"/>
        <v>4115.8099999999995</v>
      </c>
      <c r="E38" s="24">
        <f t="shared" si="4"/>
        <v>875</v>
      </c>
      <c r="F38" s="24">
        <f t="shared" si="4"/>
        <v>5986.82</v>
      </c>
      <c r="G38" s="24">
        <f t="shared" si="4"/>
        <v>5664.6</v>
      </c>
      <c r="H38" s="29">
        <f>SUM(A38:G38)+I30</f>
        <v>54578.43</v>
      </c>
      <c r="I38" s="30" t="s">
        <v>7</v>
      </c>
      <c r="K38" s="24">
        <f t="shared" ref="K38:X38" si="5">SUM(K25:K37)</f>
        <v>3414</v>
      </c>
      <c r="L38" s="24">
        <f t="shared" si="5"/>
        <v>978</v>
      </c>
      <c r="M38" s="24">
        <f t="shared" si="5"/>
        <v>2756</v>
      </c>
      <c r="N38" s="24">
        <f t="shared" si="5"/>
        <v>469.5</v>
      </c>
      <c r="O38" s="24">
        <f t="shared" si="5"/>
        <v>4214</v>
      </c>
      <c r="P38" s="24">
        <f t="shared" si="5"/>
        <v>280.5</v>
      </c>
      <c r="Q38" s="24">
        <f t="shared" si="5"/>
        <v>2606</v>
      </c>
      <c r="R38" s="24">
        <f t="shared" si="5"/>
        <v>45</v>
      </c>
      <c r="S38" s="24">
        <f t="shared" si="5"/>
        <v>394</v>
      </c>
      <c r="T38" s="24">
        <f t="shared" si="5"/>
        <v>15</v>
      </c>
      <c r="U38" s="24">
        <f t="shared" si="5"/>
        <v>4553</v>
      </c>
      <c r="V38" s="24">
        <f t="shared" si="5"/>
        <v>57.5</v>
      </c>
      <c r="W38" s="24">
        <f t="shared" si="5"/>
        <v>3200</v>
      </c>
      <c r="X38" s="24">
        <f t="shared" si="5"/>
        <v>1505</v>
      </c>
    </row>
    <row r="39" spans="1:24" x14ac:dyDescent="0.3">
      <c r="A39" s="24">
        <v>6199.05</v>
      </c>
      <c r="B39" s="24">
        <v>5446.84</v>
      </c>
      <c r="C39" s="24">
        <v>6189.05</v>
      </c>
      <c r="D39" s="24">
        <v>4115.8100000000004</v>
      </c>
      <c r="E39" s="24">
        <v>875</v>
      </c>
      <c r="F39" s="24">
        <v>5986.82</v>
      </c>
      <c r="G39" s="24">
        <v>5664.6</v>
      </c>
      <c r="H39" s="22">
        <f>SUM(A39:G39)+I30</f>
        <v>54578.43</v>
      </c>
      <c r="I39" s="33" t="s">
        <v>1</v>
      </c>
      <c r="K39" s="24">
        <v>3414</v>
      </c>
      <c r="L39" s="24">
        <v>978</v>
      </c>
      <c r="M39" s="24">
        <v>2756</v>
      </c>
      <c r="N39" s="24">
        <v>469.5</v>
      </c>
      <c r="O39" s="24">
        <v>4214</v>
      </c>
      <c r="P39" s="24">
        <v>280.5</v>
      </c>
      <c r="Q39" s="24">
        <v>2606</v>
      </c>
      <c r="R39" s="24">
        <v>45</v>
      </c>
      <c r="S39" s="24">
        <v>394</v>
      </c>
      <c r="T39" s="24">
        <v>15</v>
      </c>
      <c r="U39" s="24">
        <v>4553</v>
      </c>
      <c r="V39" s="24">
        <v>57.5</v>
      </c>
      <c r="W39" s="24">
        <v>3200</v>
      </c>
      <c r="X39" s="24">
        <v>1505</v>
      </c>
    </row>
    <row r="40" spans="1:24" ht="15" thickBot="1" x14ac:dyDescent="0.35">
      <c r="A40" s="35">
        <f t="shared" ref="A40:H40" si="6">A38-A39</f>
        <v>0</v>
      </c>
      <c r="B40" s="35">
        <f t="shared" si="6"/>
        <v>0</v>
      </c>
      <c r="C40" s="35">
        <f t="shared" si="6"/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16">
        <f>SUM(I34:I39)</f>
        <v>0</v>
      </c>
      <c r="K40" s="86">
        <f t="shared" ref="K40:W40" si="7">K38-K39</f>
        <v>0</v>
      </c>
      <c r="L40" s="86">
        <f t="shared" si="7"/>
        <v>0</v>
      </c>
      <c r="M40" s="86">
        <f t="shared" si="7"/>
        <v>0</v>
      </c>
      <c r="N40" s="86">
        <f t="shared" si="7"/>
        <v>0</v>
      </c>
      <c r="O40" s="86">
        <f t="shared" si="7"/>
        <v>0</v>
      </c>
      <c r="P40" s="86">
        <f t="shared" si="7"/>
        <v>0</v>
      </c>
      <c r="Q40" s="86">
        <f t="shared" si="7"/>
        <v>0</v>
      </c>
      <c r="R40" s="86">
        <f t="shared" si="7"/>
        <v>0</v>
      </c>
      <c r="S40" s="86">
        <f t="shared" si="7"/>
        <v>0</v>
      </c>
      <c r="T40" s="86">
        <f t="shared" si="7"/>
        <v>0</v>
      </c>
      <c r="U40" s="86">
        <f t="shared" si="7"/>
        <v>0</v>
      </c>
      <c r="V40" s="86">
        <f t="shared" si="7"/>
        <v>0</v>
      </c>
      <c r="W40" s="86">
        <f t="shared" si="7"/>
        <v>0</v>
      </c>
      <c r="X40" s="86">
        <f>X38-X39</f>
        <v>0</v>
      </c>
    </row>
    <row r="41" spans="1:24" ht="15.6" thickTop="1" thickBot="1" x14ac:dyDescent="0.35"/>
    <row r="42" spans="1:24" x14ac:dyDescent="0.3">
      <c r="A42" s="17">
        <v>45581</v>
      </c>
      <c r="B42" s="17">
        <v>45582</v>
      </c>
      <c r="C42" s="17">
        <v>45583</v>
      </c>
      <c r="D42" s="17">
        <v>45584</v>
      </c>
      <c r="E42" s="17">
        <v>45585</v>
      </c>
      <c r="F42" s="17">
        <v>45586</v>
      </c>
      <c r="G42" s="17">
        <v>45587</v>
      </c>
      <c r="H42" s="17"/>
      <c r="I42" s="13" t="s">
        <v>8</v>
      </c>
      <c r="K42" s="59">
        <v>45581</v>
      </c>
      <c r="L42" s="59"/>
      <c r="M42" s="59">
        <v>45582</v>
      </c>
      <c r="N42" s="59"/>
      <c r="O42" s="59">
        <v>45583</v>
      </c>
      <c r="P42" s="59"/>
      <c r="Q42" s="59">
        <v>45584</v>
      </c>
      <c r="R42" s="59"/>
      <c r="S42" s="59">
        <v>45585</v>
      </c>
      <c r="T42" s="59"/>
      <c r="U42" s="59">
        <v>45586</v>
      </c>
      <c r="V42" s="59"/>
      <c r="W42" s="59">
        <v>45587</v>
      </c>
      <c r="X42" s="59"/>
    </row>
    <row r="43" spans="1:24" ht="15" thickBot="1" x14ac:dyDescent="0.35">
      <c r="A43" s="21">
        <v>1220</v>
      </c>
      <c r="B43" s="22">
        <v>1859.6</v>
      </c>
      <c r="C43" s="22">
        <v>1692.36</v>
      </c>
      <c r="D43" s="22">
        <v>1248.5899999999999</v>
      </c>
      <c r="E43" s="22">
        <v>500</v>
      </c>
      <c r="F43" s="22">
        <v>1125</v>
      </c>
      <c r="G43" s="22">
        <v>1645</v>
      </c>
      <c r="H43" s="37"/>
      <c r="I43" s="15">
        <v>6000</v>
      </c>
      <c r="K43" s="124" t="s">
        <v>10</v>
      </c>
      <c r="L43" s="125" t="s">
        <v>11</v>
      </c>
      <c r="M43" s="126" t="s">
        <v>10</v>
      </c>
      <c r="N43" s="126" t="s">
        <v>11</v>
      </c>
      <c r="O43" s="126" t="s">
        <v>10</v>
      </c>
      <c r="P43" s="126" t="s">
        <v>11</v>
      </c>
      <c r="Q43" s="126" t="s">
        <v>10</v>
      </c>
      <c r="R43" s="126" t="s">
        <v>11</v>
      </c>
      <c r="S43" s="126" t="s">
        <v>10</v>
      </c>
      <c r="T43" s="126" t="s">
        <v>11</v>
      </c>
      <c r="U43" s="126" t="s">
        <v>10</v>
      </c>
      <c r="V43" s="126" t="s">
        <v>11</v>
      </c>
      <c r="W43" s="126" t="s">
        <v>10</v>
      </c>
      <c r="X43" s="126" t="s">
        <v>11</v>
      </c>
    </row>
    <row r="44" spans="1:24" x14ac:dyDescent="0.3">
      <c r="A44" s="21">
        <v>3055</v>
      </c>
      <c r="B44" s="22">
        <v>2495</v>
      </c>
      <c r="C44" s="22">
        <v>2615</v>
      </c>
      <c r="D44" s="22">
        <v>1175</v>
      </c>
      <c r="E44" s="25"/>
      <c r="F44" s="22">
        <v>3555</v>
      </c>
      <c r="G44" s="22">
        <v>2215</v>
      </c>
      <c r="H44" s="37"/>
      <c r="I44" s="15">
        <v>2537.5</v>
      </c>
      <c r="K44" s="75">
        <v>358</v>
      </c>
      <c r="L44" s="76">
        <v>50</v>
      </c>
      <c r="M44" s="77">
        <v>300</v>
      </c>
      <c r="N44" s="77">
        <v>60</v>
      </c>
      <c r="O44" s="77">
        <v>480</v>
      </c>
      <c r="P44" s="77">
        <v>57.5</v>
      </c>
      <c r="Q44" s="77">
        <v>1170</v>
      </c>
      <c r="R44" s="77">
        <v>1440</v>
      </c>
      <c r="S44" s="78">
        <v>610</v>
      </c>
      <c r="T44" s="69">
        <v>15</v>
      </c>
      <c r="U44" s="63">
        <v>330</v>
      </c>
      <c r="V44" s="63">
        <v>57.5</v>
      </c>
      <c r="W44" s="63">
        <v>28</v>
      </c>
      <c r="X44" s="63">
        <v>65</v>
      </c>
    </row>
    <row r="45" spans="1:24" x14ac:dyDescent="0.3">
      <c r="A45" s="21">
        <v>1782.38</v>
      </c>
      <c r="B45" s="22">
        <v>1315</v>
      </c>
      <c r="C45" s="22">
        <v>985</v>
      </c>
      <c r="D45" s="26">
        <v>1020</v>
      </c>
      <c r="E45" s="22"/>
      <c r="F45" s="22">
        <v>1826.84</v>
      </c>
      <c r="G45" s="22">
        <v>1904.06</v>
      </c>
      <c r="H45" s="37"/>
      <c r="I45" s="15">
        <v>488.92</v>
      </c>
      <c r="K45" s="21">
        <v>304</v>
      </c>
      <c r="L45" s="79">
        <v>60</v>
      </c>
      <c r="M45" s="80">
        <v>2940</v>
      </c>
      <c r="N45" s="43"/>
      <c r="O45" s="43">
        <v>2780</v>
      </c>
      <c r="P45" s="43"/>
      <c r="Q45" s="80">
        <v>168</v>
      </c>
      <c r="R45" s="80">
        <v>57.5</v>
      </c>
      <c r="S45" s="43">
        <v>84</v>
      </c>
      <c r="T45" s="22">
        <v>0</v>
      </c>
      <c r="U45" s="22">
        <v>314</v>
      </c>
      <c r="V45" s="22">
        <v>30</v>
      </c>
      <c r="W45" s="22">
        <v>180</v>
      </c>
      <c r="X45" s="22">
        <v>60</v>
      </c>
    </row>
    <row r="46" spans="1:24" x14ac:dyDescent="0.3">
      <c r="A46" s="21"/>
      <c r="B46" s="22"/>
      <c r="C46" s="22"/>
      <c r="D46" s="25"/>
      <c r="E46" s="22"/>
      <c r="F46" s="22"/>
      <c r="G46" s="22"/>
      <c r="H46" s="37"/>
      <c r="I46" s="15">
        <v>5928.42</v>
      </c>
      <c r="K46" s="21">
        <v>2370</v>
      </c>
      <c r="L46" s="79"/>
      <c r="M46" s="81">
        <v>332</v>
      </c>
      <c r="N46" s="43"/>
      <c r="O46" s="43">
        <v>260</v>
      </c>
      <c r="P46" s="43"/>
      <c r="Q46" s="80">
        <v>240</v>
      </c>
      <c r="R46" s="81"/>
      <c r="S46" s="43"/>
      <c r="T46" s="22"/>
      <c r="U46" s="22">
        <v>2730</v>
      </c>
      <c r="V46" s="22">
        <v>100</v>
      </c>
      <c r="W46" s="22">
        <v>260</v>
      </c>
      <c r="X46" s="22">
        <v>409.5</v>
      </c>
    </row>
    <row r="47" spans="1:24" x14ac:dyDescent="0.3">
      <c r="A47" s="21"/>
      <c r="B47" s="22"/>
      <c r="C47" s="22"/>
      <c r="D47" s="22"/>
      <c r="E47" s="22"/>
      <c r="F47" s="22"/>
      <c r="G47" s="22"/>
      <c r="H47" s="37"/>
      <c r="I47" s="15">
        <v>4734.5200000000004</v>
      </c>
      <c r="K47" s="21">
        <v>240</v>
      </c>
      <c r="L47" s="79"/>
      <c r="M47" s="43">
        <v>210</v>
      </c>
      <c r="N47" s="43"/>
      <c r="O47" s="43">
        <v>240</v>
      </c>
      <c r="P47" s="43"/>
      <c r="Q47" s="43">
        <v>28</v>
      </c>
      <c r="R47" s="43"/>
      <c r="S47" s="43"/>
      <c r="T47" s="22"/>
      <c r="U47" s="22">
        <v>120</v>
      </c>
      <c r="V47" s="22"/>
      <c r="W47" s="22">
        <v>2500</v>
      </c>
      <c r="X47" s="22"/>
    </row>
    <row r="48" spans="1:24" ht="15" thickBot="1" x14ac:dyDescent="0.35">
      <c r="A48" s="21"/>
      <c r="B48" s="22"/>
      <c r="C48" s="22"/>
      <c r="D48" s="22"/>
      <c r="E48" s="22"/>
      <c r="F48" s="22"/>
      <c r="G48" s="22"/>
      <c r="I48" s="131"/>
      <c r="K48" s="128"/>
      <c r="L48" s="79"/>
      <c r="M48" s="43"/>
      <c r="N48" s="43"/>
      <c r="O48" s="43"/>
      <c r="P48" s="43"/>
      <c r="Q48" s="43"/>
      <c r="R48" s="43"/>
      <c r="S48" s="43"/>
      <c r="T48" s="22"/>
      <c r="U48" s="22"/>
      <c r="V48" s="22"/>
      <c r="W48" s="22">
        <v>420</v>
      </c>
      <c r="X48" s="22"/>
    </row>
    <row r="49" spans="1:24" ht="15.6" thickTop="1" thickBot="1" x14ac:dyDescent="0.35">
      <c r="A49" s="21"/>
      <c r="B49" s="22"/>
      <c r="C49" s="22"/>
      <c r="D49" s="22"/>
      <c r="E49" s="22"/>
      <c r="F49" s="22"/>
      <c r="G49" s="22"/>
      <c r="H49" s="37"/>
      <c r="I49" s="132">
        <f>SUM(I43:I48)</f>
        <v>19689.36</v>
      </c>
      <c r="K49" s="21"/>
      <c r="L49" s="79"/>
      <c r="M49" s="43"/>
      <c r="N49" s="43"/>
      <c r="O49" s="43"/>
      <c r="P49" s="43"/>
      <c r="Q49" s="43"/>
      <c r="R49" s="43"/>
      <c r="S49" s="43"/>
      <c r="T49" s="22"/>
      <c r="U49" s="22"/>
      <c r="V49" s="22"/>
      <c r="W49" s="22"/>
      <c r="X49" s="22"/>
    </row>
    <row r="50" spans="1:24" ht="15" thickTop="1" x14ac:dyDescent="0.3">
      <c r="A50" s="21"/>
      <c r="B50" s="22"/>
      <c r="C50" s="22"/>
      <c r="D50" s="22"/>
      <c r="E50" s="22"/>
      <c r="F50" s="22"/>
      <c r="G50" s="22"/>
      <c r="H50" s="22"/>
      <c r="I50" s="40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7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1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1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3">
      <c r="A56" s="24"/>
      <c r="B56" s="22"/>
      <c r="C56" s="22"/>
      <c r="D56" s="22"/>
      <c r="E56" s="22"/>
      <c r="F56" s="22"/>
      <c r="G56" s="22"/>
      <c r="H56" s="22"/>
      <c r="I56" s="23"/>
      <c r="K56" s="24"/>
      <c r="L56" s="56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3">
      <c r="A57" s="24">
        <f t="shared" ref="A57:G57" si="8">SUM(A43:A56)</f>
        <v>6057.38</v>
      </c>
      <c r="B57" s="24">
        <f t="shared" si="8"/>
        <v>5669.6</v>
      </c>
      <c r="C57" s="24">
        <f t="shared" si="8"/>
        <v>5292.36</v>
      </c>
      <c r="D57" s="24">
        <f t="shared" ref="D57" si="9">SUM(D43:D56)</f>
        <v>3443.59</v>
      </c>
      <c r="E57" s="24">
        <f t="shared" si="8"/>
        <v>500</v>
      </c>
      <c r="F57" s="24">
        <f t="shared" si="8"/>
        <v>6506.84</v>
      </c>
      <c r="G57" s="24">
        <f t="shared" si="8"/>
        <v>5764.0599999999995</v>
      </c>
      <c r="H57" s="29">
        <f>SUM(A57:G57)+I49</f>
        <v>52923.19</v>
      </c>
      <c r="I57" s="30" t="s">
        <v>7</v>
      </c>
      <c r="K57" s="24">
        <f t="shared" ref="K57:X57" si="10">SUM(K44:K56)</f>
        <v>3272</v>
      </c>
      <c r="L57" s="24">
        <f t="shared" si="10"/>
        <v>110</v>
      </c>
      <c r="M57" s="24">
        <f t="shared" si="10"/>
        <v>3782</v>
      </c>
      <c r="N57" s="24">
        <f t="shared" si="10"/>
        <v>60</v>
      </c>
      <c r="O57" s="24">
        <f t="shared" si="10"/>
        <v>3760</v>
      </c>
      <c r="P57" s="24">
        <f t="shared" si="10"/>
        <v>57.5</v>
      </c>
      <c r="Q57" s="24">
        <f t="shared" si="10"/>
        <v>1606</v>
      </c>
      <c r="R57" s="24">
        <f t="shared" si="10"/>
        <v>1497.5</v>
      </c>
      <c r="S57" s="24">
        <f t="shared" si="10"/>
        <v>694</v>
      </c>
      <c r="T57" s="24">
        <f t="shared" si="10"/>
        <v>15</v>
      </c>
      <c r="U57" s="24">
        <f t="shared" si="10"/>
        <v>3494</v>
      </c>
      <c r="V57" s="24">
        <f t="shared" si="10"/>
        <v>187.5</v>
      </c>
      <c r="W57" s="24">
        <f t="shared" si="10"/>
        <v>3388</v>
      </c>
      <c r="X57" s="24">
        <f t="shared" si="10"/>
        <v>534.5</v>
      </c>
    </row>
    <row r="58" spans="1:24" x14ac:dyDescent="0.3">
      <c r="A58" s="24">
        <v>6057.38</v>
      </c>
      <c r="B58" s="24">
        <v>5669.6</v>
      </c>
      <c r="C58" s="24">
        <v>5292.36</v>
      </c>
      <c r="D58" s="24">
        <v>3443.59</v>
      </c>
      <c r="E58" s="24">
        <v>500</v>
      </c>
      <c r="F58" s="24">
        <v>6506.84</v>
      </c>
      <c r="G58" s="24">
        <v>5764.06</v>
      </c>
      <c r="H58" s="22">
        <f>SUM(A58:G58)+I49</f>
        <v>52923.19</v>
      </c>
      <c r="I58" s="33" t="s">
        <v>1</v>
      </c>
      <c r="K58" s="24">
        <v>3272</v>
      </c>
      <c r="L58" s="24">
        <v>110</v>
      </c>
      <c r="M58" s="24">
        <v>3782</v>
      </c>
      <c r="N58" s="24">
        <v>60</v>
      </c>
      <c r="O58" s="24">
        <v>3760</v>
      </c>
      <c r="P58" s="24">
        <v>57.5</v>
      </c>
      <c r="Q58" s="24">
        <v>1606</v>
      </c>
      <c r="R58" s="24">
        <v>1497.5</v>
      </c>
      <c r="S58" s="24">
        <v>694</v>
      </c>
      <c r="T58" s="24">
        <v>15</v>
      </c>
      <c r="U58" s="24">
        <v>3494</v>
      </c>
      <c r="V58" s="24">
        <v>187.5</v>
      </c>
      <c r="W58" s="24">
        <v>3388</v>
      </c>
      <c r="X58" s="24">
        <v>534.5</v>
      </c>
    </row>
    <row r="59" spans="1:24" ht="15" thickBot="1" x14ac:dyDescent="0.35">
      <c r="A59" s="35">
        <f t="shared" ref="A59:H59" si="11">A57-A58</f>
        <v>0</v>
      </c>
      <c r="B59" s="35">
        <f t="shared" si="11"/>
        <v>0</v>
      </c>
      <c r="C59" s="35">
        <f t="shared" ref="C59" si="12">C57-C58</f>
        <v>0</v>
      </c>
      <c r="D59" s="35">
        <f t="shared" si="11"/>
        <v>0</v>
      </c>
      <c r="E59" s="35">
        <f t="shared" si="11"/>
        <v>0</v>
      </c>
      <c r="F59" s="35">
        <f t="shared" si="11"/>
        <v>0</v>
      </c>
      <c r="G59" s="35">
        <f t="shared" si="11"/>
        <v>0</v>
      </c>
      <c r="H59" s="35">
        <f t="shared" si="11"/>
        <v>0</v>
      </c>
      <c r="I59" s="16">
        <f>SUM(I53:I58)</f>
        <v>0</v>
      </c>
      <c r="K59" s="86">
        <f t="shared" ref="K59:W59" si="13">K57-K58</f>
        <v>0</v>
      </c>
      <c r="L59" s="86">
        <f t="shared" si="13"/>
        <v>0</v>
      </c>
      <c r="M59" s="86">
        <f t="shared" si="13"/>
        <v>0</v>
      </c>
      <c r="N59" s="86">
        <f t="shared" si="13"/>
        <v>0</v>
      </c>
      <c r="O59" s="86">
        <f t="shared" si="13"/>
        <v>0</v>
      </c>
      <c r="P59" s="86">
        <f t="shared" si="13"/>
        <v>0</v>
      </c>
      <c r="Q59" s="86">
        <f t="shared" si="13"/>
        <v>0</v>
      </c>
      <c r="R59" s="86">
        <f t="shared" si="13"/>
        <v>0</v>
      </c>
      <c r="S59" s="86">
        <f t="shared" si="13"/>
        <v>0</v>
      </c>
      <c r="T59" s="86">
        <f t="shared" si="13"/>
        <v>0</v>
      </c>
      <c r="U59" s="86">
        <f t="shared" si="13"/>
        <v>0</v>
      </c>
      <c r="V59" s="86">
        <f t="shared" si="13"/>
        <v>0</v>
      </c>
      <c r="W59" s="86">
        <f t="shared" si="13"/>
        <v>0</v>
      </c>
      <c r="X59" s="86">
        <f>X57-X58</f>
        <v>0</v>
      </c>
    </row>
    <row r="60" spans="1:24" ht="15.6" thickTop="1" thickBot="1" x14ac:dyDescent="0.35"/>
    <row r="61" spans="1:24" x14ac:dyDescent="0.3">
      <c r="A61" s="17">
        <v>45588</v>
      </c>
      <c r="B61" s="17">
        <v>45589</v>
      </c>
      <c r="C61" s="17">
        <v>45590</v>
      </c>
      <c r="D61" s="17">
        <v>45591</v>
      </c>
      <c r="E61" s="17">
        <v>45592</v>
      </c>
      <c r="F61" s="17">
        <v>45593</v>
      </c>
      <c r="G61" s="17">
        <v>45594</v>
      </c>
      <c r="H61" s="17"/>
      <c r="I61" s="13" t="s">
        <v>8</v>
      </c>
      <c r="K61" s="59">
        <v>45588</v>
      </c>
      <c r="L61" s="59"/>
      <c r="M61" s="59">
        <v>45589</v>
      </c>
      <c r="N61" s="59"/>
      <c r="O61" s="59">
        <v>45590</v>
      </c>
      <c r="P61" s="59"/>
      <c r="Q61" s="59">
        <v>45591</v>
      </c>
      <c r="R61" s="59"/>
      <c r="S61" s="59">
        <v>45592</v>
      </c>
      <c r="T61" s="59"/>
      <c r="U61" s="59">
        <v>45593</v>
      </c>
      <c r="V61" s="59"/>
      <c r="W61" s="59">
        <v>45594</v>
      </c>
      <c r="X61" s="59"/>
    </row>
    <row r="62" spans="1:24" ht="15" thickBot="1" x14ac:dyDescent="0.35">
      <c r="A62" s="21">
        <v>1904.06</v>
      </c>
      <c r="B62" s="22">
        <v>1270</v>
      </c>
      <c r="C62" s="22">
        <v>1125</v>
      </c>
      <c r="D62" s="22">
        <v>1040</v>
      </c>
      <c r="E62" s="22">
        <v>565</v>
      </c>
      <c r="F62" s="22">
        <v>1859.05</v>
      </c>
      <c r="G62" s="22">
        <v>1402.34</v>
      </c>
      <c r="H62" s="37"/>
      <c r="I62" s="15">
        <v>244.46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26" t="s">
        <v>11</v>
      </c>
    </row>
    <row r="63" spans="1:24" x14ac:dyDescent="0.3">
      <c r="A63" s="21">
        <v>3335</v>
      </c>
      <c r="B63" s="22">
        <v>2520</v>
      </c>
      <c r="C63" s="22">
        <v>3410</v>
      </c>
      <c r="D63" s="22">
        <v>1295</v>
      </c>
      <c r="E63" s="25"/>
      <c r="F63" s="22">
        <v>3075</v>
      </c>
      <c r="G63" s="22">
        <v>2740</v>
      </c>
      <c r="H63" s="37"/>
      <c r="I63" s="15">
        <v>5596.18</v>
      </c>
      <c r="K63" s="75">
        <v>300</v>
      </c>
      <c r="L63" s="76">
        <v>42.5</v>
      </c>
      <c r="M63" s="77">
        <v>314</v>
      </c>
      <c r="N63" s="77">
        <v>45</v>
      </c>
      <c r="O63" s="77">
        <v>30</v>
      </c>
      <c r="P63" s="77">
        <v>57.5</v>
      </c>
      <c r="Q63" s="77">
        <v>28</v>
      </c>
      <c r="R63" s="77">
        <v>65.900000000000006</v>
      </c>
      <c r="S63" s="78">
        <v>84</v>
      </c>
      <c r="T63" s="69">
        <v>15</v>
      </c>
      <c r="U63" s="63">
        <v>70</v>
      </c>
      <c r="V63" s="63">
        <v>60</v>
      </c>
      <c r="W63" s="63">
        <v>120</v>
      </c>
      <c r="X63" s="63">
        <v>60</v>
      </c>
    </row>
    <row r="64" spans="1:24" x14ac:dyDescent="0.3">
      <c r="A64" s="21">
        <v>1075</v>
      </c>
      <c r="B64" s="22">
        <v>1736.82</v>
      </c>
      <c r="C64" s="22">
        <v>1859.05</v>
      </c>
      <c r="D64" s="26">
        <v>2071.9899999999998</v>
      </c>
      <c r="E64" s="22"/>
      <c r="F64" s="22">
        <v>1210</v>
      </c>
      <c r="G64" s="22">
        <v>1315</v>
      </c>
      <c r="H64" s="37"/>
      <c r="I64" s="15">
        <v>2842.5</v>
      </c>
      <c r="K64" s="21">
        <v>2400</v>
      </c>
      <c r="L64" s="79"/>
      <c r="M64" s="80">
        <v>158</v>
      </c>
      <c r="N64" s="43">
        <v>60</v>
      </c>
      <c r="O64" s="43">
        <v>390</v>
      </c>
      <c r="P64" s="43"/>
      <c r="Q64" s="80">
        <v>240</v>
      </c>
      <c r="R64" s="80">
        <v>52.5</v>
      </c>
      <c r="S64" s="43">
        <v>490</v>
      </c>
      <c r="T64" s="22"/>
      <c r="U64" s="22">
        <v>3090</v>
      </c>
      <c r="V64" s="22">
        <v>7.5</v>
      </c>
      <c r="W64" s="22">
        <v>2180</v>
      </c>
      <c r="X64" s="22">
        <v>179.5</v>
      </c>
    </row>
    <row r="65" spans="1:24" x14ac:dyDescent="0.3">
      <c r="A65" s="21"/>
      <c r="B65" s="22"/>
      <c r="C65" s="22"/>
      <c r="D65" s="25"/>
      <c r="E65" s="22"/>
      <c r="F65" s="22"/>
      <c r="G65" s="22"/>
      <c r="H65" s="37"/>
      <c r="I65" s="15">
        <v>6000</v>
      </c>
      <c r="K65" s="21">
        <v>304</v>
      </c>
      <c r="L65" s="79"/>
      <c r="M65" s="81">
        <v>2090</v>
      </c>
      <c r="N65" s="43"/>
      <c r="O65" s="43">
        <v>436</v>
      </c>
      <c r="P65" s="43"/>
      <c r="Q65" s="80">
        <v>168</v>
      </c>
      <c r="R65" s="81">
        <v>960</v>
      </c>
      <c r="S65" s="43"/>
      <c r="T65" s="22"/>
      <c r="U65" s="22">
        <v>344</v>
      </c>
      <c r="V65" s="22">
        <v>20</v>
      </c>
      <c r="W65" s="22">
        <v>260</v>
      </c>
      <c r="X65" s="22"/>
    </row>
    <row r="66" spans="1:24" x14ac:dyDescent="0.3">
      <c r="A66" s="21"/>
      <c r="B66" s="22"/>
      <c r="C66" s="22"/>
      <c r="D66" s="22"/>
      <c r="E66" s="22"/>
      <c r="F66" s="22"/>
      <c r="G66" s="22"/>
      <c r="H66" s="37"/>
      <c r="I66" s="15">
        <v>380</v>
      </c>
      <c r="K66" s="21">
        <v>450</v>
      </c>
      <c r="L66" s="79"/>
      <c r="M66" s="43">
        <v>360</v>
      </c>
      <c r="N66" s="43"/>
      <c r="O66" s="43">
        <v>3070</v>
      </c>
      <c r="P66" s="43"/>
      <c r="Q66" s="43">
        <v>1550</v>
      </c>
      <c r="R66" s="43"/>
      <c r="S66" s="43"/>
      <c r="T66" s="22"/>
      <c r="U66" s="22">
        <v>390</v>
      </c>
      <c r="V66" s="22"/>
      <c r="W66" s="22">
        <v>330</v>
      </c>
      <c r="X66" s="22"/>
    </row>
    <row r="67" spans="1:24" ht="15" thickBot="1" x14ac:dyDescent="0.35">
      <c r="A67" s="21"/>
      <c r="B67" s="22"/>
      <c r="C67" s="22"/>
      <c r="D67" s="22"/>
      <c r="E67" s="22"/>
      <c r="F67" s="22"/>
      <c r="G67" s="22"/>
      <c r="I67" s="131">
        <v>5467.9</v>
      </c>
      <c r="K67" s="128"/>
      <c r="L67" s="79"/>
      <c r="M67" s="43"/>
      <c r="N67" s="43"/>
      <c r="O67" s="43">
        <v>300</v>
      </c>
      <c r="P67" s="43"/>
      <c r="Q67" s="43"/>
      <c r="R67" s="43"/>
      <c r="S67" s="43"/>
      <c r="T67" s="22"/>
      <c r="U67" s="22"/>
      <c r="V67" s="22"/>
      <c r="W67" s="22">
        <v>28</v>
      </c>
      <c r="X67" s="22"/>
    </row>
    <row r="68" spans="1:24" ht="15.6" thickTop="1" thickBot="1" x14ac:dyDescent="0.35">
      <c r="A68" s="21"/>
      <c r="B68" s="22"/>
      <c r="C68" s="22"/>
      <c r="D68" s="22"/>
      <c r="E68" s="22"/>
      <c r="F68" s="22"/>
      <c r="G68" s="22"/>
      <c r="H68" s="37"/>
      <c r="I68" s="132">
        <f>SUM(I62:I67)</f>
        <v>20531.04</v>
      </c>
      <c r="K68" s="21"/>
      <c r="L68" s="79"/>
      <c r="M68" s="43"/>
      <c r="N68" s="43"/>
      <c r="O68" s="43"/>
      <c r="P68" s="43"/>
      <c r="Q68" s="43"/>
      <c r="R68" s="43"/>
      <c r="S68" s="43"/>
      <c r="T68" s="22"/>
      <c r="U68" s="22"/>
      <c r="V68" s="22"/>
      <c r="W68" s="22"/>
      <c r="X68" s="22"/>
    </row>
    <row r="69" spans="1:24" ht="15" thickTop="1" x14ac:dyDescent="0.3">
      <c r="A69" s="21"/>
      <c r="B69" s="22"/>
      <c r="C69" s="22"/>
      <c r="D69" s="22"/>
      <c r="E69" s="22"/>
      <c r="F69" s="22"/>
      <c r="G69" s="22"/>
      <c r="H69" s="22"/>
      <c r="I69" s="40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1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7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1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1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3">
      <c r="A75" s="24"/>
      <c r="B75" s="22"/>
      <c r="C75" s="22"/>
      <c r="D75" s="22"/>
      <c r="E75" s="22"/>
      <c r="F75" s="22"/>
      <c r="G75" s="22"/>
      <c r="H75" s="22"/>
      <c r="I75" s="23"/>
      <c r="K75" s="24"/>
      <c r="L75" s="56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3">
      <c r="A76" s="24">
        <f t="shared" ref="A76:G76" si="14">SUM(A62:A75)</f>
        <v>6314.0599999999995</v>
      </c>
      <c r="B76" s="24">
        <f t="shared" si="14"/>
        <v>5526.82</v>
      </c>
      <c r="C76" s="24">
        <f t="shared" si="14"/>
        <v>6394.05</v>
      </c>
      <c r="D76" s="24">
        <f t="shared" si="14"/>
        <v>4406.99</v>
      </c>
      <c r="E76" s="24">
        <f t="shared" si="14"/>
        <v>565</v>
      </c>
      <c r="F76" s="24">
        <f t="shared" si="14"/>
        <v>6144.05</v>
      </c>
      <c r="G76" s="24">
        <f t="shared" si="14"/>
        <v>5457.34</v>
      </c>
      <c r="H76" s="29">
        <f>SUM(A76:G76)+I68</f>
        <v>55339.35</v>
      </c>
      <c r="I76" s="30" t="s">
        <v>7</v>
      </c>
      <c r="K76" s="24">
        <f t="shared" ref="K76:X76" si="15">SUM(K63:K75)</f>
        <v>3454</v>
      </c>
      <c r="L76" s="24">
        <f t="shared" si="15"/>
        <v>42.5</v>
      </c>
      <c r="M76" s="24">
        <f t="shared" si="15"/>
        <v>2922</v>
      </c>
      <c r="N76" s="24">
        <f t="shared" si="15"/>
        <v>105</v>
      </c>
      <c r="O76" s="24">
        <f t="shared" si="15"/>
        <v>4226</v>
      </c>
      <c r="P76" s="24">
        <f t="shared" si="15"/>
        <v>57.5</v>
      </c>
      <c r="Q76" s="24">
        <f t="shared" si="15"/>
        <v>1986</v>
      </c>
      <c r="R76" s="24">
        <f t="shared" si="15"/>
        <v>1078.4000000000001</v>
      </c>
      <c r="S76" s="24">
        <f t="shared" si="15"/>
        <v>574</v>
      </c>
      <c r="T76" s="24">
        <f t="shared" si="15"/>
        <v>15</v>
      </c>
      <c r="U76" s="24">
        <f t="shared" si="15"/>
        <v>3894</v>
      </c>
      <c r="V76" s="24">
        <f t="shared" si="15"/>
        <v>87.5</v>
      </c>
      <c r="W76" s="24">
        <f t="shared" si="15"/>
        <v>2918</v>
      </c>
      <c r="X76" s="24">
        <f t="shared" si="15"/>
        <v>239.5</v>
      </c>
    </row>
    <row r="77" spans="1:24" x14ac:dyDescent="0.3">
      <c r="A77" s="24">
        <v>6314.06</v>
      </c>
      <c r="B77" s="24">
        <v>5526.82</v>
      </c>
      <c r="C77" s="24">
        <v>6394.05</v>
      </c>
      <c r="D77" s="24">
        <v>4406.99</v>
      </c>
      <c r="E77" s="24">
        <v>565</v>
      </c>
      <c r="F77" s="24">
        <v>6144.05</v>
      </c>
      <c r="G77" s="24">
        <v>5457.34</v>
      </c>
      <c r="H77" s="22">
        <f>SUM(A77:G77)+I68</f>
        <v>55339.35</v>
      </c>
      <c r="I77" s="33" t="s">
        <v>1</v>
      </c>
      <c r="K77" s="24">
        <v>3454</v>
      </c>
      <c r="L77" s="24">
        <v>42.5</v>
      </c>
      <c r="M77" s="24">
        <v>2922</v>
      </c>
      <c r="N77" s="24">
        <v>105</v>
      </c>
      <c r="O77" s="24">
        <v>4226</v>
      </c>
      <c r="P77" s="24">
        <v>57.5</v>
      </c>
      <c r="Q77" s="24">
        <v>1986</v>
      </c>
      <c r="R77" s="24">
        <v>1078.4000000000001</v>
      </c>
      <c r="S77" s="24">
        <v>574</v>
      </c>
      <c r="T77" s="24">
        <v>15</v>
      </c>
      <c r="U77" s="24">
        <v>3894</v>
      </c>
      <c r="V77" s="24">
        <v>87.5</v>
      </c>
      <c r="W77" s="24">
        <v>2918</v>
      </c>
      <c r="X77" s="24">
        <v>239.5</v>
      </c>
    </row>
    <row r="78" spans="1:24" ht="15" thickBot="1" x14ac:dyDescent="0.35">
      <c r="A78" s="35">
        <f t="shared" ref="A78:H78" si="16">A76-A77</f>
        <v>0</v>
      </c>
      <c r="B78" s="35">
        <f t="shared" si="16"/>
        <v>0</v>
      </c>
      <c r="C78" s="35">
        <f t="shared" si="16"/>
        <v>0</v>
      </c>
      <c r="D78" s="35">
        <f t="shared" si="16"/>
        <v>0</v>
      </c>
      <c r="E78" s="35">
        <f t="shared" si="16"/>
        <v>0</v>
      </c>
      <c r="F78" s="35">
        <f t="shared" si="16"/>
        <v>0</v>
      </c>
      <c r="G78" s="35">
        <f t="shared" si="16"/>
        <v>0</v>
      </c>
      <c r="H78" s="35">
        <f t="shared" si="16"/>
        <v>0</v>
      </c>
      <c r="I78" s="16">
        <f>SUM(I72:I77)</f>
        <v>0</v>
      </c>
      <c r="K78" s="86">
        <f t="shared" ref="K78:W78" si="17">K76-K77</f>
        <v>0</v>
      </c>
      <c r="L78" s="86">
        <f t="shared" si="17"/>
        <v>0</v>
      </c>
      <c r="M78" s="86">
        <f t="shared" si="17"/>
        <v>0</v>
      </c>
      <c r="N78" s="86">
        <f t="shared" si="17"/>
        <v>0</v>
      </c>
      <c r="O78" s="86">
        <f t="shared" si="17"/>
        <v>0</v>
      </c>
      <c r="P78" s="86">
        <f t="shared" si="17"/>
        <v>0</v>
      </c>
      <c r="Q78" s="86">
        <f t="shared" si="17"/>
        <v>0</v>
      </c>
      <c r="R78" s="86">
        <f t="shared" si="17"/>
        <v>0</v>
      </c>
      <c r="S78" s="86">
        <f t="shared" si="17"/>
        <v>0</v>
      </c>
      <c r="T78" s="86">
        <f t="shared" si="17"/>
        <v>0</v>
      </c>
      <c r="U78" s="86">
        <f t="shared" si="17"/>
        <v>0</v>
      </c>
      <c r="V78" s="86">
        <f t="shared" si="17"/>
        <v>0</v>
      </c>
      <c r="W78" s="86">
        <f t="shared" si="17"/>
        <v>0</v>
      </c>
      <c r="X78" s="86">
        <f>X76-X77</f>
        <v>0</v>
      </c>
    </row>
    <row r="79" spans="1:24" ht="15.6" thickTop="1" thickBot="1" x14ac:dyDescent="0.35"/>
    <row r="80" spans="1:24" x14ac:dyDescent="0.3">
      <c r="A80" s="17">
        <v>45595</v>
      </c>
      <c r="B80" s="17">
        <v>45596</v>
      </c>
      <c r="C80" s="17">
        <v>45597</v>
      </c>
      <c r="D80" s="17">
        <v>45598</v>
      </c>
      <c r="E80" s="17">
        <v>45599</v>
      </c>
      <c r="F80" s="17">
        <v>45600</v>
      </c>
      <c r="G80" s="17">
        <v>45601</v>
      </c>
      <c r="H80" s="17"/>
      <c r="I80" s="13" t="s">
        <v>8</v>
      </c>
      <c r="K80" s="59">
        <v>45595</v>
      </c>
      <c r="L80" s="59"/>
      <c r="M80" s="59">
        <v>45596</v>
      </c>
      <c r="N80" s="59"/>
      <c r="O80" s="59">
        <v>45597</v>
      </c>
      <c r="P80" s="59"/>
      <c r="Q80" s="59">
        <v>45598</v>
      </c>
      <c r="R80" s="59"/>
      <c r="S80" s="59">
        <v>45599</v>
      </c>
      <c r="T80" s="59"/>
      <c r="U80" s="59">
        <v>45600</v>
      </c>
      <c r="V80" s="59"/>
      <c r="W80" s="59">
        <v>45601</v>
      </c>
      <c r="X80" s="59"/>
    </row>
    <row r="81" spans="1:24" ht="15" thickBot="1" x14ac:dyDescent="0.35">
      <c r="A81" s="21">
        <v>1380</v>
      </c>
      <c r="B81" s="22">
        <v>1402.34</v>
      </c>
      <c r="C81" s="22">
        <v>1492.36</v>
      </c>
      <c r="D81" s="22">
        <v>1248.5899999999999</v>
      </c>
      <c r="E81" s="22">
        <v>410</v>
      </c>
      <c r="F81" s="22">
        <v>1245</v>
      </c>
      <c r="G81" s="22">
        <v>1265</v>
      </c>
      <c r="H81" s="37"/>
      <c r="I81" s="15">
        <v>2337.5</v>
      </c>
      <c r="K81" s="124" t="s">
        <v>10</v>
      </c>
      <c r="L81" s="125" t="s">
        <v>11</v>
      </c>
      <c r="M81" s="126" t="s">
        <v>10</v>
      </c>
      <c r="N81" s="126" t="s">
        <v>11</v>
      </c>
      <c r="O81" s="126" t="s">
        <v>10</v>
      </c>
      <c r="P81" s="126" t="s">
        <v>11</v>
      </c>
      <c r="Q81" s="126" t="s">
        <v>10</v>
      </c>
      <c r="R81" s="126" t="s">
        <v>11</v>
      </c>
      <c r="S81" s="126" t="s">
        <v>10</v>
      </c>
      <c r="T81" s="126" t="s">
        <v>11</v>
      </c>
      <c r="U81" s="126" t="s">
        <v>10</v>
      </c>
      <c r="V81" s="126" t="s">
        <v>11</v>
      </c>
      <c r="W81" s="126" t="s">
        <v>10</v>
      </c>
      <c r="X81" s="126" t="s">
        <v>11</v>
      </c>
    </row>
    <row r="82" spans="1:24" x14ac:dyDescent="0.3">
      <c r="A82" s="21">
        <v>2795</v>
      </c>
      <c r="B82" s="22">
        <v>2470</v>
      </c>
      <c r="C82" s="22">
        <v>3170</v>
      </c>
      <c r="D82" s="22">
        <v>1260</v>
      </c>
      <c r="E82" s="25"/>
      <c r="F82" s="22">
        <v>3570</v>
      </c>
      <c r="G82" s="22">
        <v>2430</v>
      </c>
      <c r="H82" s="37"/>
      <c r="I82" s="15">
        <v>6000</v>
      </c>
      <c r="K82" s="75">
        <v>28</v>
      </c>
      <c r="L82" s="76">
        <v>50</v>
      </c>
      <c r="M82" s="77">
        <v>2180</v>
      </c>
      <c r="N82" s="77">
        <v>1140</v>
      </c>
      <c r="O82" s="77">
        <v>480</v>
      </c>
      <c r="P82" s="77">
        <v>395</v>
      </c>
      <c r="Q82" s="77">
        <v>1130</v>
      </c>
      <c r="R82" s="77">
        <v>409.5</v>
      </c>
      <c r="S82" s="78">
        <v>600</v>
      </c>
      <c r="T82" s="69">
        <v>15</v>
      </c>
      <c r="U82" s="63">
        <v>28</v>
      </c>
      <c r="V82" s="63">
        <v>65</v>
      </c>
      <c r="W82" s="63">
        <v>450</v>
      </c>
      <c r="X82" s="63">
        <v>50</v>
      </c>
    </row>
    <row r="83" spans="1:24" x14ac:dyDescent="0.3">
      <c r="A83" s="21">
        <v>1569.58</v>
      </c>
      <c r="B83" s="22">
        <v>1430</v>
      </c>
      <c r="C83" s="22">
        <v>1235</v>
      </c>
      <c r="D83" s="26">
        <v>1170</v>
      </c>
      <c r="E83" s="22"/>
      <c r="F83" s="22">
        <v>1667.38</v>
      </c>
      <c r="G83" s="22">
        <v>1370.13</v>
      </c>
      <c r="H83" s="37"/>
      <c r="I83" s="15">
        <v>1410.78</v>
      </c>
      <c r="K83" s="21">
        <v>300</v>
      </c>
      <c r="L83" s="79">
        <v>335</v>
      </c>
      <c r="M83" s="80">
        <v>188</v>
      </c>
      <c r="N83" s="43">
        <v>42.5</v>
      </c>
      <c r="O83" s="43">
        <v>3230</v>
      </c>
      <c r="P83" s="43">
        <v>99.9</v>
      </c>
      <c r="Q83" s="80">
        <v>168</v>
      </c>
      <c r="R83" s="80">
        <v>200</v>
      </c>
      <c r="S83" s="43">
        <v>84</v>
      </c>
      <c r="T83" s="22"/>
      <c r="U83" s="22">
        <v>330</v>
      </c>
      <c r="V83" s="22">
        <v>60</v>
      </c>
      <c r="W83" s="22">
        <v>260</v>
      </c>
      <c r="X83" s="22">
        <v>460</v>
      </c>
    </row>
    <row r="84" spans="1:24" x14ac:dyDescent="0.3">
      <c r="A84" s="21"/>
      <c r="B84" s="22"/>
      <c r="C84" s="22"/>
      <c r="D84" s="25"/>
      <c r="E84" s="22"/>
      <c r="F84" s="22"/>
      <c r="G84" s="22"/>
      <c r="H84" s="37"/>
      <c r="I84" s="15">
        <v>4185.3999999999996</v>
      </c>
      <c r="K84" s="21">
        <v>304</v>
      </c>
      <c r="L84" s="79"/>
      <c r="M84" s="81">
        <v>330</v>
      </c>
      <c r="N84" s="43"/>
      <c r="O84" s="43">
        <v>416</v>
      </c>
      <c r="P84" s="43"/>
      <c r="Q84" s="80">
        <v>210</v>
      </c>
      <c r="R84" s="81">
        <v>57.5</v>
      </c>
      <c r="S84" s="43"/>
      <c r="T84" s="22"/>
      <c r="U84" s="22">
        <v>428</v>
      </c>
      <c r="V84" s="22">
        <v>849</v>
      </c>
      <c r="W84" s="22">
        <v>2400</v>
      </c>
      <c r="X84" s="22">
        <v>1440</v>
      </c>
    </row>
    <row r="85" spans="1:24" x14ac:dyDescent="0.3">
      <c r="A85" s="21"/>
      <c r="B85" s="22"/>
      <c r="C85" s="22"/>
      <c r="D85" s="22"/>
      <c r="E85" s="22"/>
      <c r="F85" s="22"/>
      <c r="G85" s="22"/>
      <c r="H85" s="37"/>
      <c r="I85" s="15">
        <v>5467.9</v>
      </c>
      <c r="K85" s="21">
        <v>2540</v>
      </c>
      <c r="L85" s="79"/>
      <c r="M85" s="43">
        <v>28</v>
      </c>
      <c r="N85" s="43"/>
      <c r="O85" s="43">
        <v>330</v>
      </c>
      <c r="P85" s="43"/>
      <c r="Q85" s="43">
        <v>28</v>
      </c>
      <c r="R85" s="43"/>
      <c r="S85" s="43"/>
      <c r="T85" s="22"/>
      <c r="U85" s="22">
        <v>2960</v>
      </c>
      <c r="V85" s="22"/>
      <c r="W85" s="22">
        <v>570</v>
      </c>
      <c r="X85" s="22"/>
    </row>
    <row r="86" spans="1:24" ht="15" thickBot="1" x14ac:dyDescent="0.35">
      <c r="A86" s="21"/>
      <c r="B86" s="22"/>
      <c r="C86" s="22"/>
      <c r="D86" s="22"/>
      <c r="E86" s="22"/>
      <c r="F86" s="22"/>
      <c r="G86" s="22"/>
      <c r="I86" s="131">
        <v>244.46</v>
      </c>
      <c r="K86" s="128">
        <v>180</v>
      </c>
      <c r="L86" s="79"/>
      <c r="M86" s="43"/>
      <c r="N86" s="43"/>
      <c r="O86" s="43"/>
      <c r="P86" s="43"/>
      <c r="Q86" s="43"/>
      <c r="R86" s="43"/>
      <c r="S86" s="43"/>
      <c r="T86" s="22"/>
      <c r="U86" s="22">
        <v>680</v>
      </c>
      <c r="V86" s="22"/>
      <c r="W86" s="22"/>
      <c r="X86" s="22"/>
    </row>
    <row r="87" spans="1:24" ht="15.6" thickTop="1" thickBot="1" x14ac:dyDescent="0.35">
      <c r="A87" s="21"/>
      <c r="B87" s="22"/>
      <c r="C87" s="22"/>
      <c r="D87" s="22"/>
      <c r="E87" s="22"/>
      <c r="F87" s="22"/>
      <c r="G87" s="22"/>
      <c r="H87" s="37"/>
      <c r="I87" s="132">
        <f>SUM(I81:I86)</f>
        <v>19646.04</v>
      </c>
      <c r="K87" s="21"/>
      <c r="L87" s="79"/>
      <c r="M87" s="43"/>
      <c r="N87" s="43"/>
      <c r="O87" s="43"/>
      <c r="P87" s="43"/>
      <c r="Q87" s="43"/>
      <c r="R87" s="43"/>
      <c r="S87" s="43"/>
      <c r="T87" s="22"/>
      <c r="U87" s="22"/>
      <c r="V87" s="22"/>
      <c r="W87" s="22"/>
      <c r="X87" s="22"/>
    </row>
    <row r="88" spans="1:24" ht="15" thickTop="1" x14ac:dyDescent="0.3">
      <c r="A88" s="21"/>
      <c r="B88" s="22"/>
      <c r="C88" s="22"/>
      <c r="D88" s="22"/>
      <c r="E88" s="22"/>
      <c r="F88" s="22"/>
      <c r="G88" s="22"/>
      <c r="H88" s="22"/>
      <c r="I88" s="40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3">
      <c r="A89" s="21"/>
      <c r="B89" s="22"/>
      <c r="C89" s="22"/>
      <c r="D89" s="22"/>
      <c r="E89" s="22"/>
      <c r="F89" s="22"/>
      <c r="G89" s="22"/>
      <c r="H89" s="22"/>
      <c r="I89" s="27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3">
      <c r="A90" s="21"/>
      <c r="B90" s="22"/>
      <c r="C90" s="22"/>
      <c r="D90" s="22"/>
      <c r="E90" s="22"/>
      <c r="F90" s="22"/>
      <c r="G90" s="22"/>
      <c r="H90" s="22"/>
      <c r="I90" s="27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3">
      <c r="A91" s="21"/>
      <c r="B91" s="22"/>
      <c r="C91" s="22"/>
      <c r="D91" s="22"/>
      <c r="E91" s="22"/>
      <c r="F91" s="22"/>
      <c r="G91" s="22"/>
      <c r="H91" s="22"/>
      <c r="I91" s="23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3">
      <c r="A92" s="21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3">
      <c r="A93" s="21"/>
      <c r="B93" s="22"/>
      <c r="C93" s="22"/>
      <c r="D93" s="22"/>
      <c r="E93" s="22"/>
      <c r="F93" s="22"/>
      <c r="G93" s="22"/>
      <c r="H93" s="22"/>
      <c r="I93" s="23"/>
      <c r="K93" s="24"/>
      <c r="L93" s="56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3">
      <c r="A94" s="24"/>
      <c r="B94" s="22"/>
      <c r="C94" s="22"/>
      <c r="D94" s="22"/>
      <c r="E94" s="22"/>
      <c r="F94" s="22"/>
      <c r="G94" s="22"/>
      <c r="H94" s="22"/>
      <c r="I94" s="23"/>
      <c r="K94" s="24"/>
      <c r="L94" s="56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3">
      <c r="A95" s="24">
        <f t="shared" ref="A95" si="18">SUM(A81:A94)</f>
        <v>5744.58</v>
      </c>
      <c r="B95" s="24">
        <f t="shared" ref="B95:G95" si="19">SUM(B81:B94)</f>
        <v>5302.34</v>
      </c>
      <c r="C95" s="24">
        <f t="shared" si="19"/>
        <v>5897.36</v>
      </c>
      <c r="D95" s="24">
        <f t="shared" si="19"/>
        <v>3678.59</v>
      </c>
      <c r="E95" s="24">
        <f t="shared" si="19"/>
        <v>410</v>
      </c>
      <c r="F95" s="24">
        <f t="shared" si="19"/>
        <v>6482.38</v>
      </c>
      <c r="G95" s="24">
        <f t="shared" si="19"/>
        <v>5065.13</v>
      </c>
      <c r="H95" s="29">
        <f>SUM(A95:G95)+I87</f>
        <v>52226.42</v>
      </c>
      <c r="I95" s="30" t="s">
        <v>7</v>
      </c>
      <c r="K95" s="24">
        <f>SUM(K82:K94)</f>
        <v>3352</v>
      </c>
      <c r="L95" s="24">
        <f t="shared" ref="L95:O95" si="20">SUM(L82:L94)</f>
        <v>385</v>
      </c>
      <c r="M95" s="24">
        <f t="shared" si="20"/>
        <v>2726</v>
      </c>
      <c r="N95" s="24">
        <f t="shared" si="20"/>
        <v>1182.5</v>
      </c>
      <c r="O95" s="24">
        <f t="shared" si="20"/>
        <v>4456</v>
      </c>
      <c r="P95" s="24">
        <f t="shared" ref="P95:X95" si="21">SUM(P82:P94)</f>
        <v>494.9</v>
      </c>
      <c r="Q95" s="24">
        <f t="shared" si="21"/>
        <v>1536</v>
      </c>
      <c r="R95" s="24">
        <f t="shared" si="21"/>
        <v>667</v>
      </c>
      <c r="S95" s="24">
        <f t="shared" si="21"/>
        <v>684</v>
      </c>
      <c r="T95" s="24">
        <f t="shared" si="21"/>
        <v>15</v>
      </c>
      <c r="U95" s="24">
        <f t="shared" si="21"/>
        <v>4426</v>
      </c>
      <c r="V95" s="24">
        <f t="shared" si="21"/>
        <v>974</v>
      </c>
      <c r="W95" s="24">
        <f t="shared" si="21"/>
        <v>3680</v>
      </c>
      <c r="X95" s="24">
        <f t="shared" si="21"/>
        <v>1950</v>
      </c>
    </row>
    <row r="96" spans="1:24" x14ac:dyDescent="0.3">
      <c r="A96" s="24">
        <v>5744.58</v>
      </c>
      <c r="B96" s="24">
        <v>5302.34</v>
      </c>
      <c r="C96" s="24">
        <v>5897.36</v>
      </c>
      <c r="D96" s="24">
        <v>3678.59</v>
      </c>
      <c r="E96" s="24">
        <v>410</v>
      </c>
      <c r="F96" s="24">
        <v>6482.38</v>
      </c>
      <c r="G96" s="24">
        <v>5065.13</v>
      </c>
      <c r="H96" s="24">
        <f t="shared" ref="H96" si="22">SUM(H82:H95)</f>
        <v>52226.42</v>
      </c>
      <c r="I96" s="33" t="s">
        <v>1</v>
      </c>
      <c r="K96" s="24">
        <v>3352</v>
      </c>
      <c r="L96" s="24">
        <v>385</v>
      </c>
      <c r="M96" s="24">
        <v>2726</v>
      </c>
      <c r="N96" s="24">
        <v>1182.5</v>
      </c>
      <c r="O96" s="24">
        <v>4456</v>
      </c>
      <c r="P96" s="24">
        <v>494.9</v>
      </c>
      <c r="Q96" s="24">
        <v>1536</v>
      </c>
      <c r="R96" s="24">
        <v>667</v>
      </c>
      <c r="S96" s="24">
        <v>684</v>
      </c>
      <c r="T96" s="24">
        <v>15</v>
      </c>
      <c r="U96" s="24">
        <v>4426</v>
      </c>
      <c r="V96" s="24">
        <v>974</v>
      </c>
      <c r="W96" s="24">
        <v>3680</v>
      </c>
      <c r="X96" s="24">
        <v>1950</v>
      </c>
    </row>
    <row r="97" spans="1:24" ht="15" thickBot="1" x14ac:dyDescent="0.35">
      <c r="A97" s="35">
        <f t="shared" ref="A97:H97" si="23">A95-A96</f>
        <v>0</v>
      </c>
      <c r="B97" s="35">
        <f t="shared" si="23"/>
        <v>0</v>
      </c>
      <c r="C97" s="35">
        <f t="shared" si="23"/>
        <v>0</v>
      </c>
      <c r="D97" s="35">
        <f t="shared" si="23"/>
        <v>0</v>
      </c>
      <c r="E97" s="35">
        <f t="shared" si="23"/>
        <v>0</v>
      </c>
      <c r="F97" s="35">
        <f t="shared" si="23"/>
        <v>0</v>
      </c>
      <c r="G97" s="35">
        <f t="shared" si="23"/>
        <v>0</v>
      </c>
      <c r="H97" s="35">
        <f t="shared" si="23"/>
        <v>0</v>
      </c>
      <c r="I97" s="16">
        <f>SUM(I91:I96)</f>
        <v>0</v>
      </c>
      <c r="K97" s="86">
        <f>K95-K96</f>
        <v>0</v>
      </c>
      <c r="L97" s="86">
        <f>L95-L96</f>
        <v>0</v>
      </c>
      <c r="M97" s="86">
        <f t="shared" ref="M97:W97" si="24">M95-M96</f>
        <v>0</v>
      </c>
      <c r="N97" s="86">
        <f t="shared" si="24"/>
        <v>0</v>
      </c>
      <c r="O97" s="86">
        <f t="shared" si="24"/>
        <v>0</v>
      </c>
      <c r="P97" s="86">
        <f t="shared" si="24"/>
        <v>0</v>
      </c>
      <c r="Q97" s="86">
        <f t="shared" si="24"/>
        <v>0</v>
      </c>
      <c r="R97" s="86">
        <f t="shared" si="24"/>
        <v>0</v>
      </c>
      <c r="S97" s="86">
        <f t="shared" si="24"/>
        <v>0</v>
      </c>
      <c r="T97" s="86">
        <f t="shared" si="24"/>
        <v>0</v>
      </c>
      <c r="U97" s="86">
        <f t="shared" si="24"/>
        <v>0</v>
      </c>
      <c r="V97" s="86">
        <f t="shared" si="24"/>
        <v>0</v>
      </c>
      <c r="W97" s="86">
        <f t="shared" si="24"/>
        <v>0</v>
      </c>
      <c r="X97" s="86">
        <f>X95-X96</f>
        <v>0</v>
      </c>
    </row>
    <row r="98" spans="1:24" ht="15" thickTop="1" x14ac:dyDescent="0.3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7E0D-9E0E-440C-8576-1C57551CD3AE}">
  <dimension ref="A1:X77"/>
  <sheetViews>
    <sheetView topLeftCell="C53" workbookViewId="0">
      <selection activeCell="N86" sqref="N86"/>
    </sheetView>
  </sheetViews>
  <sheetFormatPr defaultRowHeight="14.4" x14ac:dyDescent="0.3"/>
  <cols>
    <col min="1" max="1" width="11.109375" customWidth="1"/>
    <col min="2" max="2" width="12.44140625" customWidth="1"/>
    <col min="3" max="3" width="12.5546875" customWidth="1"/>
    <col min="4" max="4" width="11.5546875" customWidth="1"/>
    <col min="5" max="5" width="12.44140625" customWidth="1"/>
    <col min="6" max="6" width="10.88671875" customWidth="1"/>
    <col min="7" max="7" width="12.6640625" customWidth="1"/>
    <col min="8" max="8" width="13.44140625" customWidth="1"/>
    <col min="9" max="9" width="11.6640625" customWidth="1"/>
    <col min="11" max="11" width="10.33203125" customWidth="1"/>
    <col min="12" max="12" width="10.88671875" customWidth="1"/>
    <col min="13" max="13" width="10.6640625" customWidth="1"/>
    <col min="14" max="14" width="12" customWidth="1"/>
    <col min="15" max="15" width="11.44140625" customWidth="1"/>
    <col min="16" max="16" width="10.88671875" customWidth="1"/>
    <col min="17" max="17" width="10" customWidth="1"/>
    <col min="18" max="18" width="12.33203125" customWidth="1"/>
    <col min="19" max="19" width="12.5546875" customWidth="1"/>
    <col min="21" max="21" width="11.88671875" customWidth="1"/>
    <col min="22" max="23" width="10.33203125" customWidth="1"/>
    <col min="24" max="24" width="10.88671875" customWidth="1"/>
  </cols>
  <sheetData>
    <row r="1" spans="1:24" ht="15" thickBot="1" x14ac:dyDescent="0.35"/>
    <row r="2" spans="1:24" x14ac:dyDescent="0.3">
      <c r="A2" s="17">
        <v>45602</v>
      </c>
      <c r="B2" s="17">
        <v>45603</v>
      </c>
      <c r="C2" s="17">
        <v>45604</v>
      </c>
      <c r="D2" s="17">
        <v>45605</v>
      </c>
      <c r="E2" s="17">
        <v>45606</v>
      </c>
      <c r="F2" s="17">
        <v>45607</v>
      </c>
      <c r="G2" s="17">
        <v>45608</v>
      </c>
      <c r="H2" s="17"/>
      <c r="I2" s="13" t="s">
        <v>8</v>
      </c>
      <c r="K2" s="59">
        <v>45602</v>
      </c>
      <c r="L2" s="59"/>
      <c r="M2" s="59">
        <v>45603</v>
      </c>
      <c r="N2" s="59"/>
      <c r="O2" s="59">
        <v>45604</v>
      </c>
      <c r="P2" s="59"/>
      <c r="Q2" s="59">
        <v>45605</v>
      </c>
      <c r="R2" s="59"/>
      <c r="S2" s="59">
        <v>45606</v>
      </c>
      <c r="T2" s="59"/>
      <c r="U2" s="59">
        <v>45607</v>
      </c>
      <c r="V2" s="59"/>
      <c r="W2" s="59">
        <v>45608</v>
      </c>
      <c r="X2" s="59"/>
    </row>
    <row r="3" spans="1:24" ht="15" thickBot="1" x14ac:dyDescent="0.35">
      <c r="A3" s="21">
        <v>1659.6</v>
      </c>
      <c r="B3" s="22">
        <v>1582.38</v>
      </c>
      <c r="C3" s="22">
        <v>1050</v>
      </c>
      <c r="D3" s="22">
        <v>1180</v>
      </c>
      <c r="E3" s="22">
        <v>620</v>
      </c>
      <c r="F3" s="22">
        <v>1492.36</v>
      </c>
      <c r="G3" s="22">
        <v>1582.38</v>
      </c>
      <c r="H3" s="37"/>
      <c r="I3" s="15">
        <v>2737.5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1">
        <v>2987.5</v>
      </c>
      <c r="B4" s="22">
        <v>2670</v>
      </c>
      <c r="C4" s="22">
        <v>3610</v>
      </c>
      <c r="D4" s="22">
        <v>2337.5</v>
      </c>
      <c r="E4" s="25"/>
      <c r="F4" s="22">
        <v>3670</v>
      </c>
      <c r="G4" s="22">
        <v>2880</v>
      </c>
      <c r="H4" s="37"/>
      <c r="I4" s="15">
        <v>800</v>
      </c>
      <c r="K4" s="75">
        <v>540</v>
      </c>
      <c r="L4" s="76">
        <v>108</v>
      </c>
      <c r="M4" s="77">
        <v>270</v>
      </c>
      <c r="N4" s="77">
        <v>35</v>
      </c>
      <c r="O4" s="77">
        <v>450</v>
      </c>
      <c r="P4" s="77">
        <v>57.5</v>
      </c>
      <c r="Q4" s="77">
        <v>28</v>
      </c>
      <c r="R4" s="77">
        <v>57.5</v>
      </c>
      <c r="S4" s="78">
        <v>84</v>
      </c>
      <c r="T4" s="69">
        <v>15</v>
      </c>
      <c r="U4" s="63">
        <v>480</v>
      </c>
      <c r="V4" s="63">
        <v>77.5</v>
      </c>
      <c r="W4" s="63">
        <v>280</v>
      </c>
      <c r="X4" s="63">
        <v>65</v>
      </c>
    </row>
    <row r="5" spans="1:24" x14ac:dyDescent="0.3">
      <c r="A5" s="21">
        <v>1480</v>
      </c>
      <c r="B5" s="22">
        <v>1345</v>
      </c>
      <c r="C5" s="22">
        <v>1839.64</v>
      </c>
      <c r="D5" s="26">
        <v>823.4</v>
      </c>
      <c r="E5" s="22"/>
      <c r="F5" s="22">
        <v>1050</v>
      </c>
      <c r="G5" s="22">
        <v>1310</v>
      </c>
      <c r="H5" s="37"/>
      <c r="I5" s="15">
        <v>6000</v>
      </c>
      <c r="K5" s="21">
        <v>2670</v>
      </c>
      <c r="L5" s="79">
        <v>180</v>
      </c>
      <c r="M5" s="80">
        <v>188</v>
      </c>
      <c r="N5" s="43">
        <v>198</v>
      </c>
      <c r="O5" s="43">
        <v>416</v>
      </c>
      <c r="P5" s="43">
        <v>60</v>
      </c>
      <c r="Q5" s="80">
        <v>210</v>
      </c>
      <c r="R5" s="80">
        <v>403</v>
      </c>
      <c r="S5" s="43">
        <v>510</v>
      </c>
      <c r="T5" s="22">
        <v>555</v>
      </c>
      <c r="U5" s="22">
        <v>2550</v>
      </c>
      <c r="V5" s="22">
        <v>70</v>
      </c>
      <c r="W5" s="22">
        <v>2020</v>
      </c>
      <c r="X5" s="22">
        <v>61</v>
      </c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4185.3999999999996</v>
      </c>
      <c r="K6" s="21">
        <v>304</v>
      </c>
      <c r="L6" s="79">
        <v>52.5</v>
      </c>
      <c r="M6" s="81">
        <v>2000</v>
      </c>
      <c r="N6" s="43">
        <v>300</v>
      </c>
      <c r="O6" s="43">
        <v>2850</v>
      </c>
      <c r="P6" s="43"/>
      <c r="Q6" s="80">
        <v>336</v>
      </c>
      <c r="R6" s="81">
        <v>480</v>
      </c>
      <c r="S6" s="43"/>
      <c r="T6" s="22"/>
      <c r="U6" s="22">
        <v>344</v>
      </c>
      <c r="V6" s="22"/>
      <c r="W6" s="22">
        <v>260</v>
      </c>
      <c r="X6" s="22"/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1413.02</v>
      </c>
      <c r="K7" s="21">
        <v>330</v>
      </c>
      <c r="L7" s="79"/>
      <c r="M7" s="43">
        <v>240</v>
      </c>
      <c r="N7" s="43"/>
      <c r="O7" s="43">
        <v>540</v>
      </c>
      <c r="P7" s="43"/>
      <c r="Q7" s="43">
        <v>2470</v>
      </c>
      <c r="R7" s="43">
        <v>105</v>
      </c>
      <c r="S7" s="43"/>
      <c r="T7" s="22"/>
      <c r="U7" s="22">
        <v>330</v>
      </c>
      <c r="V7" s="22"/>
      <c r="W7" s="22">
        <v>240</v>
      </c>
      <c r="X7" s="22"/>
    </row>
    <row r="8" spans="1:24" ht="15" thickBot="1" x14ac:dyDescent="0.35">
      <c r="A8" s="21"/>
      <c r="B8" s="22"/>
      <c r="C8" s="22"/>
      <c r="D8" s="22"/>
      <c r="E8" s="22"/>
      <c r="F8" s="22"/>
      <c r="G8" s="22"/>
      <c r="I8" s="131">
        <v>5467.9</v>
      </c>
      <c r="K8" s="128">
        <v>28</v>
      </c>
      <c r="L8" s="79"/>
      <c r="M8" s="43"/>
      <c r="N8" s="43"/>
      <c r="O8" s="43"/>
      <c r="P8" s="43"/>
      <c r="Q8" s="43"/>
      <c r="R8" s="43"/>
      <c r="S8" s="43"/>
      <c r="T8" s="22"/>
      <c r="U8" s="22"/>
      <c r="V8" s="22"/>
      <c r="W8" s="22"/>
      <c r="X8" s="22"/>
    </row>
    <row r="9" spans="1:24" ht="15.6" thickTop="1" thickBot="1" x14ac:dyDescent="0.35">
      <c r="A9" s="21"/>
      <c r="B9" s="22"/>
      <c r="C9" s="22"/>
      <c r="D9" s="22"/>
      <c r="E9" s="22"/>
      <c r="F9" s="22"/>
      <c r="G9" s="22"/>
      <c r="H9" s="37"/>
      <c r="I9" s="132">
        <f>SUM(I3:I8)</f>
        <v>20603.82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1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1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1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3">
      <c r="A17" s="24">
        <f t="shared" ref="A17:G17" si="0">SUM(A3:A16)</f>
        <v>6127.1</v>
      </c>
      <c r="B17" s="24">
        <f t="shared" si="0"/>
        <v>5597.38</v>
      </c>
      <c r="C17" s="24">
        <f t="shared" si="0"/>
        <v>6499.64</v>
      </c>
      <c r="D17" s="24">
        <f t="shared" si="0"/>
        <v>4340.8999999999996</v>
      </c>
      <c r="E17" s="24">
        <f t="shared" si="0"/>
        <v>620</v>
      </c>
      <c r="F17" s="24">
        <f t="shared" si="0"/>
        <v>6212.36</v>
      </c>
      <c r="G17" s="24">
        <f t="shared" si="0"/>
        <v>5772.38</v>
      </c>
      <c r="H17" s="29">
        <f>SUM(A17:G17)+I9</f>
        <v>55773.579999999994</v>
      </c>
      <c r="I17" s="30" t="s">
        <v>7</v>
      </c>
      <c r="K17" s="24">
        <f>SUM(K4:K16)</f>
        <v>3872</v>
      </c>
      <c r="L17" s="24">
        <f t="shared" ref="L17:X17" si="1">SUM(L4:L16)</f>
        <v>340.5</v>
      </c>
      <c r="M17" s="24">
        <f t="shared" si="1"/>
        <v>2698</v>
      </c>
      <c r="N17" s="24">
        <f t="shared" si="1"/>
        <v>533</v>
      </c>
      <c r="O17" s="24">
        <f t="shared" si="1"/>
        <v>4256</v>
      </c>
      <c r="P17" s="24">
        <f t="shared" si="1"/>
        <v>117.5</v>
      </c>
      <c r="Q17" s="24">
        <f t="shared" si="1"/>
        <v>3044</v>
      </c>
      <c r="R17" s="24">
        <f t="shared" si="1"/>
        <v>1045.5</v>
      </c>
      <c r="S17" s="24">
        <f t="shared" si="1"/>
        <v>594</v>
      </c>
      <c r="T17" s="24">
        <f t="shared" si="1"/>
        <v>570</v>
      </c>
      <c r="U17" s="24">
        <f t="shared" si="1"/>
        <v>3704</v>
      </c>
      <c r="V17" s="24">
        <f t="shared" si="1"/>
        <v>147.5</v>
      </c>
      <c r="W17" s="24">
        <f t="shared" si="1"/>
        <v>2800</v>
      </c>
      <c r="X17" s="24">
        <f t="shared" si="1"/>
        <v>126</v>
      </c>
    </row>
    <row r="18" spans="1:24" x14ac:dyDescent="0.3">
      <c r="A18" s="24">
        <v>6127.1</v>
      </c>
      <c r="B18" s="24">
        <v>5597.38</v>
      </c>
      <c r="C18" s="24">
        <v>6499.64</v>
      </c>
      <c r="D18" s="24">
        <v>4340.8999999999996</v>
      </c>
      <c r="E18" s="24">
        <v>620</v>
      </c>
      <c r="F18" s="24">
        <v>6212.36</v>
      </c>
      <c r="G18" s="24">
        <v>5772.38</v>
      </c>
      <c r="H18" s="24">
        <f t="shared" ref="H18" si="2">SUM(H4:H17)</f>
        <v>55773.579999999994</v>
      </c>
      <c r="I18" s="33" t="s">
        <v>1</v>
      </c>
      <c r="K18" s="24">
        <v>3872</v>
      </c>
      <c r="L18" s="24">
        <v>340.5</v>
      </c>
      <c r="M18" s="24">
        <v>2698</v>
      </c>
      <c r="N18" s="24">
        <v>533</v>
      </c>
      <c r="O18" s="24">
        <v>4256</v>
      </c>
      <c r="P18" s="24">
        <v>117.5</v>
      </c>
      <c r="Q18" s="24">
        <v>3044</v>
      </c>
      <c r="R18" s="24">
        <v>1045.5</v>
      </c>
      <c r="S18" s="24">
        <v>594</v>
      </c>
      <c r="T18" s="24">
        <v>15</v>
      </c>
      <c r="U18" s="24">
        <v>3704</v>
      </c>
      <c r="V18" s="24">
        <v>147.5</v>
      </c>
      <c r="W18" s="24">
        <v>2800</v>
      </c>
      <c r="X18" s="24">
        <v>126</v>
      </c>
    </row>
    <row r="19" spans="1:24" ht="15" thickBot="1" x14ac:dyDescent="0.35">
      <c r="A19" s="35">
        <f t="shared" ref="A19:H19" si="3">A17-A18</f>
        <v>0</v>
      </c>
      <c r="B19" s="35">
        <f t="shared" si="3"/>
        <v>0</v>
      </c>
      <c r="C19" s="35">
        <f t="shared" si="3"/>
        <v>0</v>
      </c>
      <c r="D19" s="35">
        <f t="shared" si="3"/>
        <v>0</v>
      </c>
      <c r="E19" s="35">
        <f t="shared" si="3"/>
        <v>0</v>
      </c>
      <c r="F19" s="35">
        <f t="shared" si="3"/>
        <v>0</v>
      </c>
      <c r="G19" s="35">
        <f t="shared" si="3"/>
        <v>0</v>
      </c>
      <c r="H19" s="35">
        <f t="shared" si="3"/>
        <v>0</v>
      </c>
      <c r="I19" s="16">
        <f>SUM(I13:I18)</f>
        <v>0</v>
      </c>
      <c r="K19" s="86">
        <f>K17-K18</f>
        <v>0</v>
      </c>
      <c r="L19" s="86">
        <f>L17-L18</f>
        <v>0</v>
      </c>
      <c r="M19" s="86">
        <f t="shared" ref="M19:W19" si="4">M17-M18</f>
        <v>0</v>
      </c>
      <c r="N19" s="86">
        <f t="shared" si="4"/>
        <v>0</v>
      </c>
      <c r="O19" s="86">
        <f t="shared" si="4"/>
        <v>0</v>
      </c>
      <c r="P19" s="86">
        <f t="shared" si="4"/>
        <v>0</v>
      </c>
      <c r="Q19" s="86">
        <f t="shared" si="4"/>
        <v>0</v>
      </c>
      <c r="R19" s="86">
        <f t="shared" si="4"/>
        <v>0</v>
      </c>
      <c r="S19" s="86">
        <f t="shared" si="4"/>
        <v>0</v>
      </c>
      <c r="T19" s="86">
        <f t="shared" si="4"/>
        <v>555</v>
      </c>
      <c r="U19" s="86">
        <f t="shared" si="4"/>
        <v>0</v>
      </c>
      <c r="V19" s="86">
        <f t="shared" si="4"/>
        <v>0</v>
      </c>
      <c r="W19" s="86">
        <f t="shared" si="4"/>
        <v>0</v>
      </c>
      <c r="X19" s="86">
        <f>X17-X18</f>
        <v>0</v>
      </c>
    </row>
    <row r="20" spans="1:24" ht="15.6" thickTop="1" thickBot="1" x14ac:dyDescent="0.35"/>
    <row r="21" spans="1:24" x14ac:dyDescent="0.3">
      <c r="A21" s="17">
        <v>45609</v>
      </c>
      <c r="B21" s="17">
        <v>45610</v>
      </c>
      <c r="C21" s="17">
        <v>45611</v>
      </c>
      <c r="D21" s="17">
        <v>45612</v>
      </c>
      <c r="E21" s="17">
        <v>45613</v>
      </c>
      <c r="F21" s="17">
        <v>45614</v>
      </c>
      <c r="G21" s="17">
        <v>45615</v>
      </c>
      <c r="H21" s="17"/>
      <c r="I21" s="13" t="s">
        <v>8</v>
      </c>
      <c r="K21" s="59">
        <v>45609</v>
      </c>
      <c r="L21" s="59"/>
      <c r="M21" s="59">
        <v>45610</v>
      </c>
      <c r="N21" s="59"/>
      <c r="O21" s="59">
        <v>45611</v>
      </c>
      <c r="P21" s="59"/>
      <c r="Q21" s="59">
        <v>45612</v>
      </c>
      <c r="R21" s="59"/>
      <c r="S21" s="59">
        <v>45613</v>
      </c>
      <c r="T21" s="59"/>
      <c r="U21" s="59">
        <v>45614</v>
      </c>
      <c r="V21" s="59"/>
      <c r="W21" s="59">
        <v>45615</v>
      </c>
      <c r="X21" s="59"/>
    </row>
    <row r="22" spans="1:24" ht="15" thickBot="1" x14ac:dyDescent="0.35">
      <c r="A22" s="21">
        <v>1659.6</v>
      </c>
      <c r="B22" s="22">
        <v>1826.84</v>
      </c>
      <c r="C22" s="22">
        <v>1170</v>
      </c>
      <c r="D22" s="22">
        <v>1020</v>
      </c>
      <c r="E22" s="22">
        <v>535</v>
      </c>
      <c r="F22" s="22">
        <v>1994.08</v>
      </c>
      <c r="G22" s="22">
        <v>1625</v>
      </c>
      <c r="H22" s="37"/>
      <c r="I22" s="15">
        <v>7000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</row>
    <row r="23" spans="1:24" x14ac:dyDescent="0.3">
      <c r="A23" s="21">
        <v>3125</v>
      </c>
      <c r="B23" s="22">
        <v>2050</v>
      </c>
      <c r="C23" s="22">
        <v>2730</v>
      </c>
      <c r="D23" s="22">
        <v>915</v>
      </c>
      <c r="E23" s="25"/>
      <c r="F23" s="22">
        <v>3035</v>
      </c>
      <c r="G23" s="22">
        <v>2765</v>
      </c>
      <c r="H23" s="37"/>
      <c r="I23" s="15">
        <v>2220</v>
      </c>
      <c r="K23" s="75">
        <v>540</v>
      </c>
      <c r="L23" s="76">
        <v>132.5</v>
      </c>
      <c r="M23" s="77">
        <v>360</v>
      </c>
      <c r="N23" s="77">
        <v>82.5</v>
      </c>
      <c r="O23" s="77">
        <v>210</v>
      </c>
      <c r="P23" s="77">
        <v>57.5</v>
      </c>
      <c r="Q23" s="77">
        <v>28</v>
      </c>
      <c r="R23" s="77">
        <v>57.5</v>
      </c>
      <c r="S23" s="78">
        <v>84</v>
      </c>
      <c r="T23" s="69"/>
      <c r="U23" s="63">
        <v>700</v>
      </c>
      <c r="V23" s="63">
        <v>57.5</v>
      </c>
      <c r="W23" s="63">
        <v>270</v>
      </c>
      <c r="X23" s="63">
        <v>65</v>
      </c>
    </row>
    <row r="24" spans="1:24" x14ac:dyDescent="0.3">
      <c r="A24" s="21">
        <v>1175</v>
      </c>
      <c r="B24" s="22">
        <v>1465</v>
      </c>
      <c r="C24" s="22">
        <v>1585.14</v>
      </c>
      <c r="D24" s="26">
        <v>1248.5899999999999</v>
      </c>
      <c r="E24" s="22"/>
      <c r="F24" s="22">
        <v>1140</v>
      </c>
      <c r="G24" s="22">
        <v>1916.86</v>
      </c>
      <c r="H24" s="37"/>
      <c r="I24" s="15">
        <v>5600.66</v>
      </c>
      <c r="K24" s="21">
        <v>2360</v>
      </c>
      <c r="L24" s="79">
        <v>30</v>
      </c>
      <c r="M24" s="80">
        <v>2300</v>
      </c>
      <c r="N24" s="43"/>
      <c r="O24" s="43">
        <v>390</v>
      </c>
      <c r="P24" s="43">
        <v>73</v>
      </c>
      <c r="Q24" s="80">
        <v>240</v>
      </c>
      <c r="R24" s="80">
        <v>409.5</v>
      </c>
      <c r="S24" s="43">
        <v>580</v>
      </c>
      <c r="T24" s="22"/>
      <c r="U24" s="22">
        <v>3120</v>
      </c>
      <c r="V24" s="22">
        <v>30</v>
      </c>
      <c r="W24" s="22">
        <v>263</v>
      </c>
      <c r="X24" s="22">
        <v>38</v>
      </c>
    </row>
    <row r="25" spans="1:24" x14ac:dyDescent="0.3">
      <c r="A25" s="21"/>
      <c r="B25" s="22"/>
      <c r="C25" s="22"/>
      <c r="D25" s="25"/>
      <c r="E25" s="22"/>
      <c r="F25" s="22"/>
      <c r="G25" s="22"/>
      <c r="H25" s="37"/>
      <c r="I25" s="15">
        <v>5467.9</v>
      </c>
      <c r="K25" s="21">
        <v>304</v>
      </c>
      <c r="L25" s="79"/>
      <c r="M25" s="81">
        <v>162</v>
      </c>
      <c r="N25" s="43"/>
      <c r="O25" s="43">
        <v>3270</v>
      </c>
      <c r="P25" s="43"/>
      <c r="Q25" s="80">
        <v>168</v>
      </c>
      <c r="R25" s="81"/>
      <c r="S25" s="43"/>
      <c r="T25" s="22"/>
      <c r="U25" s="22">
        <v>356</v>
      </c>
      <c r="V25" s="22"/>
      <c r="W25" s="22">
        <v>2190</v>
      </c>
      <c r="X25" s="22"/>
    </row>
    <row r="26" spans="1:24" x14ac:dyDescent="0.3">
      <c r="A26" s="21"/>
      <c r="B26" s="22"/>
      <c r="C26" s="22"/>
      <c r="D26" s="22"/>
      <c r="E26" s="22"/>
      <c r="F26" s="22"/>
      <c r="G26" s="22"/>
      <c r="H26" s="37"/>
      <c r="I26" s="15">
        <v>1130</v>
      </c>
      <c r="K26" s="21">
        <v>270</v>
      </c>
      <c r="L26" s="79"/>
      <c r="M26" s="43">
        <v>180</v>
      </c>
      <c r="N26" s="43"/>
      <c r="O26" s="43">
        <v>550</v>
      </c>
      <c r="P26" s="43"/>
      <c r="Q26" s="43">
        <v>1380</v>
      </c>
      <c r="R26" s="43"/>
      <c r="S26" s="43"/>
      <c r="T26" s="22"/>
      <c r="U26" s="22">
        <v>300</v>
      </c>
      <c r="V26" s="22"/>
      <c r="W26" s="22">
        <v>380</v>
      </c>
      <c r="X26" s="22"/>
    </row>
    <row r="27" spans="1:24" ht="15" thickBot="1" x14ac:dyDescent="0.35">
      <c r="A27" s="21"/>
      <c r="B27" s="22"/>
      <c r="C27" s="22"/>
      <c r="D27" s="22"/>
      <c r="E27" s="22"/>
      <c r="F27" s="22"/>
      <c r="G27" s="22"/>
      <c r="I27" s="131">
        <v>334.48</v>
      </c>
      <c r="K27" s="128"/>
      <c r="L27" s="79"/>
      <c r="M27" s="43">
        <v>28</v>
      </c>
      <c r="N27" s="43"/>
      <c r="O27" s="43"/>
      <c r="P27" s="43"/>
      <c r="Q27" s="43"/>
      <c r="R27" s="43"/>
      <c r="S27" s="43"/>
      <c r="T27" s="22"/>
      <c r="U27" s="22"/>
      <c r="V27" s="22"/>
      <c r="W27" s="22"/>
      <c r="X27" s="22"/>
    </row>
    <row r="28" spans="1:24" ht="15.6" thickTop="1" thickBot="1" x14ac:dyDescent="0.35">
      <c r="A28" s="21"/>
      <c r="B28" s="22"/>
      <c r="C28" s="22"/>
      <c r="D28" s="22"/>
      <c r="E28" s="22"/>
      <c r="F28" s="22"/>
      <c r="G28" s="22"/>
      <c r="H28" s="37"/>
      <c r="I28" s="132">
        <f>SUM(I22:I27)</f>
        <v>21753.039999999997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22"/>
    </row>
    <row r="29" spans="1:24" ht="15" thickTop="1" x14ac:dyDescent="0.3">
      <c r="A29" s="21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21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1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1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4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4">
        <f>SUM(A22:A35)</f>
        <v>5959.6</v>
      </c>
      <c r="B36" s="24">
        <f t="shared" ref="B36:G36" si="5">SUM(B22:B35)</f>
        <v>5341.84</v>
      </c>
      <c r="C36" s="24">
        <f t="shared" si="5"/>
        <v>5485.14</v>
      </c>
      <c r="D36" s="24">
        <f t="shared" si="5"/>
        <v>3183.59</v>
      </c>
      <c r="E36" s="24">
        <f t="shared" si="5"/>
        <v>535</v>
      </c>
      <c r="F36" s="24">
        <f t="shared" si="5"/>
        <v>6169.08</v>
      </c>
      <c r="G36" s="24">
        <f t="shared" si="5"/>
        <v>6306.86</v>
      </c>
      <c r="H36" s="29">
        <f>SUM(A36:G36)+I28</f>
        <v>54734.149999999994</v>
      </c>
      <c r="I36" s="30" t="s">
        <v>7</v>
      </c>
      <c r="K36" s="24">
        <f>SUM(K23:K35)</f>
        <v>3474</v>
      </c>
      <c r="L36" s="24">
        <f t="shared" ref="L36:X36" si="6">SUM(L23:L35)</f>
        <v>162.5</v>
      </c>
      <c r="M36" s="24">
        <f t="shared" si="6"/>
        <v>3030</v>
      </c>
      <c r="N36" s="24">
        <f t="shared" si="6"/>
        <v>82.5</v>
      </c>
      <c r="O36" s="24">
        <f t="shared" si="6"/>
        <v>4420</v>
      </c>
      <c r="P36" s="24">
        <f t="shared" si="6"/>
        <v>130.5</v>
      </c>
      <c r="Q36" s="24">
        <f t="shared" si="6"/>
        <v>1816</v>
      </c>
      <c r="R36" s="24">
        <f t="shared" si="6"/>
        <v>467</v>
      </c>
      <c r="S36" s="24">
        <f t="shared" si="6"/>
        <v>664</v>
      </c>
      <c r="T36" s="24">
        <f t="shared" si="6"/>
        <v>0</v>
      </c>
      <c r="U36" s="24">
        <f t="shared" si="6"/>
        <v>4476</v>
      </c>
      <c r="V36" s="24">
        <f t="shared" si="6"/>
        <v>87.5</v>
      </c>
      <c r="W36" s="24">
        <f t="shared" si="6"/>
        <v>3103</v>
      </c>
      <c r="X36" s="24">
        <f t="shared" si="6"/>
        <v>103</v>
      </c>
    </row>
    <row r="37" spans="1:24" x14ac:dyDescent="0.3">
      <c r="A37" s="24">
        <v>5959.6</v>
      </c>
      <c r="B37" s="24">
        <v>5341.84</v>
      </c>
      <c r="C37" s="24">
        <v>5485.14</v>
      </c>
      <c r="D37" s="24">
        <v>3183.59</v>
      </c>
      <c r="E37" s="24">
        <v>535</v>
      </c>
      <c r="F37" s="24">
        <v>6169.08</v>
      </c>
      <c r="G37" s="24">
        <v>6306.86</v>
      </c>
      <c r="H37" s="24">
        <f t="shared" ref="H37" si="7">SUM(H23:H36)</f>
        <v>54734.149999999994</v>
      </c>
      <c r="I37" s="33" t="s">
        <v>1</v>
      </c>
      <c r="K37" s="24">
        <v>3474</v>
      </c>
      <c r="L37" s="24">
        <v>162.5</v>
      </c>
      <c r="M37" s="24">
        <v>3030</v>
      </c>
      <c r="N37" s="24">
        <v>82.5</v>
      </c>
      <c r="O37" s="24">
        <v>4420</v>
      </c>
      <c r="P37" s="24">
        <v>130.5</v>
      </c>
      <c r="Q37" s="24">
        <v>1816</v>
      </c>
      <c r="R37" s="24">
        <v>467</v>
      </c>
      <c r="S37" s="24">
        <v>664</v>
      </c>
      <c r="T37" s="24">
        <v>0</v>
      </c>
      <c r="U37" s="24">
        <v>4476</v>
      </c>
      <c r="V37" s="24">
        <v>87.5</v>
      </c>
      <c r="W37" s="24">
        <v>3103</v>
      </c>
      <c r="X37" s="24">
        <v>103</v>
      </c>
    </row>
    <row r="38" spans="1:24" ht="15" thickBot="1" x14ac:dyDescent="0.35">
      <c r="A38" s="35">
        <f t="shared" ref="A38:H38" si="8">A36-A37</f>
        <v>0</v>
      </c>
      <c r="B38" s="35">
        <f t="shared" si="8"/>
        <v>0</v>
      </c>
      <c r="C38" s="35">
        <f t="shared" si="8"/>
        <v>0</v>
      </c>
      <c r="D38" s="35">
        <f t="shared" si="8"/>
        <v>0</v>
      </c>
      <c r="E38" s="35">
        <f t="shared" si="8"/>
        <v>0</v>
      </c>
      <c r="F38" s="35">
        <f t="shared" si="8"/>
        <v>0</v>
      </c>
      <c r="G38" s="35">
        <f t="shared" si="8"/>
        <v>0</v>
      </c>
      <c r="H38" s="35">
        <f t="shared" si="8"/>
        <v>0</v>
      </c>
      <c r="I38" s="16">
        <f>SUM(I32:I37)</f>
        <v>0</v>
      </c>
      <c r="K38" s="86">
        <f>K36-K37</f>
        <v>0</v>
      </c>
      <c r="L38" s="86">
        <f>L36-L37</f>
        <v>0</v>
      </c>
      <c r="M38" s="86">
        <f t="shared" ref="M38:W38" si="9">M36-M37</f>
        <v>0</v>
      </c>
      <c r="N38" s="86">
        <f t="shared" si="9"/>
        <v>0</v>
      </c>
      <c r="O38" s="86">
        <f t="shared" si="9"/>
        <v>0</v>
      </c>
      <c r="P38" s="86">
        <f t="shared" si="9"/>
        <v>0</v>
      </c>
      <c r="Q38" s="86">
        <f t="shared" si="9"/>
        <v>0</v>
      </c>
      <c r="R38" s="86">
        <f t="shared" si="9"/>
        <v>0</v>
      </c>
      <c r="S38" s="86">
        <f t="shared" si="9"/>
        <v>0</v>
      </c>
      <c r="T38" s="86">
        <f t="shared" si="9"/>
        <v>0</v>
      </c>
      <c r="U38" s="86">
        <f t="shared" si="9"/>
        <v>0</v>
      </c>
      <c r="V38" s="86">
        <f t="shared" si="9"/>
        <v>0</v>
      </c>
      <c r="W38" s="86">
        <f t="shared" si="9"/>
        <v>0</v>
      </c>
      <c r="X38" s="86">
        <f>X36-X37</f>
        <v>0</v>
      </c>
    </row>
    <row r="39" spans="1:24" ht="15.6" thickTop="1" thickBot="1" x14ac:dyDescent="0.35"/>
    <row r="40" spans="1:24" x14ac:dyDescent="0.3">
      <c r="A40" s="17">
        <v>45616</v>
      </c>
      <c r="B40" s="17">
        <v>45617</v>
      </c>
      <c r="C40" s="17">
        <v>45618</v>
      </c>
      <c r="D40" s="17">
        <v>45619</v>
      </c>
      <c r="E40" s="17">
        <v>45620</v>
      </c>
      <c r="F40" s="17">
        <v>45621</v>
      </c>
      <c r="G40" s="17">
        <v>45622</v>
      </c>
      <c r="H40" s="17"/>
      <c r="I40" s="13" t="s">
        <v>8</v>
      </c>
      <c r="K40" s="59">
        <v>45616</v>
      </c>
      <c r="L40" s="59"/>
      <c r="M40" s="59">
        <v>45617</v>
      </c>
      <c r="N40" s="59"/>
      <c r="O40" s="59">
        <v>45618</v>
      </c>
      <c r="P40" s="59"/>
      <c r="Q40" s="59">
        <v>45619</v>
      </c>
      <c r="R40" s="59"/>
      <c r="S40" s="59">
        <v>45620</v>
      </c>
      <c r="T40" s="59"/>
      <c r="U40" s="59">
        <v>45621</v>
      </c>
      <c r="V40" s="59"/>
      <c r="W40" s="59">
        <v>45622</v>
      </c>
      <c r="X40" s="59"/>
    </row>
    <row r="41" spans="1:24" ht="15" thickBot="1" x14ac:dyDescent="0.35">
      <c r="A41" s="21">
        <v>1826.84</v>
      </c>
      <c r="B41" s="22">
        <v>1500</v>
      </c>
      <c r="C41" s="22">
        <v>1210</v>
      </c>
      <c r="D41" s="22">
        <v>995</v>
      </c>
      <c r="E41" s="22">
        <v>500</v>
      </c>
      <c r="F41" s="22">
        <v>1859.05</v>
      </c>
      <c r="G41" s="22">
        <v>1826.84</v>
      </c>
      <c r="H41" s="37"/>
      <c r="I41" s="15">
        <v>5793.94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26" t="s">
        <v>11</v>
      </c>
    </row>
    <row r="42" spans="1:24" x14ac:dyDescent="0.3">
      <c r="A42" s="21">
        <v>2990</v>
      </c>
      <c r="B42" s="22">
        <v>2385</v>
      </c>
      <c r="C42" s="22">
        <v>3670</v>
      </c>
      <c r="D42" s="22">
        <v>1440</v>
      </c>
      <c r="E42" s="25"/>
      <c r="F42" s="22">
        <v>3650</v>
      </c>
      <c r="G42" s="22">
        <v>2805</v>
      </c>
      <c r="H42" s="37"/>
      <c r="I42" s="15">
        <v>5467.9</v>
      </c>
      <c r="K42" s="75">
        <v>140</v>
      </c>
      <c r="L42" s="76">
        <v>65</v>
      </c>
      <c r="M42" s="77">
        <v>210</v>
      </c>
      <c r="N42" s="77">
        <v>42.5</v>
      </c>
      <c r="O42" s="77">
        <v>28</v>
      </c>
      <c r="P42" s="77">
        <v>65</v>
      </c>
      <c r="Q42" s="77">
        <v>28</v>
      </c>
      <c r="R42" s="77">
        <v>57.5</v>
      </c>
      <c r="S42" s="78">
        <v>84</v>
      </c>
      <c r="T42" s="69">
        <v>15</v>
      </c>
      <c r="U42" s="63">
        <v>320</v>
      </c>
      <c r="V42" s="63">
        <v>60</v>
      </c>
      <c r="W42" s="63">
        <v>620</v>
      </c>
      <c r="X42" s="63">
        <v>65</v>
      </c>
    </row>
    <row r="43" spans="1:24" x14ac:dyDescent="0.3">
      <c r="A43" s="21">
        <v>1515</v>
      </c>
      <c r="B43" s="22">
        <v>1826.84</v>
      </c>
      <c r="C43" s="22">
        <v>1614.59</v>
      </c>
      <c r="D43" s="26">
        <v>823.4</v>
      </c>
      <c r="E43" s="22"/>
      <c r="F43" s="22">
        <v>1140</v>
      </c>
      <c r="G43" s="22">
        <v>1635</v>
      </c>
      <c r="H43" s="37"/>
      <c r="I43" s="15">
        <v>2925</v>
      </c>
      <c r="K43" s="21">
        <v>2620</v>
      </c>
      <c r="L43" s="79"/>
      <c r="M43" s="80">
        <v>188</v>
      </c>
      <c r="N43" s="43">
        <v>120</v>
      </c>
      <c r="O43" s="43">
        <v>330</v>
      </c>
      <c r="P43" s="43">
        <v>60</v>
      </c>
      <c r="Q43" s="80">
        <v>270</v>
      </c>
      <c r="R43" s="80">
        <v>120</v>
      </c>
      <c r="S43" s="43">
        <v>620</v>
      </c>
      <c r="T43" s="22"/>
      <c r="U43" s="22">
        <v>2570</v>
      </c>
      <c r="V43" s="22">
        <v>57.5</v>
      </c>
      <c r="W43" s="22">
        <v>2130</v>
      </c>
      <c r="X43" s="22"/>
    </row>
    <row r="44" spans="1:24" x14ac:dyDescent="0.3">
      <c r="A44" s="21"/>
      <c r="B44" s="22"/>
      <c r="C44" s="22"/>
      <c r="D44" s="25"/>
      <c r="E44" s="22"/>
      <c r="F44" s="22"/>
      <c r="G44" s="22"/>
      <c r="H44" s="37"/>
      <c r="I44" s="15">
        <v>6000</v>
      </c>
      <c r="K44" s="21">
        <v>304</v>
      </c>
      <c r="L44" s="79"/>
      <c r="M44" s="81">
        <v>2140</v>
      </c>
      <c r="N44" s="43"/>
      <c r="O44" s="43">
        <v>416</v>
      </c>
      <c r="P44" s="43"/>
      <c r="Q44" s="80">
        <v>1450</v>
      </c>
      <c r="R44" s="81">
        <v>200</v>
      </c>
      <c r="S44" s="43"/>
      <c r="T44" s="22"/>
      <c r="U44" s="22">
        <v>350</v>
      </c>
      <c r="V44" s="22"/>
      <c r="W44" s="22">
        <v>260</v>
      </c>
      <c r="X44" s="22"/>
    </row>
    <row r="45" spans="1:24" x14ac:dyDescent="0.3">
      <c r="A45" s="21"/>
      <c r="B45" s="22"/>
      <c r="C45" s="22"/>
      <c r="D45" s="22"/>
      <c r="E45" s="22"/>
      <c r="F45" s="22"/>
      <c r="G45" s="22"/>
      <c r="H45" s="37"/>
      <c r="I45" s="15">
        <v>244.46</v>
      </c>
      <c r="K45" s="21">
        <v>270</v>
      </c>
      <c r="L45" s="79"/>
      <c r="M45" s="43">
        <v>140</v>
      </c>
      <c r="N45" s="43"/>
      <c r="O45" s="43">
        <v>2850</v>
      </c>
      <c r="P45" s="43"/>
      <c r="Q45" s="43"/>
      <c r="R45" s="43"/>
      <c r="S45" s="43"/>
      <c r="T45" s="22"/>
      <c r="U45" s="22">
        <v>360</v>
      </c>
      <c r="V45" s="22"/>
      <c r="W45" s="22">
        <v>240</v>
      </c>
      <c r="X45" s="22"/>
    </row>
    <row r="46" spans="1:24" ht="15" thickBot="1" x14ac:dyDescent="0.35">
      <c r="A46" s="21"/>
      <c r="B46" s="22"/>
      <c r="C46" s="22"/>
      <c r="D46" s="22"/>
      <c r="E46" s="22"/>
      <c r="F46" s="22"/>
      <c r="G46" s="22"/>
      <c r="I46" s="131"/>
      <c r="K46" s="128">
        <v>28</v>
      </c>
      <c r="L46" s="79"/>
      <c r="M46" s="43"/>
      <c r="N46" s="43"/>
      <c r="O46" s="43">
        <v>420</v>
      </c>
      <c r="P46" s="43"/>
      <c r="Q46" s="43"/>
      <c r="R46" s="43"/>
      <c r="S46" s="43"/>
      <c r="T46" s="22"/>
      <c r="U46" s="22"/>
      <c r="V46" s="22"/>
      <c r="W46" s="22">
        <v>56</v>
      </c>
      <c r="X46" s="22"/>
    </row>
    <row r="47" spans="1:24" ht="15.6" thickTop="1" thickBot="1" x14ac:dyDescent="0.35">
      <c r="A47" s="21"/>
      <c r="B47" s="22"/>
      <c r="C47" s="22"/>
      <c r="D47" s="22"/>
      <c r="E47" s="22"/>
      <c r="F47" s="22"/>
      <c r="G47" s="22"/>
      <c r="H47" s="37"/>
      <c r="I47" s="132">
        <f>SUM(I41:I46)</f>
        <v>20431.3</v>
      </c>
      <c r="K47" s="21"/>
      <c r="L47" s="79"/>
      <c r="M47" s="43"/>
      <c r="N47" s="43"/>
      <c r="O47" s="43">
        <v>9999</v>
      </c>
      <c r="P47" s="43"/>
      <c r="Q47" s="43"/>
      <c r="R47" s="43"/>
      <c r="S47" s="43"/>
      <c r="T47" s="22"/>
      <c r="U47" s="22"/>
      <c r="V47" s="22"/>
      <c r="W47" s="22"/>
      <c r="X47" s="22"/>
    </row>
    <row r="48" spans="1:24" ht="15" thickTop="1" x14ac:dyDescent="0.3">
      <c r="A48" s="21"/>
      <c r="B48" s="22"/>
      <c r="C48" s="22"/>
      <c r="D48" s="22"/>
      <c r="E48" s="22"/>
      <c r="F48" s="22"/>
      <c r="G48" s="22"/>
      <c r="H48" s="22"/>
      <c r="I48" s="40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3">
      <c r="A49" s="21"/>
      <c r="B49" s="22"/>
      <c r="C49" s="22"/>
      <c r="D49" s="22"/>
      <c r="E49" s="22"/>
      <c r="F49" s="22"/>
      <c r="G49" s="22"/>
      <c r="H49" s="22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1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4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4">
        <f>SUM(A41:A54)</f>
        <v>6331.84</v>
      </c>
      <c r="B55" s="24">
        <f t="shared" ref="B55:G55" si="10">SUM(B41:B54)</f>
        <v>5711.84</v>
      </c>
      <c r="C55" s="24">
        <f t="shared" si="10"/>
        <v>6494.59</v>
      </c>
      <c r="D55" s="24">
        <f t="shared" si="10"/>
        <v>3258.4</v>
      </c>
      <c r="E55" s="24">
        <f t="shared" si="10"/>
        <v>500</v>
      </c>
      <c r="F55" s="24">
        <f t="shared" si="10"/>
        <v>6649.05</v>
      </c>
      <c r="G55" s="24">
        <f t="shared" si="10"/>
        <v>6266.84</v>
      </c>
      <c r="H55" s="29">
        <f>SUM(A55:G55)+I47</f>
        <v>55643.86</v>
      </c>
      <c r="I55" s="30" t="s">
        <v>7</v>
      </c>
      <c r="K55" s="24">
        <f>SUM(K42:K54)</f>
        <v>3362</v>
      </c>
      <c r="L55" s="24">
        <f t="shared" ref="L55:X55" si="11">SUM(L42:L54)</f>
        <v>65</v>
      </c>
      <c r="M55" s="24">
        <f t="shared" si="11"/>
        <v>2678</v>
      </c>
      <c r="N55" s="24">
        <f t="shared" si="11"/>
        <v>162.5</v>
      </c>
      <c r="O55" s="24">
        <f t="shared" si="11"/>
        <v>14043</v>
      </c>
      <c r="P55" s="24">
        <f t="shared" si="11"/>
        <v>125</v>
      </c>
      <c r="Q55" s="24">
        <f t="shared" si="11"/>
        <v>1748</v>
      </c>
      <c r="R55" s="24">
        <f t="shared" si="11"/>
        <v>377.5</v>
      </c>
      <c r="S55" s="24">
        <f t="shared" si="11"/>
        <v>704</v>
      </c>
      <c r="T55" s="24">
        <f t="shared" si="11"/>
        <v>15</v>
      </c>
      <c r="U55" s="24">
        <f t="shared" si="11"/>
        <v>3600</v>
      </c>
      <c r="V55" s="24">
        <f t="shared" si="11"/>
        <v>117.5</v>
      </c>
      <c r="W55" s="24">
        <f t="shared" si="11"/>
        <v>3306</v>
      </c>
      <c r="X55" s="24">
        <f t="shared" si="11"/>
        <v>65</v>
      </c>
    </row>
    <row r="56" spans="1:24" x14ac:dyDescent="0.3">
      <c r="A56" s="24">
        <v>6331.84</v>
      </c>
      <c r="B56" s="24">
        <v>5711.84</v>
      </c>
      <c r="C56" s="24">
        <v>6494.59</v>
      </c>
      <c r="D56" s="24">
        <v>3258.4</v>
      </c>
      <c r="E56" s="24">
        <v>500</v>
      </c>
      <c r="F56" s="24">
        <v>6649.05</v>
      </c>
      <c r="G56" s="24">
        <v>6266.84</v>
      </c>
      <c r="H56" s="24">
        <f t="shared" ref="H56" si="12">SUM(H42:H55)</f>
        <v>55643.86</v>
      </c>
      <c r="I56" s="33" t="s">
        <v>1</v>
      </c>
      <c r="K56" s="24">
        <v>3362</v>
      </c>
      <c r="L56" s="24">
        <v>65</v>
      </c>
      <c r="M56" s="24">
        <v>2678</v>
      </c>
      <c r="N56" s="24">
        <v>162.5</v>
      </c>
      <c r="O56" s="24">
        <v>4044</v>
      </c>
      <c r="P56" s="24">
        <v>125</v>
      </c>
      <c r="Q56" s="24">
        <v>1916</v>
      </c>
      <c r="R56" s="24">
        <v>377.5</v>
      </c>
      <c r="S56" s="24">
        <v>704</v>
      </c>
      <c r="T56" s="24">
        <v>15</v>
      </c>
      <c r="U56" s="24">
        <v>3600</v>
      </c>
      <c r="V56" s="24">
        <v>117.5</v>
      </c>
      <c r="W56" s="24">
        <v>3306</v>
      </c>
      <c r="X56" s="24">
        <v>65</v>
      </c>
    </row>
    <row r="57" spans="1:24" ht="15" thickBot="1" x14ac:dyDescent="0.35">
      <c r="A57" s="35">
        <f t="shared" ref="A57:H57" si="13">A55-A56</f>
        <v>0</v>
      </c>
      <c r="B57" s="35">
        <f t="shared" si="13"/>
        <v>0</v>
      </c>
      <c r="C57" s="35">
        <f t="shared" si="13"/>
        <v>0</v>
      </c>
      <c r="D57" s="35">
        <f t="shared" si="13"/>
        <v>0</v>
      </c>
      <c r="E57" s="35">
        <f t="shared" si="13"/>
        <v>0</v>
      </c>
      <c r="F57" s="35">
        <f t="shared" si="13"/>
        <v>0</v>
      </c>
      <c r="G57" s="35">
        <f t="shared" si="13"/>
        <v>0</v>
      </c>
      <c r="H57" s="35">
        <f t="shared" si="13"/>
        <v>0</v>
      </c>
      <c r="I57" s="16">
        <f>SUM(I51:I56)</f>
        <v>0</v>
      </c>
      <c r="K57" s="86">
        <f>K55-K56</f>
        <v>0</v>
      </c>
      <c r="L57" s="86">
        <f>L55-L56</f>
        <v>0</v>
      </c>
      <c r="M57" s="86">
        <f t="shared" ref="M57:W57" si="14">M55-M56</f>
        <v>0</v>
      </c>
      <c r="N57" s="86">
        <f t="shared" si="14"/>
        <v>0</v>
      </c>
      <c r="O57" s="86">
        <f t="shared" si="14"/>
        <v>9999</v>
      </c>
      <c r="P57" s="86">
        <f t="shared" si="14"/>
        <v>0</v>
      </c>
      <c r="Q57" s="86">
        <f t="shared" si="14"/>
        <v>-168</v>
      </c>
      <c r="R57" s="86">
        <f t="shared" si="14"/>
        <v>0</v>
      </c>
      <c r="S57" s="86">
        <f t="shared" si="14"/>
        <v>0</v>
      </c>
      <c r="T57" s="86">
        <f t="shared" si="14"/>
        <v>0</v>
      </c>
      <c r="U57" s="86">
        <f t="shared" si="14"/>
        <v>0</v>
      </c>
      <c r="V57" s="86">
        <f t="shared" si="14"/>
        <v>0</v>
      </c>
      <c r="W57" s="86">
        <f t="shared" si="14"/>
        <v>0</v>
      </c>
      <c r="X57" s="86">
        <f>X55-X56</f>
        <v>0</v>
      </c>
    </row>
    <row r="58" spans="1:24" ht="15.6" thickTop="1" thickBot="1" x14ac:dyDescent="0.35"/>
    <row r="59" spans="1:24" x14ac:dyDescent="0.3">
      <c r="A59" s="17">
        <v>45623</v>
      </c>
      <c r="B59" s="17">
        <v>45624</v>
      </c>
      <c r="C59" s="17">
        <v>45625</v>
      </c>
      <c r="D59" s="17">
        <v>45626</v>
      </c>
      <c r="E59" s="17">
        <v>45627</v>
      </c>
      <c r="F59" s="17">
        <v>45628</v>
      </c>
      <c r="G59" s="17">
        <v>45629</v>
      </c>
      <c r="H59" s="17"/>
      <c r="I59" s="13" t="s">
        <v>8</v>
      </c>
      <c r="K59" s="59">
        <v>45623</v>
      </c>
      <c r="L59" s="59"/>
      <c r="M59" s="59">
        <v>45624</v>
      </c>
      <c r="N59" s="59"/>
      <c r="O59" s="59">
        <v>45625</v>
      </c>
      <c r="P59" s="59"/>
      <c r="Q59" s="59">
        <v>45626</v>
      </c>
      <c r="R59" s="59"/>
      <c r="S59" s="59">
        <v>45627</v>
      </c>
      <c r="T59" s="59"/>
      <c r="U59" s="59">
        <v>45628</v>
      </c>
      <c r="V59" s="59"/>
      <c r="W59" s="59">
        <v>45629</v>
      </c>
      <c r="X59" s="59"/>
    </row>
    <row r="60" spans="1:24" ht="15" thickBot="1" x14ac:dyDescent="0.35">
      <c r="A60" s="21">
        <v>1515</v>
      </c>
      <c r="B60" s="22">
        <v>1415.14</v>
      </c>
      <c r="C60" s="22">
        <v>1614.59</v>
      </c>
      <c r="D60" s="22">
        <v>3192.5</v>
      </c>
      <c r="E60" s="22">
        <v>580</v>
      </c>
      <c r="F60" s="22">
        <v>1045</v>
      </c>
      <c r="G60" s="22">
        <v>1555</v>
      </c>
      <c r="H60" s="37"/>
      <c r="I60" s="15">
        <v>6000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26" t="s">
        <v>11</v>
      </c>
    </row>
    <row r="61" spans="1:24" x14ac:dyDescent="0.3">
      <c r="A61" s="21">
        <v>3275</v>
      </c>
      <c r="B61" s="22">
        <v>2595</v>
      </c>
      <c r="C61" s="22">
        <v>3325</v>
      </c>
      <c r="D61" s="22">
        <v>950</v>
      </c>
      <c r="E61" s="25"/>
      <c r="F61" s="22">
        <v>3395</v>
      </c>
      <c r="G61" s="22">
        <v>2845</v>
      </c>
      <c r="H61" s="37"/>
      <c r="I61" s="15">
        <v>2742.5</v>
      </c>
      <c r="K61" s="75">
        <v>28</v>
      </c>
      <c r="L61" s="76">
        <v>125</v>
      </c>
      <c r="M61" s="77">
        <v>450</v>
      </c>
      <c r="N61" s="77">
        <v>409.5</v>
      </c>
      <c r="O61" s="77">
        <v>420</v>
      </c>
      <c r="P61" s="77">
        <v>72.5</v>
      </c>
      <c r="Q61" s="77">
        <v>3630</v>
      </c>
      <c r="R61" s="77">
        <v>2640</v>
      </c>
      <c r="S61" s="78">
        <v>84</v>
      </c>
      <c r="T61" s="69">
        <v>15</v>
      </c>
      <c r="U61" s="63">
        <v>330</v>
      </c>
      <c r="V61" s="63">
        <v>343.5</v>
      </c>
      <c r="W61" s="63">
        <v>300</v>
      </c>
      <c r="X61" s="63">
        <v>28</v>
      </c>
    </row>
    <row r="62" spans="1:24" x14ac:dyDescent="0.3">
      <c r="A62" s="21">
        <v>1826.84</v>
      </c>
      <c r="B62" s="22">
        <v>1500</v>
      </c>
      <c r="C62" s="22">
        <v>1460</v>
      </c>
      <c r="D62" s="26"/>
      <c r="E62" s="22"/>
      <c r="F62" s="22">
        <v>1826.84</v>
      </c>
      <c r="G62" s="22">
        <v>1949.07</v>
      </c>
      <c r="H62" s="37"/>
      <c r="I62" s="15">
        <v>5598.42</v>
      </c>
      <c r="K62" s="21">
        <v>300</v>
      </c>
      <c r="L62" s="79"/>
      <c r="M62" s="80">
        <v>2090</v>
      </c>
      <c r="N62" s="43">
        <v>42.5</v>
      </c>
      <c r="O62" s="43">
        <v>3230</v>
      </c>
      <c r="P62" s="43"/>
      <c r="Q62" s="80">
        <v>146</v>
      </c>
      <c r="R62" s="80">
        <v>409</v>
      </c>
      <c r="S62" s="43">
        <v>580</v>
      </c>
      <c r="T62" s="22"/>
      <c r="U62" s="22">
        <v>344</v>
      </c>
      <c r="V62" s="22">
        <v>928</v>
      </c>
      <c r="W62" s="22">
        <v>280</v>
      </c>
      <c r="X62" s="22">
        <v>57.5</v>
      </c>
    </row>
    <row r="63" spans="1:24" x14ac:dyDescent="0.3">
      <c r="A63" s="21"/>
      <c r="B63" s="22"/>
      <c r="C63" s="22"/>
      <c r="D63" s="25"/>
      <c r="E63" s="22"/>
      <c r="F63" s="22"/>
      <c r="G63" s="22"/>
      <c r="H63" s="37"/>
      <c r="I63" s="15">
        <v>1003.44</v>
      </c>
      <c r="K63" s="21">
        <v>304</v>
      </c>
      <c r="L63" s="79"/>
      <c r="M63" s="81">
        <v>188</v>
      </c>
      <c r="N63" s="43"/>
      <c r="O63" s="43">
        <v>416</v>
      </c>
      <c r="P63" s="43"/>
      <c r="Q63" s="80">
        <v>270</v>
      </c>
      <c r="R63" s="81">
        <v>57.5</v>
      </c>
      <c r="S63" s="43"/>
      <c r="T63" s="22"/>
      <c r="U63" s="22">
        <v>4160</v>
      </c>
      <c r="V63" s="22"/>
      <c r="W63" s="22">
        <v>2350</v>
      </c>
      <c r="X63" s="22">
        <v>1107</v>
      </c>
    </row>
    <row r="64" spans="1:24" x14ac:dyDescent="0.3">
      <c r="A64" s="21"/>
      <c r="B64" s="22"/>
      <c r="C64" s="22"/>
      <c r="D64" s="22"/>
      <c r="E64" s="22"/>
      <c r="F64" s="22"/>
      <c r="G64" s="22"/>
      <c r="H64" s="37"/>
      <c r="I64" s="15">
        <v>5545.06</v>
      </c>
      <c r="K64" s="21">
        <v>2300</v>
      </c>
      <c r="L64" s="79"/>
      <c r="M64" s="43">
        <v>210</v>
      </c>
      <c r="N64" s="43"/>
      <c r="O64" s="43">
        <v>240</v>
      </c>
      <c r="P64" s="43"/>
      <c r="Q64" s="43">
        <v>28</v>
      </c>
      <c r="R64" s="43"/>
      <c r="S64" s="43"/>
      <c r="T64" s="22"/>
      <c r="U64" s="22">
        <v>600</v>
      </c>
      <c r="V64" s="22"/>
      <c r="W64" s="22">
        <v>540</v>
      </c>
      <c r="X64" s="22">
        <v>60</v>
      </c>
    </row>
    <row r="65" spans="1:24" ht="15" thickBot="1" x14ac:dyDescent="0.35">
      <c r="A65" s="21"/>
      <c r="B65" s="22"/>
      <c r="C65" s="22"/>
      <c r="D65" s="22"/>
      <c r="E65" s="22"/>
      <c r="F65" s="22"/>
      <c r="G65" s="22"/>
      <c r="I65" s="131"/>
      <c r="K65" s="128">
        <v>620</v>
      </c>
      <c r="L65" s="79"/>
      <c r="M65" s="43"/>
      <c r="N65" s="43"/>
      <c r="O65" s="43"/>
      <c r="P65" s="43"/>
      <c r="Q65" s="43"/>
      <c r="R65" s="43"/>
      <c r="S65" s="43"/>
      <c r="T65" s="22"/>
      <c r="U65" s="22"/>
      <c r="V65" s="22"/>
      <c r="W65" s="22"/>
      <c r="X65" s="22"/>
    </row>
    <row r="66" spans="1:24" ht="15.6" thickTop="1" thickBot="1" x14ac:dyDescent="0.35">
      <c r="A66" s="21"/>
      <c r="B66" s="22"/>
      <c r="C66" s="22"/>
      <c r="D66" s="22"/>
      <c r="E66" s="22"/>
      <c r="F66" s="22"/>
      <c r="G66" s="22"/>
      <c r="H66" s="37"/>
      <c r="I66" s="132">
        <f>SUM(I60:I65)</f>
        <v>20889.420000000002</v>
      </c>
      <c r="K66" s="21"/>
      <c r="L66" s="79"/>
      <c r="M66" s="43"/>
      <c r="N66" s="43"/>
      <c r="O66" s="43"/>
      <c r="P66" s="43"/>
      <c r="Q66" s="43"/>
      <c r="R66" s="43"/>
      <c r="S66" s="43"/>
      <c r="T66" s="22"/>
      <c r="U66" s="22"/>
      <c r="V66" s="22"/>
      <c r="W66" s="22"/>
      <c r="X66" s="22"/>
    </row>
    <row r="67" spans="1:24" ht="15" thickTop="1" x14ac:dyDescent="0.3">
      <c r="A67" s="21"/>
      <c r="B67" s="22"/>
      <c r="C67" s="22"/>
      <c r="D67" s="22"/>
      <c r="E67" s="22"/>
      <c r="F67" s="22"/>
      <c r="G67" s="22"/>
      <c r="H67" s="22"/>
      <c r="I67" s="40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3">
      <c r="A68" s="21"/>
      <c r="B68" s="22"/>
      <c r="C68" s="22"/>
      <c r="D68" s="22"/>
      <c r="E68" s="22"/>
      <c r="F68" s="22"/>
      <c r="G68" s="22"/>
      <c r="H68" s="22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3">
      <c r="A69" s="21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3">
      <c r="A70" s="21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3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3">
      <c r="A73" s="24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3">
      <c r="A74" s="24">
        <f>SUM(A60:A73)</f>
        <v>6616.84</v>
      </c>
      <c r="B74" s="24">
        <f t="shared" ref="B74:G74" si="15">SUM(B60:B73)</f>
        <v>5510.14</v>
      </c>
      <c r="C74" s="24">
        <f t="shared" si="15"/>
        <v>6399.59</v>
      </c>
      <c r="D74" s="24">
        <f t="shared" si="15"/>
        <v>4142.5</v>
      </c>
      <c r="E74" s="24">
        <f t="shared" si="15"/>
        <v>580</v>
      </c>
      <c r="F74" s="24">
        <f t="shared" si="15"/>
        <v>6266.84</v>
      </c>
      <c r="G74" s="24">
        <f t="shared" si="15"/>
        <v>6349.07</v>
      </c>
      <c r="H74" s="29">
        <f>SUM(A74:G74)+I66</f>
        <v>56754.399999999994</v>
      </c>
      <c r="I74" s="30" t="s">
        <v>7</v>
      </c>
      <c r="K74" s="24">
        <f>SUM(K61:K73)</f>
        <v>3552</v>
      </c>
      <c r="L74" s="24">
        <f t="shared" ref="L74:X74" si="16">SUM(L61:L73)</f>
        <v>125</v>
      </c>
      <c r="M74" s="24">
        <f t="shared" si="16"/>
        <v>2938</v>
      </c>
      <c r="N74" s="24">
        <f t="shared" si="16"/>
        <v>452</v>
      </c>
      <c r="O74" s="24">
        <f t="shared" si="16"/>
        <v>4306</v>
      </c>
      <c r="P74" s="24">
        <f t="shared" si="16"/>
        <v>72.5</v>
      </c>
      <c r="Q74" s="24">
        <f t="shared" si="16"/>
        <v>4074</v>
      </c>
      <c r="R74" s="24">
        <f t="shared" si="16"/>
        <v>3106.5</v>
      </c>
      <c r="S74" s="24">
        <f t="shared" si="16"/>
        <v>664</v>
      </c>
      <c r="T74" s="24">
        <f t="shared" si="16"/>
        <v>15</v>
      </c>
      <c r="U74" s="24">
        <f t="shared" si="16"/>
        <v>5434</v>
      </c>
      <c r="V74" s="24">
        <f t="shared" si="16"/>
        <v>1271.5</v>
      </c>
      <c r="W74" s="24">
        <f t="shared" si="16"/>
        <v>3470</v>
      </c>
      <c r="X74" s="24">
        <f t="shared" si="16"/>
        <v>1252.5</v>
      </c>
    </row>
    <row r="75" spans="1:24" x14ac:dyDescent="0.3">
      <c r="A75" s="24">
        <v>6616.84</v>
      </c>
      <c r="B75" s="24">
        <v>5510.14</v>
      </c>
      <c r="C75" s="24">
        <v>6399.59</v>
      </c>
      <c r="D75" s="24">
        <v>4142.5</v>
      </c>
      <c r="E75" s="24">
        <v>580</v>
      </c>
      <c r="F75" s="24">
        <v>6266.84</v>
      </c>
      <c r="G75" s="24">
        <v>6349.07</v>
      </c>
      <c r="H75" s="24">
        <f t="shared" ref="H75" si="17">SUM(H61:H74)</f>
        <v>56754.399999999994</v>
      </c>
      <c r="I75" s="33" t="s">
        <v>1</v>
      </c>
      <c r="K75" s="24">
        <v>3552</v>
      </c>
      <c r="L75" s="24">
        <v>178.8</v>
      </c>
      <c r="M75" s="24">
        <v>2938</v>
      </c>
      <c r="N75" s="24">
        <v>452</v>
      </c>
      <c r="O75" s="24">
        <v>4306</v>
      </c>
      <c r="P75" s="24">
        <v>72.5</v>
      </c>
      <c r="Q75" s="24">
        <v>4074</v>
      </c>
      <c r="R75" s="24">
        <v>3106.5</v>
      </c>
      <c r="S75" s="24">
        <v>664</v>
      </c>
      <c r="T75" s="24">
        <v>15</v>
      </c>
      <c r="U75" s="24">
        <v>5434</v>
      </c>
      <c r="V75" s="24">
        <v>1271.5</v>
      </c>
      <c r="W75" s="24">
        <v>3470</v>
      </c>
      <c r="X75" s="24">
        <v>1252.5</v>
      </c>
    </row>
    <row r="76" spans="1:24" ht="15" thickBot="1" x14ac:dyDescent="0.35">
      <c r="A76" s="35">
        <f t="shared" ref="A76:H76" si="18">A74-A75</f>
        <v>0</v>
      </c>
      <c r="B76" s="35">
        <f t="shared" si="18"/>
        <v>0</v>
      </c>
      <c r="C76" s="35">
        <f t="shared" si="18"/>
        <v>0</v>
      </c>
      <c r="D76" s="35">
        <f t="shared" si="18"/>
        <v>0</v>
      </c>
      <c r="E76" s="35">
        <f t="shared" si="18"/>
        <v>0</v>
      </c>
      <c r="F76" s="35">
        <f t="shared" si="18"/>
        <v>0</v>
      </c>
      <c r="G76" s="35">
        <f t="shared" si="18"/>
        <v>0</v>
      </c>
      <c r="H76" s="35">
        <f t="shared" si="18"/>
        <v>0</v>
      </c>
      <c r="I76" s="16">
        <f>SUM(I70:I75)</f>
        <v>0</v>
      </c>
      <c r="K76" s="86">
        <f>K74-K75</f>
        <v>0</v>
      </c>
      <c r="L76" s="86">
        <f>L74-L75</f>
        <v>-53.800000000000011</v>
      </c>
      <c r="M76" s="86">
        <f t="shared" ref="M76:W76" si="19">M74-M75</f>
        <v>0</v>
      </c>
      <c r="N76" s="86">
        <f t="shared" si="19"/>
        <v>0</v>
      </c>
      <c r="O76" s="86">
        <f t="shared" si="19"/>
        <v>0</v>
      </c>
      <c r="P76" s="86">
        <f t="shared" si="19"/>
        <v>0</v>
      </c>
      <c r="Q76" s="86">
        <f t="shared" si="19"/>
        <v>0</v>
      </c>
      <c r="R76" s="86">
        <f t="shared" si="19"/>
        <v>0</v>
      </c>
      <c r="S76" s="86">
        <f t="shared" si="19"/>
        <v>0</v>
      </c>
      <c r="T76" s="86">
        <f t="shared" si="19"/>
        <v>0</v>
      </c>
      <c r="U76" s="86">
        <f t="shared" si="19"/>
        <v>0</v>
      </c>
      <c r="V76" s="86">
        <f t="shared" si="19"/>
        <v>0</v>
      </c>
      <c r="W76" s="86">
        <f t="shared" si="19"/>
        <v>0</v>
      </c>
      <c r="X76" s="86">
        <f>X74-X75</f>
        <v>0</v>
      </c>
    </row>
    <row r="77" spans="1:24" ht="15" thickTop="1" x14ac:dyDescent="0.3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B86B-BCE4-4CF1-824A-13F9748F9488}">
  <dimension ref="A1:AA124"/>
  <sheetViews>
    <sheetView topLeftCell="A61" zoomScaleNormal="100" workbookViewId="0">
      <selection activeCell="A79" sqref="A79:AA115"/>
    </sheetView>
  </sheetViews>
  <sheetFormatPr defaultRowHeight="14.4" x14ac:dyDescent="0.3"/>
  <cols>
    <col min="1" max="1" width="11.6640625" customWidth="1"/>
    <col min="2" max="2" width="12.6640625" customWidth="1"/>
    <col min="3" max="3" width="11" customWidth="1"/>
    <col min="4" max="4" width="11.6640625" customWidth="1"/>
    <col min="5" max="5" width="12.109375" customWidth="1"/>
    <col min="6" max="6" width="11.88671875" customWidth="1"/>
    <col min="7" max="7" width="11.6640625" customWidth="1"/>
    <col min="8" max="8" width="11.88671875" customWidth="1"/>
    <col min="9" max="9" width="12.109375" bestFit="1" customWidth="1"/>
    <col min="10" max="10" width="13" bestFit="1" customWidth="1"/>
    <col min="11" max="11" width="11.109375" customWidth="1"/>
    <col min="12" max="12" width="12.33203125" customWidth="1"/>
    <col min="13" max="13" width="11.44140625" customWidth="1"/>
    <col min="14" max="14" width="10.5546875" customWidth="1"/>
    <col min="15" max="15" width="12.109375" customWidth="1"/>
    <col min="16" max="16" width="11.44140625" customWidth="1"/>
    <col min="17" max="17" width="12.88671875" customWidth="1"/>
    <col min="18" max="18" width="10.109375" customWidth="1"/>
    <col min="19" max="19" width="11.109375" customWidth="1"/>
    <col min="20" max="20" width="11.5546875" customWidth="1"/>
    <col min="21" max="21" width="11.44140625" customWidth="1"/>
    <col min="22" max="22" width="12.88671875" customWidth="1"/>
    <col min="23" max="23" width="10.33203125" customWidth="1"/>
    <col min="24" max="24" width="10" customWidth="1"/>
    <col min="25" max="25" width="12.33203125" bestFit="1" customWidth="1"/>
    <col min="27" max="27" width="11" customWidth="1"/>
  </cols>
  <sheetData>
    <row r="1" spans="1:24" ht="15" thickBot="1" x14ac:dyDescent="0.35"/>
    <row r="2" spans="1:24" x14ac:dyDescent="0.3">
      <c r="A2" s="17">
        <v>45630</v>
      </c>
      <c r="B2" s="17">
        <v>45631</v>
      </c>
      <c r="C2" s="17">
        <v>45632</v>
      </c>
      <c r="D2" s="17">
        <v>45633</v>
      </c>
      <c r="E2" s="17">
        <v>45634</v>
      </c>
      <c r="F2" s="17">
        <v>45635</v>
      </c>
      <c r="G2" s="17">
        <v>45636</v>
      </c>
      <c r="H2" s="17"/>
      <c r="I2" s="13" t="s">
        <v>8</v>
      </c>
      <c r="K2" s="59">
        <v>45630</v>
      </c>
      <c r="L2" s="59"/>
      <c r="M2" s="59">
        <v>45631</v>
      </c>
      <c r="N2" s="59"/>
      <c r="O2" s="59">
        <v>45632</v>
      </c>
      <c r="P2" s="59"/>
      <c r="Q2" s="59">
        <v>45633</v>
      </c>
      <c r="R2" s="59"/>
      <c r="S2" s="59">
        <v>45634</v>
      </c>
      <c r="T2" s="59"/>
      <c r="U2" s="59">
        <v>45635</v>
      </c>
      <c r="V2" s="59"/>
      <c r="W2" s="59">
        <v>45636</v>
      </c>
      <c r="X2" s="59"/>
    </row>
    <row r="3" spans="1:24" ht="15" thickBot="1" x14ac:dyDescent="0.35">
      <c r="A3" s="21">
        <v>1949.07</v>
      </c>
      <c r="B3" s="22">
        <v>1230</v>
      </c>
      <c r="C3" s="22">
        <v>1375</v>
      </c>
      <c r="D3" s="22">
        <v>1100</v>
      </c>
      <c r="E3" s="22">
        <v>10</v>
      </c>
      <c r="F3" s="22">
        <v>2039.09</v>
      </c>
      <c r="G3" s="22">
        <v>1794.63</v>
      </c>
      <c r="H3" s="37"/>
      <c r="I3" s="15">
        <v>2657.5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26" t="s">
        <v>11</v>
      </c>
    </row>
    <row r="4" spans="1:24" x14ac:dyDescent="0.3">
      <c r="A4" s="21">
        <v>3065</v>
      </c>
      <c r="B4" s="22">
        <v>2035</v>
      </c>
      <c r="C4" s="22">
        <v>2740</v>
      </c>
      <c r="D4" s="22">
        <v>2280</v>
      </c>
      <c r="E4" s="25">
        <v>485</v>
      </c>
      <c r="F4" s="22">
        <v>3075</v>
      </c>
      <c r="G4" s="22">
        <v>3110</v>
      </c>
      <c r="H4" s="37"/>
      <c r="I4" s="15">
        <v>6000</v>
      </c>
      <c r="K4" s="75">
        <v>660</v>
      </c>
      <c r="L4" s="76">
        <v>65</v>
      </c>
      <c r="M4" s="77">
        <v>300</v>
      </c>
      <c r="N4" s="77">
        <v>50</v>
      </c>
      <c r="O4" s="77">
        <v>300</v>
      </c>
      <c r="P4" s="77">
        <v>57.5</v>
      </c>
      <c r="Q4" s="77">
        <v>28</v>
      </c>
      <c r="R4" s="77">
        <v>57.5</v>
      </c>
      <c r="S4" s="78">
        <v>84</v>
      </c>
      <c r="T4" s="69">
        <v>15</v>
      </c>
      <c r="U4" s="63">
        <v>310</v>
      </c>
      <c r="V4" s="63">
        <v>120</v>
      </c>
      <c r="W4" s="63">
        <v>370</v>
      </c>
      <c r="X4" s="63">
        <v>409.5</v>
      </c>
    </row>
    <row r="5" spans="1:24" x14ac:dyDescent="0.3">
      <c r="A5" s="21">
        <v>1515</v>
      </c>
      <c r="B5" s="22">
        <v>1949.07</v>
      </c>
      <c r="C5" s="22">
        <v>1614.59</v>
      </c>
      <c r="D5" s="26">
        <v>4711.66</v>
      </c>
      <c r="E5" s="22"/>
      <c r="F5" s="22">
        <v>1265</v>
      </c>
      <c r="G5" s="22">
        <v>1495</v>
      </c>
      <c r="H5" s="37"/>
      <c r="I5" s="15">
        <v>5600.66</v>
      </c>
      <c r="K5" s="21">
        <v>2720</v>
      </c>
      <c r="L5" s="79"/>
      <c r="M5" s="80">
        <v>214</v>
      </c>
      <c r="N5" s="43"/>
      <c r="O5" s="43">
        <v>292</v>
      </c>
      <c r="P5" s="43">
        <v>2550</v>
      </c>
      <c r="Q5" s="80">
        <v>270</v>
      </c>
      <c r="R5" s="80">
        <v>480</v>
      </c>
      <c r="S5" s="43">
        <v>710</v>
      </c>
      <c r="T5" s="22"/>
      <c r="U5" s="22">
        <v>3510</v>
      </c>
      <c r="V5" s="22">
        <v>57.5</v>
      </c>
      <c r="W5" s="22">
        <v>2120</v>
      </c>
      <c r="X5" s="22">
        <v>65</v>
      </c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5660.8</v>
      </c>
      <c r="K6" s="21">
        <v>330</v>
      </c>
      <c r="L6" s="79"/>
      <c r="M6" s="81">
        <v>2690</v>
      </c>
      <c r="N6" s="43"/>
      <c r="O6" s="43">
        <v>2990</v>
      </c>
      <c r="P6" s="43">
        <v>230</v>
      </c>
      <c r="Q6" s="80">
        <v>470</v>
      </c>
      <c r="R6" s="81"/>
      <c r="S6" s="43"/>
      <c r="T6" s="22"/>
      <c r="U6" s="22">
        <v>434</v>
      </c>
      <c r="V6" s="22"/>
      <c r="W6" s="22">
        <v>286</v>
      </c>
      <c r="X6" s="22"/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380</v>
      </c>
      <c r="K7" s="21">
        <v>300</v>
      </c>
      <c r="L7" s="79"/>
      <c r="M7" s="43">
        <v>540</v>
      </c>
      <c r="N7" s="43"/>
      <c r="O7" s="43">
        <v>420</v>
      </c>
      <c r="P7" s="43">
        <v>2700</v>
      </c>
      <c r="Q7" s="43">
        <v>2160</v>
      </c>
      <c r="R7" s="43"/>
      <c r="S7" s="43"/>
      <c r="T7" s="22"/>
      <c r="U7" s="22">
        <v>270</v>
      </c>
      <c r="V7" s="22"/>
      <c r="W7" s="22">
        <v>270</v>
      </c>
      <c r="X7" s="22"/>
    </row>
    <row r="8" spans="1:24" ht="15" thickBot="1" x14ac:dyDescent="0.35">
      <c r="A8" s="21"/>
      <c r="B8" s="22"/>
      <c r="C8" s="22"/>
      <c r="D8" s="22"/>
      <c r="E8" s="22"/>
      <c r="F8" s="22"/>
      <c r="G8" s="22"/>
      <c r="I8" s="131">
        <v>244.46</v>
      </c>
      <c r="K8" s="128"/>
      <c r="L8" s="79"/>
      <c r="M8" s="43"/>
      <c r="N8" s="43"/>
      <c r="O8" s="43"/>
      <c r="P8" s="43"/>
      <c r="Q8" s="43">
        <v>600</v>
      </c>
      <c r="R8" s="43"/>
      <c r="S8" s="43"/>
      <c r="T8" s="22"/>
      <c r="U8" s="22"/>
      <c r="V8" s="22"/>
      <c r="W8" s="22"/>
      <c r="X8" s="22"/>
    </row>
    <row r="9" spans="1:24" ht="15.6" thickTop="1" thickBot="1" x14ac:dyDescent="0.35">
      <c r="A9" s="21"/>
      <c r="B9" s="22"/>
      <c r="C9" s="22"/>
      <c r="D9" s="22"/>
      <c r="E9" s="22"/>
      <c r="F9" s="22"/>
      <c r="G9" s="22"/>
      <c r="H9" s="37"/>
      <c r="I9" s="132">
        <f>SUM(I3:I8)</f>
        <v>20543.419999999998</v>
      </c>
      <c r="K9" s="21"/>
      <c r="L9" s="79"/>
      <c r="M9" s="43"/>
      <c r="N9" s="43"/>
      <c r="O9" s="43"/>
      <c r="P9" s="43"/>
      <c r="Q9" s="43"/>
      <c r="R9" s="43"/>
      <c r="S9" s="43"/>
      <c r="T9" s="22"/>
      <c r="U9" s="22"/>
      <c r="V9" s="22"/>
      <c r="W9" s="22"/>
      <c r="X9" s="22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22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3">
      <c r="A11" s="21"/>
      <c r="B11" s="22"/>
      <c r="C11" s="22"/>
      <c r="D11" s="22"/>
      <c r="E11" s="22"/>
      <c r="F11" s="22"/>
      <c r="G11" s="22"/>
      <c r="H11" s="22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3">
      <c r="A12" s="21"/>
      <c r="B12" s="22"/>
      <c r="C12" s="22"/>
      <c r="D12" s="22"/>
      <c r="E12" s="22"/>
      <c r="F12" s="22"/>
      <c r="G12" s="22"/>
      <c r="H12" s="22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3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3">
      <c r="A15" s="21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3">
      <c r="A17" s="24">
        <f>SUM(A3:A16)</f>
        <v>6529.07</v>
      </c>
      <c r="B17" s="24">
        <f t="shared" ref="B17:G17" si="0">SUM(B3:B16)</f>
        <v>5214.07</v>
      </c>
      <c r="C17" s="24">
        <f t="shared" si="0"/>
        <v>5729.59</v>
      </c>
      <c r="D17" s="24">
        <f t="shared" si="0"/>
        <v>8091.66</v>
      </c>
      <c r="E17" s="24">
        <f t="shared" si="0"/>
        <v>495</v>
      </c>
      <c r="F17" s="24">
        <f t="shared" si="0"/>
        <v>6379.09</v>
      </c>
      <c r="G17" s="24">
        <f t="shared" si="0"/>
        <v>6399.63</v>
      </c>
      <c r="H17" s="29">
        <f>SUM(A17:G17)+I9</f>
        <v>59381.53</v>
      </c>
      <c r="I17" s="30" t="s">
        <v>7</v>
      </c>
      <c r="K17" s="24">
        <f>SUM(K4:K16)</f>
        <v>4010</v>
      </c>
      <c r="L17" s="24">
        <f t="shared" ref="L17:X17" si="1">SUM(L4:L16)</f>
        <v>65</v>
      </c>
      <c r="M17" s="24">
        <f t="shared" si="1"/>
        <v>3744</v>
      </c>
      <c r="N17" s="24">
        <f t="shared" si="1"/>
        <v>50</v>
      </c>
      <c r="O17" s="24">
        <f t="shared" si="1"/>
        <v>4002</v>
      </c>
      <c r="P17" s="24">
        <f t="shared" si="1"/>
        <v>5537.5</v>
      </c>
      <c r="Q17" s="24">
        <f t="shared" si="1"/>
        <v>3528</v>
      </c>
      <c r="R17" s="24">
        <f t="shared" si="1"/>
        <v>537.5</v>
      </c>
      <c r="S17" s="24">
        <f t="shared" si="1"/>
        <v>794</v>
      </c>
      <c r="T17" s="24">
        <f t="shared" si="1"/>
        <v>15</v>
      </c>
      <c r="U17" s="24">
        <f t="shared" si="1"/>
        <v>4524</v>
      </c>
      <c r="V17" s="24">
        <f t="shared" si="1"/>
        <v>177.5</v>
      </c>
      <c r="W17" s="24">
        <f t="shared" si="1"/>
        <v>3046</v>
      </c>
      <c r="X17" s="24">
        <f t="shared" si="1"/>
        <v>474.5</v>
      </c>
    </row>
    <row r="18" spans="1:24" x14ac:dyDescent="0.3">
      <c r="A18" s="24">
        <v>6529.07</v>
      </c>
      <c r="B18" s="24">
        <v>5214.07</v>
      </c>
      <c r="C18" s="24">
        <v>5729.59</v>
      </c>
      <c r="D18" s="24">
        <v>8091.66</v>
      </c>
      <c r="E18" s="24">
        <v>495</v>
      </c>
      <c r="F18" s="24">
        <v>6379.09</v>
      </c>
      <c r="G18" s="24">
        <v>6399.63</v>
      </c>
      <c r="H18" s="24">
        <f t="shared" ref="H18" si="2">SUM(H4:H17)</f>
        <v>59381.53</v>
      </c>
      <c r="I18" s="33" t="s">
        <v>1</v>
      </c>
      <c r="K18" s="24">
        <v>4010</v>
      </c>
      <c r="L18" s="24">
        <v>65</v>
      </c>
      <c r="M18" s="24">
        <v>3744</v>
      </c>
      <c r="N18" s="24">
        <v>50</v>
      </c>
      <c r="O18" s="24">
        <v>4002</v>
      </c>
      <c r="P18" s="24">
        <v>5537.5</v>
      </c>
      <c r="Q18" s="24">
        <v>3528</v>
      </c>
      <c r="R18" s="24">
        <v>537.5</v>
      </c>
      <c r="S18" s="24">
        <v>794</v>
      </c>
      <c r="T18" s="24">
        <v>8</v>
      </c>
      <c r="U18" s="24">
        <v>4524</v>
      </c>
      <c r="V18" s="24">
        <v>177.5</v>
      </c>
      <c r="W18" s="24">
        <v>3046</v>
      </c>
      <c r="X18" s="24">
        <v>474.5</v>
      </c>
    </row>
    <row r="19" spans="1:24" ht="15" thickBot="1" x14ac:dyDescent="0.35">
      <c r="A19" s="35">
        <f t="shared" ref="A19:H19" si="3">A17-A18</f>
        <v>0</v>
      </c>
      <c r="B19" s="35">
        <f t="shared" si="3"/>
        <v>0</v>
      </c>
      <c r="C19" s="35">
        <f t="shared" si="3"/>
        <v>0</v>
      </c>
      <c r="D19" s="35">
        <f t="shared" si="3"/>
        <v>0</v>
      </c>
      <c r="E19" s="35">
        <f t="shared" si="3"/>
        <v>0</v>
      </c>
      <c r="F19" s="35">
        <f t="shared" si="3"/>
        <v>0</v>
      </c>
      <c r="G19" s="35">
        <f t="shared" si="3"/>
        <v>0</v>
      </c>
      <c r="H19" s="35">
        <f t="shared" si="3"/>
        <v>0</v>
      </c>
      <c r="I19" s="16">
        <f>SUM(I13:I18)</f>
        <v>0</v>
      </c>
      <c r="K19" s="86">
        <f>K17-K18</f>
        <v>0</v>
      </c>
      <c r="L19" s="86">
        <f>L17-L18</f>
        <v>0</v>
      </c>
      <c r="M19" s="86">
        <f t="shared" ref="M19:W19" si="4">M17-M18</f>
        <v>0</v>
      </c>
      <c r="N19" s="86">
        <f t="shared" si="4"/>
        <v>0</v>
      </c>
      <c r="O19" s="86">
        <f t="shared" si="4"/>
        <v>0</v>
      </c>
      <c r="P19" s="86">
        <f t="shared" si="4"/>
        <v>0</v>
      </c>
      <c r="Q19" s="86">
        <f t="shared" si="4"/>
        <v>0</v>
      </c>
      <c r="R19" s="86">
        <f t="shared" si="4"/>
        <v>0</v>
      </c>
      <c r="S19" s="86">
        <f t="shared" si="4"/>
        <v>0</v>
      </c>
      <c r="T19" s="86">
        <f t="shared" si="4"/>
        <v>7</v>
      </c>
      <c r="U19" s="86">
        <f t="shared" si="4"/>
        <v>0</v>
      </c>
      <c r="V19" s="86">
        <f t="shared" si="4"/>
        <v>0</v>
      </c>
      <c r="W19" s="86">
        <f t="shared" si="4"/>
        <v>0</v>
      </c>
      <c r="X19" s="86">
        <f>X17-X18</f>
        <v>0</v>
      </c>
    </row>
    <row r="20" spans="1:24" ht="15.6" thickTop="1" thickBot="1" x14ac:dyDescent="0.35"/>
    <row r="21" spans="1:24" x14ac:dyDescent="0.3">
      <c r="A21" s="17">
        <v>45637</v>
      </c>
      <c r="B21" s="17">
        <v>45638</v>
      </c>
      <c r="C21" s="17">
        <v>45639</v>
      </c>
      <c r="D21" s="17">
        <v>45640</v>
      </c>
      <c r="E21" s="17">
        <v>45641</v>
      </c>
      <c r="F21" s="17">
        <v>45642</v>
      </c>
      <c r="G21" s="17">
        <v>45643</v>
      </c>
      <c r="H21" s="17"/>
      <c r="I21" s="13" t="s">
        <v>8</v>
      </c>
      <c r="K21" s="59">
        <v>45637</v>
      </c>
      <c r="L21" s="59"/>
      <c r="M21" s="59">
        <v>45638</v>
      </c>
      <c r="N21" s="59"/>
      <c r="O21" s="59">
        <v>45639</v>
      </c>
      <c r="P21" s="59"/>
      <c r="Q21" s="59">
        <v>45640</v>
      </c>
      <c r="R21" s="59"/>
      <c r="S21" s="59">
        <v>45641</v>
      </c>
      <c r="T21" s="59"/>
      <c r="U21" s="59">
        <v>45642</v>
      </c>
      <c r="V21" s="59"/>
      <c r="W21" s="59">
        <v>45643</v>
      </c>
      <c r="X21" s="59"/>
    </row>
    <row r="22" spans="1:24" ht="15" thickBot="1" x14ac:dyDescent="0.35">
      <c r="A22" s="22">
        <v>1480</v>
      </c>
      <c r="B22" s="22">
        <v>2039.09</v>
      </c>
      <c r="C22" s="22">
        <v>1250</v>
      </c>
      <c r="D22" s="22">
        <v>795</v>
      </c>
      <c r="E22" s="22">
        <v>635</v>
      </c>
      <c r="F22" s="22">
        <v>3300</v>
      </c>
      <c r="G22" s="22">
        <v>1495</v>
      </c>
      <c r="H22" s="37"/>
      <c r="I22" s="15">
        <v>6400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26" t="s">
        <v>11</v>
      </c>
    </row>
    <row r="23" spans="1:24" x14ac:dyDescent="0.3">
      <c r="A23" s="22">
        <v>3665</v>
      </c>
      <c r="B23" s="22">
        <v>2675</v>
      </c>
      <c r="C23" s="22">
        <v>3205</v>
      </c>
      <c r="D23" s="22">
        <v>1285</v>
      </c>
      <c r="E23" s="25"/>
      <c r="F23" s="22">
        <v>1340</v>
      </c>
      <c r="G23" s="22">
        <v>2170</v>
      </c>
      <c r="H23" s="37"/>
      <c r="I23" s="15">
        <v>2720</v>
      </c>
      <c r="K23" s="75">
        <v>28</v>
      </c>
      <c r="L23" s="76">
        <v>72.5</v>
      </c>
      <c r="M23" s="77">
        <v>420</v>
      </c>
      <c r="N23" s="77">
        <v>42.5</v>
      </c>
      <c r="O23" s="77">
        <v>210</v>
      </c>
      <c r="P23" s="77">
        <v>105</v>
      </c>
      <c r="Q23" s="77">
        <v>720</v>
      </c>
      <c r="R23" s="77">
        <v>37.5</v>
      </c>
      <c r="S23" s="78">
        <v>530</v>
      </c>
      <c r="T23" s="69">
        <v>15</v>
      </c>
      <c r="U23" s="63">
        <v>2970</v>
      </c>
      <c r="V23" s="63">
        <v>67.5</v>
      </c>
      <c r="W23" s="63">
        <v>330</v>
      </c>
      <c r="X23" s="63">
        <v>461</v>
      </c>
    </row>
    <row r="24" spans="1:24" x14ac:dyDescent="0.3">
      <c r="A24" s="22">
        <v>2039.09</v>
      </c>
      <c r="B24" s="22">
        <v>1435</v>
      </c>
      <c r="C24" s="22">
        <v>1794.63</v>
      </c>
      <c r="D24" s="26">
        <v>5136.8500000000004</v>
      </c>
      <c r="E24" s="22"/>
      <c r="F24" s="22"/>
      <c r="G24" s="22">
        <v>1794.63</v>
      </c>
      <c r="H24" s="37"/>
      <c r="I24" s="15">
        <v>5935.14</v>
      </c>
      <c r="K24" s="21">
        <v>360</v>
      </c>
      <c r="L24" s="79">
        <v>120</v>
      </c>
      <c r="M24" s="80">
        <v>2190</v>
      </c>
      <c r="N24" s="43">
        <v>539.9</v>
      </c>
      <c r="O24" s="43">
        <v>440</v>
      </c>
      <c r="P24" s="43">
        <v>60</v>
      </c>
      <c r="Q24" s="80">
        <v>26</v>
      </c>
      <c r="R24" s="80"/>
      <c r="S24" s="43">
        <v>84</v>
      </c>
      <c r="T24" s="22"/>
      <c r="U24" s="22">
        <v>376</v>
      </c>
      <c r="V24" s="22"/>
      <c r="W24" s="22">
        <v>260</v>
      </c>
      <c r="X24" s="22">
        <v>459.9</v>
      </c>
    </row>
    <row r="25" spans="1:24" x14ac:dyDescent="0.3">
      <c r="A25" s="21"/>
      <c r="B25" s="22"/>
      <c r="C25" s="22"/>
      <c r="D25" s="25"/>
      <c r="E25" s="22"/>
      <c r="F25" s="22"/>
      <c r="G25" s="22"/>
      <c r="H25" s="37"/>
      <c r="I25" s="15">
        <v>5377.76</v>
      </c>
      <c r="K25" s="21">
        <v>498</v>
      </c>
      <c r="L25" s="79"/>
      <c r="M25" s="81">
        <v>214</v>
      </c>
      <c r="N25" s="43"/>
      <c r="O25" s="43">
        <v>3480</v>
      </c>
      <c r="P25" s="43"/>
      <c r="Q25" s="80">
        <v>1190</v>
      </c>
      <c r="R25" s="81"/>
      <c r="S25" s="43"/>
      <c r="T25" s="22"/>
      <c r="U25" s="22">
        <v>300</v>
      </c>
      <c r="V25" s="22"/>
      <c r="W25" s="22">
        <v>2650</v>
      </c>
      <c r="X25" s="22">
        <v>1860</v>
      </c>
    </row>
    <row r="26" spans="1:24" x14ac:dyDescent="0.3">
      <c r="A26" s="21"/>
      <c r="B26" s="22"/>
      <c r="C26" s="22"/>
      <c r="D26" s="22"/>
      <c r="E26" s="22"/>
      <c r="F26" s="22"/>
      <c r="G26" s="22"/>
      <c r="H26" s="37"/>
      <c r="I26" s="15">
        <v>1614.59</v>
      </c>
      <c r="K26" s="21">
        <v>3300</v>
      </c>
      <c r="L26" s="79"/>
      <c r="M26" s="43">
        <v>270</v>
      </c>
      <c r="N26" s="43"/>
      <c r="O26" s="43">
        <v>660</v>
      </c>
      <c r="P26" s="43"/>
      <c r="Q26" s="43">
        <v>196</v>
      </c>
      <c r="R26" s="43"/>
      <c r="S26" s="43"/>
      <c r="T26" s="22"/>
      <c r="U26" s="22"/>
      <c r="V26" s="22"/>
      <c r="W26" s="22">
        <v>460</v>
      </c>
      <c r="X26" s="22"/>
    </row>
    <row r="27" spans="1:24" ht="15" thickBot="1" x14ac:dyDescent="0.35">
      <c r="A27" s="21"/>
      <c r="B27" s="22"/>
      <c r="C27" s="22"/>
      <c r="D27" s="22"/>
      <c r="E27" s="22"/>
      <c r="F27" s="22"/>
      <c r="G27" s="22"/>
      <c r="I27" s="131"/>
      <c r="K27" s="128">
        <v>300</v>
      </c>
      <c r="L27" s="79"/>
      <c r="M27" s="43"/>
      <c r="N27" s="43"/>
      <c r="O27" s="43"/>
      <c r="P27" s="43"/>
      <c r="Q27" s="43">
        <v>270</v>
      </c>
      <c r="R27" s="43"/>
      <c r="S27" s="43"/>
      <c r="T27" s="22"/>
      <c r="U27" s="22"/>
      <c r="V27" s="22"/>
      <c r="W27" s="22"/>
      <c r="X27" s="22"/>
    </row>
    <row r="28" spans="1:24" ht="15.6" thickTop="1" thickBot="1" x14ac:dyDescent="0.35">
      <c r="A28" s="21"/>
      <c r="B28" s="22"/>
      <c r="C28" s="22"/>
      <c r="D28" s="22"/>
      <c r="E28" s="22"/>
      <c r="F28" s="22"/>
      <c r="G28" s="22"/>
      <c r="H28" s="37"/>
      <c r="I28" s="132">
        <f>SUM(I22:I27)</f>
        <v>22047.49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22"/>
    </row>
    <row r="29" spans="1:24" ht="15" thickTop="1" x14ac:dyDescent="0.3">
      <c r="A29" s="21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21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21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21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3">
      <c r="A35" s="24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3">
      <c r="A36" s="24">
        <f>SUM(A22:A35)</f>
        <v>7184.09</v>
      </c>
      <c r="B36" s="24">
        <f>SUM(B22:B35)</f>
        <v>6149.09</v>
      </c>
      <c r="C36" s="24">
        <f t="shared" ref="C36:G36" si="5">SUM(C22:C35)</f>
        <v>6249.63</v>
      </c>
      <c r="D36" s="24">
        <f t="shared" si="5"/>
        <v>7216.85</v>
      </c>
      <c r="E36" s="24">
        <f t="shared" si="5"/>
        <v>635</v>
      </c>
      <c r="F36" s="24">
        <f t="shared" si="5"/>
        <v>4640</v>
      </c>
      <c r="G36" s="24">
        <f t="shared" si="5"/>
        <v>5459.63</v>
      </c>
      <c r="H36" s="29">
        <f>SUM(A36:G36)+I28</f>
        <v>59581.78</v>
      </c>
      <c r="I36" s="30" t="s">
        <v>7</v>
      </c>
      <c r="K36" s="24">
        <f>SUM(K23:K35)</f>
        <v>4486</v>
      </c>
      <c r="L36" s="24">
        <f t="shared" ref="L36:X36" si="6">SUM(L23:L35)</f>
        <v>192.5</v>
      </c>
      <c r="M36" s="24">
        <f t="shared" si="6"/>
        <v>3094</v>
      </c>
      <c r="N36" s="24">
        <f t="shared" si="6"/>
        <v>582.4</v>
      </c>
      <c r="O36" s="24">
        <f t="shared" si="6"/>
        <v>4790</v>
      </c>
      <c r="P36" s="24">
        <f t="shared" si="6"/>
        <v>165</v>
      </c>
      <c r="Q36" s="24">
        <f t="shared" si="6"/>
        <v>2402</v>
      </c>
      <c r="R36" s="24">
        <f t="shared" si="6"/>
        <v>37.5</v>
      </c>
      <c r="S36" s="24">
        <f t="shared" si="6"/>
        <v>614</v>
      </c>
      <c r="T36" s="24">
        <f t="shared" si="6"/>
        <v>15</v>
      </c>
      <c r="U36" s="24">
        <f t="shared" si="6"/>
        <v>3646</v>
      </c>
      <c r="V36" s="24">
        <f t="shared" si="6"/>
        <v>67.5</v>
      </c>
      <c r="W36" s="24">
        <f t="shared" si="6"/>
        <v>3700</v>
      </c>
      <c r="X36" s="24">
        <f t="shared" si="6"/>
        <v>2780.9</v>
      </c>
    </row>
    <row r="37" spans="1:24" x14ac:dyDescent="0.3">
      <c r="A37" s="24">
        <v>7184.09</v>
      </c>
      <c r="B37" s="24">
        <v>6149.09</v>
      </c>
      <c r="C37" s="24">
        <v>6249.63</v>
      </c>
      <c r="D37" s="24">
        <v>7216.85</v>
      </c>
      <c r="E37" s="24">
        <v>635</v>
      </c>
      <c r="F37" s="24">
        <v>4640</v>
      </c>
      <c r="G37" s="24">
        <v>5459.63</v>
      </c>
      <c r="H37" s="24">
        <f t="shared" ref="H37" si="7">SUM(H23:H36)</f>
        <v>59581.78</v>
      </c>
      <c r="I37" s="33" t="s">
        <v>1</v>
      </c>
      <c r="K37" s="24">
        <v>4486</v>
      </c>
      <c r="L37" s="24">
        <v>192.5</v>
      </c>
      <c r="M37" s="24">
        <v>3094</v>
      </c>
      <c r="N37" s="24">
        <v>582.4</v>
      </c>
      <c r="O37" s="24">
        <v>4790</v>
      </c>
      <c r="P37" s="24">
        <v>165</v>
      </c>
      <c r="Q37" s="24">
        <v>2402</v>
      </c>
      <c r="R37" s="24">
        <v>37.5</v>
      </c>
      <c r="S37" s="24">
        <v>614</v>
      </c>
      <c r="T37" s="24">
        <v>15</v>
      </c>
      <c r="U37" s="24">
        <v>3646</v>
      </c>
      <c r="V37" s="24">
        <v>67.5</v>
      </c>
      <c r="W37" s="24">
        <v>3700</v>
      </c>
      <c r="X37" s="24">
        <v>2780.9</v>
      </c>
    </row>
    <row r="38" spans="1:24" ht="15" thickBot="1" x14ac:dyDescent="0.35">
      <c r="A38" s="35">
        <f t="shared" ref="A38:H38" si="8">A36-A37</f>
        <v>0</v>
      </c>
      <c r="B38" s="35">
        <f t="shared" si="8"/>
        <v>0</v>
      </c>
      <c r="C38" s="35">
        <f t="shared" si="8"/>
        <v>0</v>
      </c>
      <c r="D38" s="35">
        <f t="shared" si="8"/>
        <v>0</v>
      </c>
      <c r="E38" s="35">
        <f t="shared" si="8"/>
        <v>0</v>
      </c>
      <c r="F38" s="35">
        <f t="shared" si="8"/>
        <v>0</v>
      </c>
      <c r="G38" s="35">
        <f t="shared" si="8"/>
        <v>0</v>
      </c>
      <c r="H38" s="35">
        <f t="shared" si="8"/>
        <v>0</v>
      </c>
      <c r="I38" s="16">
        <f>SUM(I32:I37)</f>
        <v>0</v>
      </c>
      <c r="K38" s="86">
        <f>K36-K37</f>
        <v>0</v>
      </c>
      <c r="L38" s="86">
        <f>L36-L37</f>
        <v>0</v>
      </c>
      <c r="M38" s="86">
        <f t="shared" ref="M38:W38" si="9">M36-M37</f>
        <v>0</v>
      </c>
      <c r="N38" s="86">
        <f t="shared" si="9"/>
        <v>0</v>
      </c>
      <c r="O38" s="86">
        <f t="shared" si="9"/>
        <v>0</v>
      </c>
      <c r="P38" s="86">
        <f t="shared" si="9"/>
        <v>0</v>
      </c>
      <c r="Q38" s="86">
        <f t="shared" si="9"/>
        <v>0</v>
      </c>
      <c r="R38" s="86">
        <f t="shared" si="9"/>
        <v>0</v>
      </c>
      <c r="S38" s="86">
        <f t="shared" si="9"/>
        <v>0</v>
      </c>
      <c r="T38" s="86">
        <f t="shared" si="9"/>
        <v>0</v>
      </c>
      <c r="U38" s="86">
        <f t="shared" si="9"/>
        <v>0</v>
      </c>
      <c r="V38" s="86">
        <f t="shared" si="9"/>
        <v>0</v>
      </c>
      <c r="W38" s="86">
        <f t="shared" si="9"/>
        <v>0</v>
      </c>
      <c r="X38" s="86">
        <f>X36-X37</f>
        <v>0</v>
      </c>
    </row>
    <row r="39" spans="1:24" ht="15" thickTop="1" x14ac:dyDescent="0.3"/>
    <row r="40" spans="1:24" ht="15" thickBot="1" x14ac:dyDescent="0.35"/>
    <row r="41" spans="1:24" x14ac:dyDescent="0.3">
      <c r="A41" s="17">
        <v>45644</v>
      </c>
      <c r="B41" s="17">
        <v>45645</v>
      </c>
      <c r="C41" s="17">
        <v>45646</v>
      </c>
      <c r="D41" s="17">
        <v>45647</v>
      </c>
      <c r="E41" s="17">
        <v>45648</v>
      </c>
      <c r="F41" s="17">
        <v>45649</v>
      </c>
      <c r="G41" s="17">
        <v>45650</v>
      </c>
      <c r="H41" s="17"/>
      <c r="I41" s="13" t="s">
        <v>8</v>
      </c>
      <c r="K41" s="59">
        <v>45644</v>
      </c>
      <c r="L41" s="59"/>
      <c r="M41" s="59">
        <v>45645</v>
      </c>
      <c r="N41" s="59"/>
      <c r="O41" s="59">
        <v>45646</v>
      </c>
      <c r="P41" s="59"/>
      <c r="Q41" s="59">
        <v>45647</v>
      </c>
      <c r="R41" s="59"/>
      <c r="S41" s="59">
        <v>45648</v>
      </c>
      <c r="T41" s="59"/>
      <c r="U41" s="59">
        <v>45649</v>
      </c>
      <c r="V41" s="59"/>
      <c r="W41" s="59">
        <v>45650</v>
      </c>
      <c r="X41" s="59"/>
    </row>
    <row r="42" spans="1:24" ht="15" thickBot="1" x14ac:dyDescent="0.35">
      <c r="A42" s="22">
        <v>1826.84</v>
      </c>
      <c r="B42" s="22">
        <v>1335</v>
      </c>
      <c r="C42" s="22">
        <v>1210</v>
      </c>
      <c r="D42" s="22">
        <v>975</v>
      </c>
      <c r="E42" s="22">
        <v>15</v>
      </c>
      <c r="F42" s="22">
        <v>1704.61</v>
      </c>
      <c r="G42" s="22"/>
      <c r="H42" s="37"/>
      <c r="I42" s="15">
        <v>244.46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26" t="s">
        <v>11</v>
      </c>
    </row>
    <row r="43" spans="1:24" x14ac:dyDescent="0.3">
      <c r="A43" s="22">
        <v>2795</v>
      </c>
      <c r="B43" s="22">
        <v>2635</v>
      </c>
      <c r="C43" s="22">
        <v>3125</v>
      </c>
      <c r="D43" s="22">
        <v>1585</v>
      </c>
      <c r="E43" s="25">
        <v>515</v>
      </c>
      <c r="F43" s="22">
        <v>3095</v>
      </c>
      <c r="G43" s="22"/>
      <c r="H43" s="37"/>
      <c r="I43" s="15">
        <v>4528.6400000000003</v>
      </c>
      <c r="K43" s="75">
        <v>600</v>
      </c>
      <c r="L43" s="76">
        <v>72.5</v>
      </c>
      <c r="M43" s="77">
        <v>188</v>
      </c>
      <c r="N43" s="77">
        <v>42.5</v>
      </c>
      <c r="O43" s="77">
        <v>28</v>
      </c>
      <c r="P43" s="77">
        <v>65</v>
      </c>
      <c r="Q43" s="77">
        <v>300</v>
      </c>
      <c r="R43" s="77">
        <v>257.5</v>
      </c>
      <c r="S43" s="78">
        <v>84</v>
      </c>
      <c r="T43" s="69">
        <v>15</v>
      </c>
      <c r="U43" s="63">
        <v>680</v>
      </c>
      <c r="V43" s="63">
        <v>409.5</v>
      </c>
      <c r="W43" s="63"/>
      <c r="X43" s="63"/>
    </row>
    <row r="44" spans="1:24" x14ac:dyDescent="0.3">
      <c r="A44" s="22">
        <v>1395</v>
      </c>
      <c r="B44" s="22">
        <v>1949.07</v>
      </c>
      <c r="C44" s="22">
        <v>1949.07</v>
      </c>
      <c r="D44" s="26">
        <v>4184.16</v>
      </c>
      <c r="E44" s="22"/>
      <c r="F44" s="22">
        <v>1040</v>
      </c>
      <c r="G44" s="22"/>
      <c r="H44" s="37"/>
      <c r="I44" s="15">
        <v>4924.1000000000004</v>
      </c>
      <c r="K44" s="21">
        <v>2990</v>
      </c>
      <c r="L44" s="79">
        <v>229</v>
      </c>
      <c r="M44" s="80">
        <v>270</v>
      </c>
      <c r="N44" s="43">
        <v>205</v>
      </c>
      <c r="O44" s="43">
        <v>240</v>
      </c>
      <c r="P44" s="43">
        <v>180</v>
      </c>
      <c r="Q44" s="80">
        <v>168</v>
      </c>
      <c r="R44" s="80"/>
      <c r="S44" s="43">
        <v>670</v>
      </c>
      <c r="T44" s="22"/>
      <c r="U44" s="22">
        <v>4580</v>
      </c>
      <c r="V44" s="22">
        <v>52.5</v>
      </c>
      <c r="W44" s="22"/>
      <c r="X44" s="22"/>
    </row>
    <row r="45" spans="1:24" x14ac:dyDescent="0.3">
      <c r="A45" s="21"/>
      <c r="B45" s="22"/>
      <c r="C45" s="22"/>
      <c r="D45" s="25"/>
      <c r="E45" s="22"/>
      <c r="F45" s="22"/>
      <c r="G45" s="22"/>
      <c r="H45" s="37"/>
      <c r="I45" s="15">
        <v>4800</v>
      </c>
      <c r="K45" s="21">
        <v>294</v>
      </c>
      <c r="L45" s="79"/>
      <c r="M45" s="81">
        <v>2360</v>
      </c>
      <c r="N45" s="43"/>
      <c r="O45" s="43">
        <v>416</v>
      </c>
      <c r="P45" s="43"/>
      <c r="Q45" s="80">
        <v>1660</v>
      </c>
      <c r="R45" s="81"/>
      <c r="S45" s="43"/>
      <c r="T45" s="22"/>
      <c r="U45" s="22">
        <v>324</v>
      </c>
      <c r="V45" s="22">
        <v>22</v>
      </c>
      <c r="W45" s="22"/>
      <c r="X45" s="22"/>
    </row>
    <row r="46" spans="1:24" x14ac:dyDescent="0.3">
      <c r="A46" s="21"/>
      <c r="B46" s="22"/>
      <c r="C46" s="22"/>
      <c r="D46" s="22"/>
      <c r="E46" s="22"/>
      <c r="F46" s="22"/>
      <c r="G46" s="22"/>
      <c r="H46" s="37"/>
      <c r="I46" s="15">
        <v>1850</v>
      </c>
      <c r="K46" s="21">
        <v>420</v>
      </c>
      <c r="L46" s="79"/>
      <c r="M46" s="43">
        <v>580</v>
      </c>
      <c r="N46" s="43"/>
      <c r="O46" s="43">
        <v>3360</v>
      </c>
      <c r="P46" s="43"/>
      <c r="Q46" s="43">
        <v>840</v>
      </c>
      <c r="R46" s="43"/>
      <c r="S46" s="43"/>
      <c r="T46" s="22"/>
      <c r="U46" s="22">
        <v>210</v>
      </c>
      <c r="V46" s="22"/>
      <c r="W46" s="22"/>
      <c r="X46" s="22"/>
    </row>
    <row r="47" spans="1:24" ht="15" thickBot="1" x14ac:dyDescent="0.35">
      <c r="A47" s="21"/>
      <c r="B47" s="22"/>
      <c r="C47" s="22"/>
      <c r="D47" s="22"/>
      <c r="E47" s="22"/>
      <c r="F47" s="22"/>
      <c r="G47" s="22"/>
      <c r="I47" s="131"/>
      <c r="K47" s="128"/>
      <c r="L47" s="79"/>
      <c r="M47" s="43"/>
      <c r="N47" s="43"/>
      <c r="O47" s="43">
        <v>440</v>
      </c>
      <c r="P47" s="43"/>
      <c r="Q47" s="43"/>
      <c r="R47" s="43"/>
      <c r="S47" s="43"/>
      <c r="T47" s="22"/>
      <c r="U47" s="22"/>
      <c r="V47" s="22"/>
      <c r="W47" s="22"/>
      <c r="X47" s="22"/>
    </row>
    <row r="48" spans="1:24" ht="15.6" thickTop="1" thickBot="1" x14ac:dyDescent="0.35">
      <c r="A48" s="21"/>
      <c r="B48" s="22"/>
      <c r="C48" s="22"/>
      <c r="D48" s="22"/>
      <c r="E48" s="22"/>
      <c r="F48" s="22"/>
      <c r="G48" s="22"/>
      <c r="H48" s="37"/>
      <c r="I48" s="132">
        <f>SUM(I42:I47)</f>
        <v>16347.2</v>
      </c>
      <c r="K48" s="21"/>
      <c r="L48" s="79"/>
      <c r="M48" s="43"/>
      <c r="N48" s="43"/>
      <c r="O48" s="43"/>
      <c r="P48" s="43"/>
      <c r="Q48" s="43"/>
      <c r="R48" s="43"/>
      <c r="S48" s="43"/>
      <c r="T48" s="22"/>
      <c r="U48" s="22"/>
      <c r="V48" s="22"/>
      <c r="W48" s="22"/>
      <c r="X48" s="22"/>
    </row>
    <row r="49" spans="1:24" ht="15" thickTop="1" x14ac:dyDescent="0.3">
      <c r="A49" s="21"/>
      <c r="B49" s="22"/>
      <c r="C49" s="22"/>
      <c r="D49" s="22"/>
      <c r="E49" s="22"/>
      <c r="F49" s="22"/>
      <c r="G49" s="22"/>
      <c r="H49" s="22"/>
      <c r="I49" s="40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3">
      <c r="A50" s="21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3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A54" s="21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A55" s="24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3">
      <c r="A56" s="24">
        <f>SUM(A42:A55)</f>
        <v>6016.84</v>
      </c>
      <c r="B56" s="24">
        <f>SUM(B42:B55)</f>
        <v>5919.07</v>
      </c>
      <c r="C56" s="24">
        <f t="shared" ref="C56:G56" si="10">SUM(C42:C55)</f>
        <v>6284.07</v>
      </c>
      <c r="D56" s="24">
        <f t="shared" si="10"/>
        <v>6744.16</v>
      </c>
      <c r="E56" s="24">
        <f t="shared" si="10"/>
        <v>530</v>
      </c>
      <c r="F56" s="24">
        <f t="shared" si="10"/>
        <v>5839.61</v>
      </c>
      <c r="G56" s="24">
        <f t="shared" si="10"/>
        <v>0</v>
      </c>
      <c r="H56" s="29">
        <f>SUM(A56:G56)+I48</f>
        <v>47680.95</v>
      </c>
      <c r="I56" s="30" t="s">
        <v>7</v>
      </c>
      <c r="K56" s="24">
        <f>SUM(K43:K55)</f>
        <v>4304</v>
      </c>
      <c r="L56" s="24">
        <f t="shared" ref="L56:X56" si="11">SUM(L43:L55)</f>
        <v>301.5</v>
      </c>
      <c r="M56" s="24">
        <f t="shared" si="11"/>
        <v>3398</v>
      </c>
      <c r="N56" s="24">
        <f t="shared" si="11"/>
        <v>247.5</v>
      </c>
      <c r="O56" s="24">
        <f t="shared" si="11"/>
        <v>4484</v>
      </c>
      <c r="P56" s="24">
        <f t="shared" si="11"/>
        <v>245</v>
      </c>
      <c r="Q56" s="24">
        <f t="shared" si="11"/>
        <v>2968</v>
      </c>
      <c r="R56" s="24">
        <f t="shared" si="11"/>
        <v>257.5</v>
      </c>
      <c r="S56" s="24">
        <f t="shared" si="11"/>
        <v>754</v>
      </c>
      <c r="T56" s="24">
        <f t="shared" si="11"/>
        <v>15</v>
      </c>
      <c r="U56" s="24">
        <f t="shared" si="11"/>
        <v>5794</v>
      </c>
      <c r="V56" s="24">
        <f t="shared" si="11"/>
        <v>484</v>
      </c>
      <c r="W56" s="24">
        <f t="shared" si="11"/>
        <v>0</v>
      </c>
      <c r="X56" s="24">
        <f t="shared" si="11"/>
        <v>0</v>
      </c>
    </row>
    <row r="57" spans="1:24" ht="15" thickBot="1" x14ac:dyDescent="0.35">
      <c r="A57" s="133">
        <v>6016.84</v>
      </c>
      <c r="B57" s="24">
        <v>5919.07</v>
      </c>
      <c r="C57" s="24">
        <v>6284.07</v>
      </c>
      <c r="D57" s="24">
        <v>6744.16</v>
      </c>
      <c r="E57" s="24">
        <v>530</v>
      </c>
      <c r="F57" s="24">
        <v>5839.61</v>
      </c>
      <c r="G57" s="24"/>
      <c r="H57" s="24">
        <f t="shared" ref="H57" si="12">SUM(H43:H56)</f>
        <v>47680.95</v>
      </c>
      <c r="I57" s="33" t="s">
        <v>1</v>
      </c>
      <c r="K57" s="24">
        <v>4304</v>
      </c>
      <c r="L57" s="24">
        <v>301.5</v>
      </c>
      <c r="M57" s="24">
        <v>3398</v>
      </c>
      <c r="N57" s="24">
        <v>247.5</v>
      </c>
      <c r="O57" s="24">
        <v>4484</v>
      </c>
      <c r="P57" s="24">
        <v>245</v>
      </c>
      <c r="Q57" s="24">
        <v>2968</v>
      </c>
      <c r="R57" s="24">
        <v>257.5</v>
      </c>
      <c r="S57" s="24">
        <v>754</v>
      </c>
      <c r="T57" s="24">
        <v>15</v>
      </c>
      <c r="U57" s="24">
        <v>5794</v>
      </c>
      <c r="V57" s="24">
        <v>484</v>
      </c>
      <c r="W57" s="24"/>
      <c r="X57" s="24"/>
    </row>
    <row r="58" spans="1:24" ht="15.6" thickTop="1" thickBot="1" x14ac:dyDescent="0.35">
      <c r="A58" s="138">
        <f t="shared" ref="A58:H58" si="13">A56-A57</f>
        <v>0</v>
      </c>
      <c r="B58" s="139">
        <f t="shared" si="13"/>
        <v>0</v>
      </c>
      <c r="C58" s="35">
        <f t="shared" si="13"/>
        <v>0</v>
      </c>
      <c r="D58" s="35">
        <f t="shared" si="13"/>
        <v>0</v>
      </c>
      <c r="E58" s="35">
        <f t="shared" si="13"/>
        <v>0</v>
      </c>
      <c r="F58" s="35">
        <f t="shared" si="13"/>
        <v>0</v>
      </c>
      <c r="G58" s="35">
        <f t="shared" si="13"/>
        <v>0</v>
      </c>
      <c r="H58" s="35">
        <f t="shared" si="13"/>
        <v>0</v>
      </c>
      <c r="I58" s="16">
        <f>SUM(I52:I57)</f>
        <v>0</v>
      </c>
      <c r="K58" s="34">
        <f t="shared" ref="K58:X58" si="14">K56-K57</f>
        <v>0</v>
      </c>
      <c r="L58" s="34">
        <f t="shared" si="14"/>
        <v>0</v>
      </c>
      <c r="M58" s="34">
        <f t="shared" si="14"/>
        <v>0</v>
      </c>
      <c r="N58" s="34">
        <f t="shared" si="14"/>
        <v>0</v>
      </c>
      <c r="O58" s="34">
        <f t="shared" si="14"/>
        <v>0</v>
      </c>
      <c r="P58" s="34">
        <f t="shared" si="14"/>
        <v>0</v>
      </c>
      <c r="Q58" s="34">
        <f t="shared" si="14"/>
        <v>0</v>
      </c>
      <c r="R58" s="34">
        <f t="shared" si="14"/>
        <v>0</v>
      </c>
      <c r="S58" s="34">
        <f t="shared" si="14"/>
        <v>0</v>
      </c>
      <c r="T58" s="34">
        <f t="shared" si="14"/>
        <v>0</v>
      </c>
      <c r="U58" s="34">
        <f t="shared" si="14"/>
        <v>0</v>
      </c>
      <c r="V58" s="34">
        <f t="shared" si="14"/>
        <v>0</v>
      </c>
      <c r="W58" s="34">
        <f t="shared" si="14"/>
        <v>0</v>
      </c>
      <c r="X58" s="34">
        <f t="shared" si="14"/>
        <v>0</v>
      </c>
    </row>
    <row r="59" spans="1:24" ht="15.6" thickTop="1" thickBot="1" x14ac:dyDescent="0.35">
      <c r="A59" s="137"/>
      <c r="B59" s="137"/>
      <c r="C59" s="137"/>
      <c r="D59" s="137"/>
      <c r="E59" s="137"/>
      <c r="F59" s="137"/>
      <c r="G59" s="137"/>
      <c r="H59" s="137"/>
      <c r="I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</row>
    <row r="60" spans="1:24" x14ac:dyDescent="0.3">
      <c r="A60" s="134">
        <v>45650</v>
      </c>
      <c r="B60" s="134">
        <v>45651</v>
      </c>
      <c r="C60" s="134">
        <v>45652</v>
      </c>
      <c r="D60" s="134">
        <v>45653</v>
      </c>
      <c r="E60" s="134">
        <v>45654</v>
      </c>
      <c r="F60" s="134">
        <v>45655</v>
      </c>
      <c r="G60" s="134">
        <v>45656</v>
      </c>
      <c r="H60" s="134"/>
      <c r="I60" s="135" t="s">
        <v>8</v>
      </c>
      <c r="K60" s="136">
        <v>45650</v>
      </c>
      <c r="L60" s="136"/>
      <c r="M60" s="136">
        <v>45651</v>
      </c>
      <c r="N60" s="136"/>
      <c r="O60" s="136">
        <v>45652</v>
      </c>
      <c r="P60" s="136"/>
      <c r="Q60" s="136">
        <v>45653</v>
      </c>
      <c r="R60" s="136"/>
      <c r="S60" s="136">
        <v>45654</v>
      </c>
      <c r="T60" s="136"/>
      <c r="U60" s="136">
        <v>45655</v>
      </c>
      <c r="V60" s="136"/>
      <c r="W60" s="136">
        <v>45656</v>
      </c>
      <c r="X60" s="136"/>
    </row>
    <row r="61" spans="1:24" ht="15" thickBot="1" x14ac:dyDescent="0.35">
      <c r="A61" s="22">
        <v>1520</v>
      </c>
      <c r="B61" s="22">
        <v>1090</v>
      </c>
      <c r="C61" s="22">
        <v>2215</v>
      </c>
      <c r="D61" s="22">
        <v>1415.14</v>
      </c>
      <c r="E61" s="22">
        <v>4326.3100000000004</v>
      </c>
      <c r="F61" s="22">
        <v>455</v>
      </c>
      <c r="G61" s="22">
        <v>965</v>
      </c>
      <c r="H61" s="37"/>
      <c r="I61" s="15">
        <v>6600</v>
      </c>
      <c r="K61" s="124" t="s">
        <v>10</v>
      </c>
      <c r="L61" s="125" t="s">
        <v>11</v>
      </c>
      <c r="M61" s="126" t="s">
        <v>10</v>
      </c>
      <c r="N61" s="126" t="s">
        <v>11</v>
      </c>
      <c r="O61" s="126" t="s">
        <v>10</v>
      </c>
      <c r="P61" s="126" t="s">
        <v>11</v>
      </c>
      <c r="Q61" s="126" t="s">
        <v>10</v>
      </c>
      <c r="R61" s="126" t="s">
        <v>11</v>
      </c>
      <c r="S61" s="126" t="s">
        <v>10</v>
      </c>
      <c r="T61" s="126" t="s">
        <v>11</v>
      </c>
      <c r="U61" s="126" t="s">
        <v>10</v>
      </c>
      <c r="V61" s="126" t="s">
        <v>11</v>
      </c>
      <c r="W61" s="126" t="s">
        <v>10</v>
      </c>
      <c r="X61" s="126" t="s">
        <v>11</v>
      </c>
    </row>
    <row r="62" spans="1:24" x14ac:dyDescent="0.3">
      <c r="A62" s="22">
        <v>2910</v>
      </c>
      <c r="B62" s="22">
        <v>1110</v>
      </c>
      <c r="C62" s="22">
        <v>1395</v>
      </c>
      <c r="D62" s="22">
        <v>3055</v>
      </c>
      <c r="E62" s="25">
        <v>2635</v>
      </c>
      <c r="F62" s="22">
        <v>330</v>
      </c>
      <c r="G62" s="22">
        <v>3025</v>
      </c>
      <c r="H62" s="37"/>
      <c r="I62" s="15">
        <v>6425.66</v>
      </c>
      <c r="K62" s="75">
        <v>210</v>
      </c>
      <c r="L62" s="76">
        <v>30</v>
      </c>
      <c r="M62" s="77">
        <v>3350</v>
      </c>
      <c r="N62" s="77">
        <v>180</v>
      </c>
      <c r="O62" s="77">
        <v>3950</v>
      </c>
      <c r="P62" s="77">
        <v>60</v>
      </c>
      <c r="Q62" s="77">
        <v>660</v>
      </c>
      <c r="R62" s="77">
        <v>60</v>
      </c>
      <c r="S62" s="78">
        <v>980</v>
      </c>
      <c r="T62" s="69">
        <v>960</v>
      </c>
      <c r="U62" s="63">
        <v>610</v>
      </c>
      <c r="V62" s="63"/>
      <c r="W62" s="63">
        <v>270</v>
      </c>
      <c r="X62" s="63">
        <v>15</v>
      </c>
    </row>
    <row r="63" spans="1:24" x14ac:dyDescent="0.3">
      <c r="A63" s="22">
        <v>1704.61</v>
      </c>
      <c r="B63" s="22"/>
      <c r="C63" s="22"/>
      <c r="D63" s="26">
        <v>940</v>
      </c>
      <c r="E63" s="22">
        <v>1170</v>
      </c>
      <c r="F63" s="22"/>
      <c r="G63" s="22">
        <v>1582.38</v>
      </c>
      <c r="H63" s="37"/>
      <c r="I63" s="15">
        <v>2142.5</v>
      </c>
      <c r="K63" s="21">
        <v>260</v>
      </c>
      <c r="L63" s="79">
        <v>65</v>
      </c>
      <c r="M63" s="80">
        <v>84</v>
      </c>
      <c r="N63" s="43">
        <v>90</v>
      </c>
      <c r="O63" s="43">
        <v>188</v>
      </c>
      <c r="P63" s="43">
        <v>75</v>
      </c>
      <c r="Q63" s="80">
        <v>4560</v>
      </c>
      <c r="R63" s="80">
        <v>77.5</v>
      </c>
      <c r="S63" s="43">
        <v>26</v>
      </c>
      <c r="T63" s="22">
        <v>57.5</v>
      </c>
      <c r="U63" s="22"/>
      <c r="V63" s="22"/>
      <c r="W63" s="22">
        <v>344</v>
      </c>
      <c r="X63" s="22">
        <v>20</v>
      </c>
    </row>
    <row r="64" spans="1:24" x14ac:dyDescent="0.3">
      <c r="A64" s="21"/>
      <c r="B64" s="22"/>
      <c r="C64" s="22"/>
      <c r="D64" s="25"/>
      <c r="E64" s="22"/>
      <c r="F64" s="22"/>
      <c r="G64" s="22"/>
      <c r="H64" s="37"/>
      <c r="I64" s="15">
        <v>2310</v>
      </c>
      <c r="K64" s="21">
        <v>3650</v>
      </c>
      <c r="L64" s="79">
        <v>1459</v>
      </c>
      <c r="M64" s="81">
        <v>410</v>
      </c>
      <c r="N64" s="43">
        <v>60</v>
      </c>
      <c r="O64" s="43">
        <v>150</v>
      </c>
      <c r="P64" s="43"/>
      <c r="Q64" s="80">
        <v>416</v>
      </c>
      <c r="R64" s="81"/>
      <c r="S64" s="43">
        <v>2130</v>
      </c>
      <c r="T64" s="22"/>
      <c r="U64" s="22"/>
      <c r="V64" s="22"/>
      <c r="W64" s="22">
        <v>4450</v>
      </c>
      <c r="X64" s="22">
        <v>60</v>
      </c>
    </row>
    <row r="65" spans="1:27" x14ac:dyDescent="0.3">
      <c r="A65" s="21"/>
      <c r="B65" s="22"/>
      <c r="C65" s="22"/>
      <c r="D65" s="22"/>
      <c r="E65" s="22"/>
      <c r="F65" s="22"/>
      <c r="G65" s="22"/>
      <c r="H65" s="37"/>
      <c r="I65" s="15">
        <v>1981.28</v>
      </c>
      <c r="K65" s="21">
        <v>440</v>
      </c>
      <c r="L65" s="79"/>
      <c r="M65" s="43"/>
      <c r="N65" s="43"/>
      <c r="O65" s="43"/>
      <c r="P65" s="43"/>
      <c r="Q65" s="43">
        <v>270</v>
      </c>
      <c r="R65" s="43"/>
      <c r="S65" s="43">
        <v>312</v>
      </c>
      <c r="T65" s="22"/>
      <c r="U65" s="22"/>
      <c r="V65" s="22"/>
      <c r="W65" s="22">
        <v>620</v>
      </c>
      <c r="X65" s="22">
        <v>565</v>
      </c>
    </row>
    <row r="66" spans="1:27" ht="15" thickBot="1" x14ac:dyDescent="0.35">
      <c r="A66" s="21"/>
      <c r="B66" s="22"/>
      <c r="C66" s="22"/>
      <c r="D66" s="22"/>
      <c r="E66" s="22"/>
      <c r="F66" s="22"/>
      <c r="G66" s="22"/>
      <c r="I66" s="131">
        <v>5660.8</v>
      </c>
      <c r="K66" s="128"/>
      <c r="L66" s="79"/>
      <c r="M66" s="43"/>
      <c r="N66" s="43"/>
      <c r="O66" s="43"/>
      <c r="P66" s="43"/>
      <c r="Q66" s="43"/>
      <c r="R66" s="43"/>
      <c r="S66" s="43">
        <v>230</v>
      </c>
      <c r="T66" s="22"/>
      <c r="U66" s="22"/>
      <c r="V66" s="22"/>
      <c r="W66" s="22"/>
      <c r="X66" s="22"/>
    </row>
    <row r="67" spans="1:27" ht="15.6" thickTop="1" thickBot="1" x14ac:dyDescent="0.35">
      <c r="A67" s="21"/>
      <c r="B67" s="22"/>
      <c r="C67" s="22"/>
      <c r="D67" s="22"/>
      <c r="E67" s="22"/>
      <c r="F67" s="22"/>
      <c r="G67" s="22"/>
      <c r="H67" s="37"/>
      <c r="I67" s="132">
        <f>SUM(I61:I66)</f>
        <v>25120.239999999998</v>
      </c>
      <c r="K67" s="21"/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/>
      <c r="X67" s="22"/>
    </row>
    <row r="68" spans="1:27" ht="15" thickTop="1" x14ac:dyDescent="0.3">
      <c r="A68" s="21"/>
      <c r="B68" s="22"/>
      <c r="C68" s="22"/>
      <c r="D68" s="22"/>
      <c r="E68" s="22"/>
      <c r="F68" s="22"/>
      <c r="G68" s="22"/>
      <c r="H68" s="22"/>
      <c r="I68" s="40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7" x14ac:dyDescent="0.3">
      <c r="A69" s="21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7" x14ac:dyDescent="0.3">
      <c r="A70" s="21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7" x14ac:dyDescent="0.3">
      <c r="A71" s="21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7" ht="15" thickBot="1" x14ac:dyDescent="0.35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35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7" ht="15" thickTop="1" x14ac:dyDescent="0.3">
      <c r="A73" s="21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63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7" x14ac:dyDescent="0.3">
      <c r="A74" s="24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7" x14ac:dyDescent="0.3">
      <c r="A75" s="24">
        <f>SUM(A61:A74)</f>
        <v>6134.61</v>
      </c>
      <c r="B75" s="24">
        <f t="shared" ref="B75:G75" si="15">SUM(B61:B74)</f>
        <v>2200</v>
      </c>
      <c r="C75" s="24">
        <f t="shared" si="15"/>
        <v>3610</v>
      </c>
      <c r="D75" s="24">
        <f t="shared" si="15"/>
        <v>5410.14</v>
      </c>
      <c r="E75" s="24">
        <f t="shared" si="15"/>
        <v>8131.31</v>
      </c>
      <c r="F75" s="24">
        <f>SUM(F61:F74)</f>
        <v>785</v>
      </c>
      <c r="G75" s="24">
        <f t="shared" si="15"/>
        <v>5572.38</v>
      </c>
      <c r="H75" s="29">
        <f>SUM(A75:G75)+I67</f>
        <v>56963.68</v>
      </c>
      <c r="I75" s="30" t="s">
        <v>7</v>
      </c>
      <c r="K75" s="24">
        <f>SUM(K62:K74)</f>
        <v>4560</v>
      </c>
      <c r="L75" s="24">
        <f t="shared" ref="L75:X76" si="16">SUM(L62:L74)</f>
        <v>1554</v>
      </c>
      <c r="M75" s="24">
        <f t="shared" si="16"/>
        <v>3844</v>
      </c>
      <c r="N75" s="24">
        <f t="shared" si="16"/>
        <v>330</v>
      </c>
      <c r="O75" s="24">
        <f t="shared" si="16"/>
        <v>4288</v>
      </c>
      <c r="P75" s="24">
        <f t="shared" si="16"/>
        <v>135</v>
      </c>
      <c r="Q75" s="24">
        <f t="shared" si="16"/>
        <v>5906</v>
      </c>
      <c r="R75" s="24">
        <f t="shared" si="16"/>
        <v>137.5</v>
      </c>
      <c r="S75" s="24">
        <f t="shared" si="16"/>
        <v>3678</v>
      </c>
      <c r="T75" s="24">
        <f t="shared" si="16"/>
        <v>1017.5</v>
      </c>
      <c r="U75" s="24">
        <f t="shared" si="16"/>
        <v>610</v>
      </c>
      <c r="V75" s="24">
        <f t="shared" si="16"/>
        <v>0</v>
      </c>
      <c r="W75" s="24">
        <f t="shared" si="16"/>
        <v>5684</v>
      </c>
      <c r="X75" s="24">
        <f t="shared" si="16"/>
        <v>660</v>
      </c>
    </row>
    <row r="76" spans="1:27" x14ac:dyDescent="0.3">
      <c r="A76" s="24">
        <v>6134.61</v>
      </c>
      <c r="B76" s="24">
        <v>2200</v>
      </c>
      <c r="C76" s="24">
        <v>3610</v>
      </c>
      <c r="D76" s="24">
        <v>5410.14</v>
      </c>
      <c r="E76" s="24">
        <v>8131.31</v>
      </c>
      <c r="F76" s="24">
        <v>785</v>
      </c>
      <c r="G76" s="24">
        <v>5572.38</v>
      </c>
      <c r="H76" s="24">
        <f t="shared" ref="H76" si="17">SUM(H62:H75)</f>
        <v>56963.68</v>
      </c>
      <c r="I76" s="33" t="s">
        <v>1</v>
      </c>
      <c r="K76" s="24">
        <v>4560</v>
      </c>
      <c r="L76" s="24">
        <v>1554</v>
      </c>
      <c r="M76" s="24">
        <v>3844</v>
      </c>
      <c r="N76" s="24">
        <v>330</v>
      </c>
      <c r="O76" s="24">
        <v>4288</v>
      </c>
      <c r="P76" s="24">
        <v>135</v>
      </c>
      <c r="Q76" s="24">
        <v>5906</v>
      </c>
      <c r="R76" s="24">
        <v>137.5</v>
      </c>
      <c r="S76" s="24">
        <v>3678</v>
      </c>
      <c r="T76" s="24">
        <v>1017.5</v>
      </c>
      <c r="U76" s="24">
        <f t="shared" si="16"/>
        <v>610</v>
      </c>
      <c r="V76" s="24">
        <v>0</v>
      </c>
      <c r="W76" s="24">
        <v>5684</v>
      </c>
      <c r="X76" s="24">
        <v>660</v>
      </c>
    </row>
    <row r="77" spans="1:27" ht="15" thickBot="1" x14ac:dyDescent="0.35">
      <c r="A77" s="35">
        <f t="shared" ref="A77:H77" si="18">A75-A76</f>
        <v>0</v>
      </c>
      <c r="B77" s="35">
        <f t="shared" si="18"/>
        <v>0</v>
      </c>
      <c r="C77" s="35">
        <f t="shared" si="18"/>
        <v>0</v>
      </c>
      <c r="D77" s="35">
        <f t="shared" si="18"/>
        <v>0</v>
      </c>
      <c r="E77" s="35">
        <f t="shared" si="18"/>
        <v>0</v>
      </c>
      <c r="F77" s="35">
        <f t="shared" si="18"/>
        <v>0</v>
      </c>
      <c r="G77" s="35">
        <f t="shared" si="18"/>
        <v>0</v>
      </c>
      <c r="H77" s="35">
        <f t="shared" si="18"/>
        <v>0</v>
      </c>
      <c r="I77" s="16">
        <f>SUM(I71:I76)</f>
        <v>0</v>
      </c>
      <c r="K77" s="86">
        <f>K75-K76</f>
        <v>0</v>
      </c>
      <c r="L77" s="86">
        <f>L75-L76</f>
        <v>0</v>
      </c>
      <c r="M77" s="86">
        <f t="shared" ref="M77:W77" si="19">M75-M76</f>
        <v>0</v>
      </c>
      <c r="N77" s="86">
        <f t="shared" si="19"/>
        <v>0</v>
      </c>
      <c r="O77" s="86">
        <f t="shared" si="19"/>
        <v>0</v>
      </c>
      <c r="P77" s="86">
        <f t="shared" si="19"/>
        <v>0</v>
      </c>
      <c r="Q77" s="86">
        <f t="shared" si="19"/>
        <v>0</v>
      </c>
      <c r="R77" s="86">
        <f t="shared" si="19"/>
        <v>0</v>
      </c>
      <c r="S77" s="86">
        <f t="shared" si="19"/>
        <v>0</v>
      </c>
      <c r="T77" s="86">
        <f t="shared" si="19"/>
        <v>0</v>
      </c>
      <c r="U77" s="86">
        <f t="shared" si="19"/>
        <v>0</v>
      </c>
      <c r="V77" s="86">
        <f t="shared" si="19"/>
        <v>0</v>
      </c>
      <c r="W77" s="86">
        <f t="shared" si="19"/>
        <v>0</v>
      </c>
      <c r="X77" s="86">
        <f>X75-X76</f>
        <v>0</v>
      </c>
    </row>
    <row r="78" spans="1:27" ht="15.6" thickTop="1" thickBot="1" x14ac:dyDescent="0.35"/>
    <row r="79" spans="1:27" x14ac:dyDescent="0.3">
      <c r="A79" s="17">
        <v>45657</v>
      </c>
      <c r="B79" s="17">
        <v>45658</v>
      </c>
      <c r="C79" s="17">
        <v>45659</v>
      </c>
      <c r="D79" s="17">
        <v>45660</v>
      </c>
      <c r="E79" s="17">
        <v>45661</v>
      </c>
      <c r="F79" s="17">
        <v>45662</v>
      </c>
      <c r="G79" s="17">
        <v>45663</v>
      </c>
      <c r="H79" s="17">
        <v>45664</v>
      </c>
      <c r="I79" s="17"/>
      <c r="J79" s="13" t="s">
        <v>8</v>
      </c>
      <c r="L79" s="59">
        <v>45657</v>
      </c>
      <c r="M79" s="59"/>
      <c r="N79" s="59">
        <v>45658</v>
      </c>
      <c r="O79" s="59"/>
      <c r="P79" s="59">
        <v>45659</v>
      </c>
      <c r="Q79" s="59"/>
      <c r="R79" s="59">
        <v>45660</v>
      </c>
      <c r="S79" s="59"/>
      <c r="T79" s="59" t="s">
        <v>52</v>
      </c>
      <c r="U79" s="59"/>
      <c r="V79" s="59">
        <v>45662</v>
      </c>
      <c r="W79" s="59"/>
      <c r="X79" s="59">
        <v>45663</v>
      </c>
      <c r="Y79" s="59"/>
      <c r="Z79" s="59">
        <v>45664</v>
      </c>
      <c r="AA79" s="59"/>
    </row>
    <row r="80" spans="1:27" ht="15" thickBot="1" x14ac:dyDescent="0.35">
      <c r="A80" s="22">
        <v>1010</v>
      </c>
      <c r="B80" s="22">
        <v>915</v>
      </c>
      <c r="C80" s="22">
        <v>1460.15</v>
      </c>
      <c r="D80" s="22">
        <v>1030</v>
      </c>
      <c r="E80" s="22">
        <v>4338.6000000000004</v>
      </c>
      <c r="F80" s="22">
        <v>500</v>
      </c>
      <c r="G80" s="22">
        <v>1794.63</v>
      </c>
      <c r="H80" s="22">
        <v>1672.4</v>
      </c>
      <c r="I80" s="37"/>
      <c r="J80" s="15">
        <v>6930.5</v>
      </c>
      <c r="L80" s="124" t="s">
        <v>10</v>
      </c>
      <c r="M80" s="125" t="s">
        <v>11</v>
      </c>
      <c r="N80" s="126" t="s">
        <v>10</v>
      </c>
      <c r="O80" s="126" t="s">
        <v>11</v>
      </c>
      <c r="P80" s="126" t="s">
        <v>10</v>
      </c>
      <c r="Q80" s="126" t="s">
        <v>11</v>
      </c>
      <c r="R80" s="126">
        <v>210</v>
      </c>
      <c r="S80" s="126" t="s">
        <v>11</v>
      </c>
      <c r="T80" s="126" t="s">
        <v>10</v>
      </c>
      <c r="U80" s="126" t="s">
        <v>11</v>
      </c>
      <c r="V80" s="126" t="s">
        <v>10</v>
      </c>
      <c r="W80" s="126" t="s">
        <v>11</v>
      </c>
      <c r="X80" s="126" t="s">
        <v>10</v>
      </c>
      <c r="Y80" s="126" t="s">
        <v>11</v>
      </c>
      <c r="Z80" s="124" t="s">
        <v>10</v>
      </c>
      <c r="AA80" s="125" t="s">
        <v>11</v>
      </c>
    </row>
    <row r="81" spans="1:27" x14ac:dyDescent="0.3">
      <c r="A81" s="22">
        <v>2225</v>
      </c>
      <c r="B81" s="22">
        <v>2145</v>
      </c>
      <c r="C81" s="22">
        <v>2300</v>
      </c>
      <c r="D81" s="22">
        <f>3360+120</f>
        <v>3480</v>
      </c>
      <c r="E81" s="25">
        <v>2400</v>
      </c>
      <c r="F81" s="22">
        <v>330</v>
      </c>
      <c r="G81" s="22">
        <v>2965</v>
      </c>
      <c r="H81" s="22">
        <v>2680</v>
      </c>
      <c r="I81" s="37"/>
      <c r="J81" s="15">
        <v>6509.92</v>
      </c>
      <c r="L81" s="75">
        <v>300</v>
      </c>
      <c r="M81" s="76">
        <v>60</v>
      </c>
      <c r="N81" s="77">
        <v>84</v>
      </c>
      <c r="O81" s="77">
        <v>65</v>
      </c>
      <c r="P81" s="77">
        <v>800</v>
      </c>
      <c r="Q81" s="77">
        <v>600</v>
      </c>
      <c r="R81" s="77">
        <v>210</v>
      </c>
      <c r="S81" s="77">
        <v>189.5</v>
      </c>
      <c r="T81" s="78">
        <v>28</v>
      </c>
      <c r="U81" s="69">
        <v>60</v>
      </c>
      <c r="V81" s="63">
        <v>610</v>
      </c>
      <c r="W81" s="63">
        <v>15</v>
      </c>
      <c r="X81" s="63">
        <v>460</v>
      </c>
      <c r="Y81" s="63">
        <v>180</v>
      </c>
      <c r="Z81" s="75">
        <v>740</v>
      </c>
      <c r="AA81" s="76">
        <v>57.5</v>
      </c>
    </row>
    <row r="82" spans="1:27" x14ac:dyDescent="0.3">
      <c r="A82" s="22">
        <v>1614.59</v>
      </c>
      <c r="B82" s="22"/>
      <c r="C82" s="22">
        <v>1350</v>
      </c>
      <c r="D82" s="26">
        <v>1582.38</v>
      </c>
      <c r="E82" s="22">
        <v>1255</v>
      </c>
      <c r="F82" s="22"/>
      <c r="G82" s="22">
        <v>1325</v>
      </c>
      <c r="H82" s="22">
        <v>1255</v>
      </c>
      <c r="I82" s="37"/>
      <c r="J82" s="15">
        <v>3300</v>
      </c>
      <c r="L82" s="21">
        <v>4020</v>
      </c>
      <c r="M82" s="79"/>
      <c r="N82" s="80">
        <v>390</v>
      </c>
      <c r="O82" s="43"/>
      <c r="P82" s="43">
        <v>3710</v>
      </c>
      <c r="Q82" s="43">
        <v>42.5</v>
      </c>
      <c r="R82" s="80">
        <v>416</v>
      </c>
      <c r="S82" s="80">
        <v>193.5</v>
      </c>
      <c r="T82" s="43">
        <v>210</v>
      </c>
      <c r="U82" s="22">
        <v>409.5</v>
      </c>
      <c r="V82" s="22">
        <v>84</v>
      </c>
      <c r="W82" s="22"/>
      <c r="X82" s="22">
        <v>4350</v>
      </c>
      <c r="Y82" s="22">
        <v>52.5</v>
      </c>
      <c r="Z82" s="21">
        <v>3850</v>
      </c>
      <c r="AA82" s="79"/>
    </row>
    <row r="83" spans="1:27" x14ac:dyDescent="0.3">
      <c r="A83" s="21"/>
      <c r="B83" s="22"/>
      <c r="C83" s="22"/>
      <c r="D83" s="25"/>
      <c r="E83" s="22"/>
      <c r="F83" s="22"/>
      <c r="G83" s="22"/>
      <c r="H83" s="21"/>
      <c r="I83" s="37"/>
      <c r="J83" s="15">
        <v>8400</v>
      </c>
      <c r="L83" s="21">
        <v>120</v>
      </c>
      <c r="M83" s="79"/>
      <c r="N83" s="81">
        <v>3570</v>
      </c>
      <c r="O83" s="43"/>
      <c r="P83" s="43">
        <v>190</v>
      </c>
      <c r="Q83" s="43"/>
      <c r="R83" s="80">
        <v>4440</v>
      </c>
      <c r="S83" s="81">
        <v>1421</v>
      </c>
      <c r="T83" s="43">
        <v>284</v>
      </c>
      <c r="U83" s="22">
        <v>200</v>
      </c>
      <c r="V83" s="22"/>
      <c r="W83" s="22"/>
      <c r="X83" s="22">
        <v>351</v>
      </c>
      <c r="Y83" s="22">
        <v>30</v>
      </c>
      <c r="Z83" s="21">
        <v>234</v>
      </c>
      <c r="AA83" s="79"/>
    </row>
    <row r="84" spans="1:27" x14ac:dyDescent="0.3">
      <c r="A84" s="21"/>
      <c r="B84" s="22"/>
      <c r="C84" s="22"/>
      <c r="D84" s="22"/>
      <c r="E84" s="22"/>
      <c r="F84" s="22"/>
      <c r="G84" s="22"/>
      <c r="H84" s="21"/>
      <c r="I84" s="37"/>
      <c r="J84" s="15">
        <v>1247.9000000000001</v>
      </c>
      <c r="L84" s="21"/>
      <c r="M84" s="79"/>
      <c r="N84" s="43"/>
      <c r="O84" s="43"/>
      <c r="P84" s="43">
        <v>150</v>
      </c>
      <c r="Q84" s="43"/>
      <c r="R84" s="43">
        <v>860</v>
      </c>
      <c r="S84" s="43"/>
      <c r="T84" s="43">
        <v>2130</v>
      </c>
      <c r="U84" s="22">
        <v>57.5</v>
      </c>
      <c r="V84" s="22"/>
      <c r="W84" s="22"/>
      <c r="X84" s="22">
        <v>180</v>
      </c>
      <c r="Y84" s="22"/>
      <c r="Z84" s="21">
        <v>400</v>
      </c>
      <c r="AA84" s="79"/>
    </row>
    <row r="85" spans="1:27" ht="15" thickBot="1" x14ac:dyDescent="0.35">
      <c r="A85" s="21"/>
      <c r="B85" s="22"/>
      <c r="C85" s="22"/>
      <c r="D85" s="22"/>
      <c r="E85" s="22"/>
      <c r="F85" s="22"/>
      <c r="G85" s="22"/>
      <c r="H85" s="21"/>
      <c r="J85" s="131"/>
      <c r="L85" s="128"/>
      <c r="M85" s="79"/>
      <c r="N85" s="43"/>
      <c r="O85" s="43"/>
      <c r="P85" s="43"/>
      <c r="Q85" s="43"/>
      <c r="R85" s="43"/>
      <c r="S85" s="43"/>
      <c r="T85" s="43">
        <v>26</v>
      </c>
      <c r="U85" s="22"/>
      <c r="V85" s="22"/>
      <c r="W85" s="22"/>
      <c r="X85" s="22">
        <v>28</v>
      </c>
      <c r="Y85" s="22"/>
      <c r="Z85" s="128"/>
      <c r="AA85" s="79"/>
    </row>
    <row r="86" spans="1:27" ht="15.6" thickTop="1" thickBot="1" x14ac:dyDescent="0.35">
      <c r="A86" s="21"/>
      <c r="B86" s="22"/>
      <c r="C86" s="22"/>
      <c r="D86" s="22"/>
      <c r="E86" s="22"/>
      <c r="F86" s="22"/>
      <c r="G86" s="22"/>
      <c r="H86" s="21"/>
      <c r="I86" s="37"/>
      <c r="J86" s="132">
        <f>SUM(J80:J85)</f>
        <v>26388.32</v>
      </c>
      <c r="L86" s="21"/>
      <c r="M86" s="79"/>
      <c r="N86" s="43"/>
      <c r="O86" s="43"/>
      <c r="P86" s="43"/>
      <c r="Q86" s="43"/>
      <c r="R86" s="43"/>
      <c r="S86" s="43"/>
      <c r="T86" s="43">
        <v>480</v>
      </c>
      <c r="U86" s="22"/>
      <c r="V86" s="22"/>
      <c r="W86" s="22"/>
      <c r="X86" s="22"/>
      <c r="Y86" s="22"/>
      <c r="Z86" s="21"/>
      <c r="AA86" s="79"/>
    </row>
    <row r="87" spans="1:27" ht="15" thickTop="1" x14ac:dyDescent="0.3">
      <c r="A87" s="21"/>
      <c r="B87" s="22"/>
      <c r="C87" s="22"/>
      <c r="D87" s="22"/>
      <c r="E87" s="22"/>
      <c r="F87" s="22"/>
      <c r="G87" s="22"/>
      <c r="H87" s="21"/>
      <c r="I87" s="22"/>
      <c r="J87" s="40"/>
      <c r="L87" s="24"/>
      <c r="M87" s="5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4"/>
      <c r="AA87" s="56"/>
    </row>
    <row r="88" spans="1:27" x14ac:dyDescent="0.3">
      <c r="A88" s="21"/>
      <c r="B88" s="22"/>
      <c r="C88" s="22"/>
      <c r="D88" s="22"/>
      <c r="E88" s="22"/>
      <c r="F88" s="22"/>
      <c r="G88" s="22"/>
      <c r="H88" s="21"/>
      <c r="I88" s="22"/>
      <c r="J88" s="27"/>
      <c r="L88" s="24"/>
      <c r="M88" s="5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4"/>
      <c r="AA88" s="56"/>
    </row>
    <row r="89" spans="1:27" x14ac:dyDescent="0.3">
      <c r="A89" s="21"/>
      <c r="B89" s="22"/>
      <c r="C89" s="22"/>
      <c r="D89" s="22"/>
      <c r="E89" s="22"/>
      <c r="F89" s="22"/>
      <c r="G89" s="22"/>
      <c r="H89" s="21"/>
      <c r="I89" s="22"/>
      <c r="J89" s="27"/>
      <c r="L89" s="24"/>
      <c r="M89" s="5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4"/>
      <c r="AA89" s="56"/>
    </row>
    <row r="90" spans="1:27" x14ac:dyDescent="0.3">
      <c r="A90" s="21"/>
      <c r="B90" s="22"/>
      <c r="C90" s="22"/>
      <c r="D90" s="22"/>
      <c r="E90" s="22"/>
      <c r="F90" s="22"/>
      <c r="G90" s="22"/>
      <c r="H90" s="21"/>
      <c r="I90" s="22"/>
      <c r="J90" s="23"/>
      <c r="L90" s="24"/>
      <c r="M90" s="5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4"/>
      <c r="AA90" s="56"/>
    </row>
    <row r="91" spans="1:27" x14ac:dyDescent="0.3">
      <c r="A91" s="21"/>
      <c r="B91" s="22"/>
      <c r="C91" s="22"/>
      <c r="D91" s="22"/>
      <c r="E91" s="22"/>
      <c r="F91" s="22"/>
      <c r="G91" s="22"/>
      <c r="H91" s="21"/>
      <c r="I91" s="22"/>
      <c r="J91" s="23"/>
      <c r="L91" s="24"/>
      <c r="M91" s="56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4"/>
      <c r="AA91" s="56"/>
    </row>
    <row r="92" spans="1:27" x14ac:dyDescent="0.3">
      <c r="A92" s="21"/>
      <c r="B92" s="22"/>
      <c r="C92" s="22"/>
      <c r="D92" s="22"/>
      <c r="E92" s="22"/>
      <c r="F92" s="22"/>
      <c r="G92" s="22"/>
      <c r="H92" s="21"/>
      <c r="I92" s="22"/>
      <c r="J92" s="23"/>
      <c r="L92" s="24"/>
      <c r="M92" s="56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4"/>
      <c r="AA92" s="56"/>
    </row>
    <row r="93" spans="1:27" x14ac:dyDescent="0.3">
      <c r="A93" s="24"/>
      <c r="B93" s="22"/>
      <c r="C93" s="22"/>
      <c r="D93" s="22"/>
      <c r="E93" s="22"/>
      <c r="F93" s="22"/>
      <c r="G93" s="22"/>
      <c r="H93" s="24"/>
      <c r="I93" s="22"/>
      <c r="J93" s="23"/>
      <c r="L93" s="24"/>
      <c r="M93" s="56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4"/>
      <c r="AA93" s="56"/>
    </row>
    <row r="94" spans="1:27" x14ac:dyDescent="0.3">
      <c r="A94" s="24">
        <f>SUM(A80:A93)</f>
        <v>4849.59</v>
      </c>
      <c r="B94" s="24">
        <f t="shared" ref="B94:F94" si="20">SUM(B80:B93)</f>
        <v>3060</v>
      </c>
      <c r="C94" s="24">
        <f t="shared" si="20"/>
        <v>5110.1499999999996</v>
      </c>
      <c r="D94" s="24">
        <f t="shared" si="20"/>
        <v>6092.38</v>
      </c>
      <c r="E94" s="24">
        <f t="shared" si="20"/>
        <v>7993.6</v>
      </c>
      <c r="F94" s="24">
        <f t="shared" si="20"/>
        <v>830</v>
      </c>
      <c r="G94" s="24">
        <f t="shared" ref="G94" si="21">SUM(G80:G93)</f>
        <v>6084.63</v>
      </c>
      <c r="H94" s="24">
        <f>SUM(H80:H93)</f>
        <v>5607.4</v>
      </c>
      <c r="I94" s="29">
        <f>SUM(A94:H94)+J86</f>
        <v>66016.070000000007</v>
      </c>
      <c r="J94" s="30" t="s">
        <v>7</v>
      </c>
      <c r="L94" s="24">
        <f>SUM(L81:L93)</f>
        <v>4440</v>
      </c>
      <c r="M94" s="24">
        <f t="shared" ref="M94:W94" si="22">SUM(M81:M93)</f>
        <v>60</v>
      </c>
      <c r="N94" s="24">
        <f t="shared" si="22"/>
        <v>4044</v>
      </c>
      <c r="O94" s="24">
        <f t="shared" si="22"/>
        <v>65</v>
      </c>
      <c r="P94" s="24">
        <f t="shared" si="22"/>
        <v>4850</v>
      </c>
      <c r="Q94" s="24">
        <f t="shared" si="22"/>
        <v>642.5</v>
      </c>
      <c r="R94" s="24">
        <f t="shared" si="22"/>
        <v>5926</v>
      </c>
      <c r="S94" s="24">
        <f t="shared" si="22"/>
        <v>1804</v>
      </c>
      <c r="T94" s="24">
        <f t="shared" si="22"/>
        <v>3158</v>
      </c>
      <c r="U94" s="24">
        <f t="shared" si="22"/>
        <v>727</v>
      </c>
      <c r="V94" s="24">
        <f t="shared" si="22"/>
        <v>694</v>
      </c>
      <c r="W94" s="24">
        <f t="shared" si="22"/>
        <v>15</v>
      </c>
      <c r="X94" s="24">
        <f>SUM(X81:X93)</f>
        <v>5369</v>
      </c>
      <c r="Y94" s="24">
        <f>SUM(Y81:Y93)</f>
        <v>262.5</v>
      </c>
      <c r="Z94" s="24">
        <f>SUM(Z81:Z93)</f>
        <v>5224</v>
      </c>
      <c r="AA94" s="24">
        <f t="shared" ref="AA94" si="23">SUM(AA81:AA93)</f>
        <v>57.5</v>
      </c>
    </row>
    <row r="95" spans="1:27" x14ac:dyDescent="0.3">
      <c r="A95" s="24">
        <v>4849.59</v>
      </c>
      <c r="B95" s="24">
        <v>3060</v>
      </c>
      <c r="C95" s="24">
        <v>5110.1499999999996</v>
      </c>
      <c r="D95" s="24">
        <v>6092.38</v>
      </c>
      <c r="E95" s="24">
        <v>7993.6</v>
      </c>
      <c r="F95" s="24">
        <v>830</v>
      </c>
      <c r="G95" s="24">
        <v>6084.63</v>
      </c>
      <c r="H95" s="24">
        <v>5607.4</v>
      </c>
      <c r="I95" s="24">
        <f t="shared" ref="I95" si="24">SUM(I81:I94)</f>
        <v>66016.070000000007</v>
      </c>
      <c r="J95" s="33" t="s">
        <v>1</v>
      </c>
      <c r="L95" s="24">
        <v>4440</v>
      </c>
      <c r="M95" s="24">
        <v>60</v>
      </c>
      <c r="N95" s="24">
        <v>4044</v>
      </c>
      <c r="O95" s="24">
        <v>65</v>
      </c>
      <c r="P95" s="24">
        <v>4850</v>
      </c>
      <c r="Q95" s="24">
        <v>642.5</v>
      </c>
      <c r="R95" s="24">
        <v>5926</v>
      </c>
      <c r="S95" s="24">
        <v>1804</v>
      </c>
      <c r="T95" s="24">
        <v>3158</v>
      </c>
      <c r="U95" s="24">
        <v>727</v>
      </c>
      <c r="V95" s="24">
        <v>694</v>
      </c>
      <c r="W95" s="24">
        <v>15</v>
      </c>
      <c r="X95" s="24">
        <v>5369</v>
      </c>
      <c r="Y95" s="24">
        <v>262.5</v>
      </c>
      <c r="Z95" s="24">
        <v>5224</v>
      </c>
      <c r="AA95" s="24">
        <v>57.5</v>
      </c>
    </row>
    <row r="96" spans="1:27" ht="15" thickBot="1" x14ac:dyDescent="0.35">
      <c r="A96" s="35">
        <f t="shared" ref="A96:I96" si="25">A94-A95</f>
        <v>0</v>
      </c>
      <c r="B96" s="35">
        <f t="shared" si="25"/>
        <v>0</v>
      </c>
      <c r="C96" s="35">
        <f t="shared" si="25"/>
        <v>0</v>
      </c>
      <c r="D96" s="35">
        <f t="shared" si="25"/>
        <v>0</v>
      </c>
      <c r="E96" s="35">
        <f t="shared" si="25"/>
        <v>0</v>
      </c>
      <c r="F96" s="35">
        <f t="shared" si="25"/>
        <v>0</v>
      </c>
      <c r="G96" s="35">
        <f t="shared" si="25"/>
        <v>0</v>
      </c>
      <c r="H96" s="35">
        <f t="shared" si="25"/>
        <v>0</v>
      </c>
      <c r="I96" s="35">
        <f t="shared" si="25"/>
        <v>0</v>
      </c>
      <c r="J96" s="16">
        <f>SUM(J90:J95)</f>
        <v>0</v>
      </c>
      <c r="L96" s="86">
        <f>L94-L95</f>
        <v>0</v>
      </c>
      <c r="M96" s="86">
        <f>M94-M95</f>
        <v>0</v>
      </c>
      <c r="N96" s="86">
        <f t="shared" ref="N96:W96" si="26">N94-N95</f>
        <v>0</v>
      </c>
      <c r="O96" s="86">
        <f t="shared" si="26"/>
        <v>0</v>
      </c>
      <c r="P96" s="86">
        <f t="shared" si="26"/>
        <v>0</v>
      </c>
      <c r="Q96" s="86">
        <f t="shared" si="26"/>
        <v>0</v>
      </c>
      <c r="R96" s="86">
        <f t="shared" si="26"/>
        <v>0</v>
      </c>
      <c r="S96" s="86">
        <f t="shared" si="26"/>
        <v>0</v>
      </c>
      <c r="T96" s="86">
        <f t="shared" si="26"/>
        <v>0</v>
      </c>
      <c r="U96" s="86">
        <f t="shared" si="26"/>
        <v>0</v>
      </c>
      <c r="V96" s="86">
        <f t="shared" si="26"/>
        <v>0</v>
      </c>
      <c r="W96" s="86">
        <f t="shared" si="26"/>
        <v>0</v>
      </c>
      <c r="X96" s="86">
        <f>X94-X95</f>
        <v>0</v>
      </c>
      <c r="Y96" s="86">
        <f>Y94-Y95</f>
        <v>0</v>
      </c>
      <c r="Z96" s="86">
        <f>Z94-Z95</f>
        <v>0</v>
      </c>
      <c r="AA96" s="86">
        <f>AA94-AA95</f>
        <v>0</v>
      </c>
    </row>
    <row r="97" spans="1:24" ht="15.6" thickTop="1" thickBot="1" x14ac:dyDescent="0.35"/>
    <row r="98" spans="1:24" x14ac:dyDescent="0.3">
      <c r="A98" s="17">
        <v>45665</v>
      </c>
      <c r="B98" s="17" t="s">
        <v>53</v>
      </c>
      <c r="C98" s="17">
        <v>45667</v>
      </c>
      <c r="D98" s="17">
        <v>45668</v>
      </c>
      <c r="E98" s="17">
        <v>45669</v>
      </c>
      <c r="F98" s="17">
        <v>45670</v>
      </c>
      <c r="G98" s="17">
        <v>45671</v>
      </c>
      <c r="H98" s="17"/>
      <c r="I98" s="13" t="s">
        <v>8</v>
      </c>
      <c r="K98" s="59">
        <v>45665</v>
      </c>
      <c r="L98" s="59"/>
      <c r="M98" s="59">
        <v>45666</v>
      </c>
      <c r="N98" s="59"/>
      <c r="O98" s="59">
        <v>45667</v>
      </c>
      <c r="P98" s="59"/>
      <c r="Q98" s="59">
        <v>45668</v>
      </c>
      <c r="R98" s="59"/>
      <c r="S98" s="59">
        <v>45669</v>
      </c>
      <c r="T98" s="59"/>
      <c r="U98" s="59">
        <v>45670</v>
      </c>
      <c r="V98" s="59"/>
      <c r="W98" s="59">
        <v>46766</v>
      </c>
      <c r="X98" s="142"/>
    </row>
    <row r="99" spans="1:24" ht="15" thickBot="1" x14ac:dyDescent="0.35">
      <c r="A99" s="24">
        <v>920</v>
      </c>
      <c r="B99" s="22">
        <v>2124.09</v>
      </c>
      <c r="C99" s="22">
        <v>1826.84</v>
      </c>
      <c r="D99" s="22"/>
      <c r="E99" s="22"/>
      <c r="F99" s="22"/>
      <c r="G99" s="22"/>
      <c r="H99" s="37"/>
      <c r="I99" s="15"/>
      <c r="K99" s="124" t="s">
        <v>10</v>
      </c>
      <c r="L99" s="125" t="s">
        <v>11</v>
      </c>
      <c r="M99" s="126" t="s">
        <v>10</v>
      </c>
      <c r="N99" s="126" t="s">
        <v>11</v>
      </c>
      <c r="O99" s="126" t="s">
        <v>10</v>
      </c>
      <c r="P99" s="126" t="s">
        <v>11</v>
      </c>
      <c r="Q99" s="126" t="s">
        <v>10</v>
      </c>
      <c r="R99" s="126" t="s">
        <v>11</v>
      </c>
      <c r="S99" s="126" t="s">
        <v>10</v>
      </c>
      <c r="T99" s="126" t="s">
        <v>11</v>
      </c>
      <c r="U99" s="126" t="s">
        <v>10</v>
      </c>
      <c r="V99" s="126" t="s">
        <v>11</v>
      </c>
      <c r="W99" s="126" t="s">
        <v>10</v>
      </c>
      <c r="X99" s="143" t="s">
        <v>11</v>
      </c>
    </row>
    <row r="100" spans="1:24" x14ac:dyDescent="0.3">
      <c r="A100" s="24">
        <v>2765</v>
      </c>
      <c r="B100" s="22">
        <v>2560</v>
      </c>
      <c r="C100" s="22">
        <v>3220</v>
      </c>
      <c r="D100" s="22"/>
      <c r="E100" s="25"/>
      <c r="F100" s="22"/>
      <c r="G100" s="22"/>
      <c r="H100" s="37"/>
      <c r="I100" s="15"/>
      <c r="K100" s="75">
        <v>270</v>
      </c>
      <c r="L100" s="76">
        <v>50</v>
      </c>
      <c r="M100" s="77">
        <v>360</v>
      </c>
      <c r="N100" s="77">
        <v>2760</v>
      </c>
      <c r="O100" s="77">
        <v>600</v>
      </c>
      <c r="P100" s="77">
        <v>117.5</v>
      </c>
      <c r="Q100" s="77"/>
      <c r="R100" s="77"/>
      <c r="S100" s="78"/>
      <c r="T100" s="69"/>
      <c r="U100" s="63"/>
      <c r="V100" s="63"/>
      <c r="W100" s="63"/>
      <c r="X100" s="40"/>
    </row>
    <row r="101" spans="1:24" x14ac:dyDescent="0.3">
      <c r="A101" s="24" t="s">
        <v>9</v>
      </c>
      <c r="B101" s="22">
        <v>1235</v>
      </c>
      <c r="C101" s="22">
        <v>990</v>
      </c>
      <c r="D101" s="26"/>
      <c r="E101" s="22"/>
      <c r="F101" s="22"/>
      <c r="G101" s="22"/>
      <c r="H101" s="37"/>
      <c r="I101" s="15"/>
      <c r="K101" s="21">
        <v>162</v>
      </c>
      <c r="L101" s="79">
        <v>146.19999999999999</v>
      </c>
      <c r="M101" s="80">
        <v>4000</v>
      </c>
      <c r="N101" s="43">
        <v>105</v>
      </c>
      <c r="O101" s="43">
        <v>4740</v>
      </c>
      <c r="P101" s="43">
        <v>96.7</v>
      </c>
      <c r="Q101" s="43"/>
      <c r="R101" s="80"/>
      <c r="S101" s="43"/>
      <c r="T101" s="22"/>
      <c r="U101" s="22"/>
      <c r="V101" s="22"/>
      <c r="W101" s="22"/>
      <c r="X101" s="27"/>
    </row>
    <row r="102" spans="1:24" x14ac:dyDescent="0.3">
      <c r="A102" s="21"/>
      <c r="B102" s="22"/>
      <c r="C102" s="22"/>
      <c r="D102" s="25"/>
      <c r="E102" s="22"/>
      <c r="F102" s="22"/>
      <c r="G102" s="22"/>
      <c r="H102" s="37"/>
      <c r="I102" s="15"/>
      <c r="K102" s="21">
        <v>4100</v>
      </c>
      <c r="L102" s="79"/>
      <c r="M102" s="81">
        <v>188</v>
      </c>
      <c r="N102" s="43"/>
      <c r="O102" s="43">
        <v>420</v>
      </c>
      <c r="P102" s="43"/>
      <c r="Q102" s="43"/>
      <c r="R102" s="81"/>
      <c r="S102" s="43"/>
      <c r="T102" s="22"/>
      <c r="U102" s="22"/>
      <c r="V102" s="22"/>
      <c r="W102" s="22"/>
      <c r="X102" s="27"/>
    </row>
    <row r="103" spans="1:24" x14ac:dyDescent="0.3">
      <c r="A103" s="21"/>
      <c r="B103" s="22"/>
      <c r="C103" s="22"/>
      <c r="D103" s="22"/>
      <c r="E103" s="22"/>
      <c r="F103" s="22"/>
      <c r="G103" s="22"/>
      <c r="H103" s="37"/>
      <c r="I103" s="15"/>
      <c r="K103" s="21">
        <v>320</v>
      </c>
      <c r="L103" s="79"/>
      <c r="M103" s="43">
        <v>270</v>
      </c>
      <c r="N103" s="43"/>
      <c r="O103" s="43">
        <v>150</v>
      </c>
      <c r="P103" s="43"/>
      <c r="Q103" s="43"/>
      <c r="R103" s="43"/>
      <c r="S103" s="43"/>
      <c r="T103" s="22"/>
      <c r="U103" s="22"/>
      <c r="V103" s="22"/>
      <c r="W103" s="22"/>
      <c r="X103" s="27"/>
    </row>
    <row r="104" spans="1:24" ht="15" thickBot="1" x14ac:dyDescent="0.35">
      <c r="A104" s="21"/>
      <c r="B104" s="22"/>
      <c r="C104" s="22"/>
      <c r="D104" s="22"/>
      <c r="E104" s="22"/>
      <c r="F104" s="22"/>
      <c r="G104" s="22"/>
      <c r="I104" s="131"/>
      <c r="K104" s="128"/>
      <c r="L104" s="79"/>
      <c r="M104" s="43"/>
      <c r="N104" s="43"/>
      <c r="O104" s="43"/>
      <c r="P104" s="43"/>
      <c r="Q104" s="43"/>
      <c r="R104" s="43"/>
      <c r="S104" s="43"/>
      <c r="T104" s="22"/>
      <c r="U104" s="22"/>
      <c r="V104" s="22"/>
      <c r="W104" s="22"/>
      <c r="X104" s="27"/>
    </row>
    <row r="105" spans="1:24" ht="15.6" thickTop="1" thickBot="1" x14ac:dyDescent="0.35">
      <c r="A105" s="21"/>
      <c r="B105" s="22"/>
      <c r="C105" s="22"/>
      <c r="D105" s="22"/>
      <c r="E105" s="22"/>
      <c r="F105" s="22"/>
      <c r="G105" s="22"/>
      <c r="H105" s="37"/>
      <c r="I105" s="132">
        <f>SUM(I99:I104)</f>
        <v>0</v>
      </c>
      <c r="K105" s="21"/>
      <c r="L105" s="79"/>
      <c r="M105" s="43"/>
      <c r="N105" s="43"/>
      <c r="O105" s="43"/>
      <c r="P105" s="43"/>
      <c r="Q105" s="43"/>
      <c r="R105" s="43"/>
      <c r="S105" s="43"/>
      <c r="T105" s="22"/>
      <c r="U105" s="22"/>
      <c r="V105" s="22"/>
      <c r="W105" s="22"/>
      <c r="X105" s="27"/>
    </row>
    <row r="106" spans="1:24" ht="15" thickTop="1" x14ac:dyDescent="0.3">
      <c r="A106" s="21"/>
      <c r="B106" s="22"/>
      <c r="C106" s="22"/>
      <c r="D106" s="22"/>
      <c r="E106" s="22"/>
      <c r="F106" s="22"/>
      <c r="G106" s="22"/>
      <c r="H106" s="22"/>
      <c r="I106" s="40"/>
      <c r="K106" s="24"/>
      <c r="L106" s="56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7"/>
    </row>
    <row r="107" spans="1:24" x14ac:dyDescent="0.3">
      <c r="A107" s="21"/>
      <c r="B107" s="22"/>
      <c r="C107" s="22"/>
      <c r="D107" s="22"/>
      <c r="E107" s="22"/>
      <c r="F107" s="22"/>
      <c r="G107" s="22"/>
      <c r="H107" s="22"/>
      <c r="I107" s="27"/>
      <c r="K107" s="24"/>
      <c r="L107" s="5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7"/>
    </row>
    <row r="108" spans="1:24" x14ac:dyDescent="0.3">
      <c r="A108" s="21"/>
      <c r="B108" s="22"/>
      <c r="C108" s="22"/>
      <c r="D108" s="22"/>
      <c r="E108" s="22"/>
      <c r="F108" s="22"/>
      <c r="G108" s="22"/>
      <c r="H108" s="22"/>
      <c r="I108" s="27"/>
      <c r="K108" s="24"/>
      <c r="L108" s="56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7"/>
    </row>
    <row r="109" spans="1:24" x14ac:dyDescent="0.3">
      <c r="A109" s="21"/>
      <c r="B109" s="22"/>
      <c r="C109" s="22"/>
      <c r="D109" s="22"/>
      <c r="E109" s="22"/>
      <c r="F109" s="22"/>
      <c r="G109" s="22"/>
      <c r="H109" s="22"/>
      <c r="I109" s="23"/>
      <c r="K109" s="24"/>
      <c r="L109" s="56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7"/>
    </row>
    <row r="110" spans="1:24" ht="15" thickBot="1" x14ac:dyDescent="0.35">
      <c r="A110" s="21"/>
      <c r="B110" s="22"/>
      <c r="C110" s="22"/>
      <c r="D110" s="22"/>
      <c r="E110" s="22"/>
      <c r="F110" s="22"/>
      <c r="G110" s="22"/>
      <c r="H110" s="22"/>
      <c r="I110" s="23"/>
      <c r="K110" s="24"/>
      <c r="L110" s="56"/>
      <c r="M110" s="22"/>
      <c r="N110" s="35"/>
      <c r="O110" s="22"/>
      <c r="P110" s="22"/>
      <c r="Q110" s="22"/>
      <c r="R110" s="22"/>
      <c r="S110" s="22"/>
      <c r="T110" s="22"/>
      <c r="U110" s="22"/>
      <c r="V110" s="22"/>
      <c r="W110" s="22"/>
      <c r="X110" s="27"/>
    </row>
    <row r="111" spans="1:24" ht="15" thickTop="1" x14ac:dyDescent="0.3">
      <c r="A111" s="21" t="s">
        <v>54</v>
      </c>
      <c r="B111" s="22"/>
      <c r="C111" s="22"/>
      <c r="D111" s="22"/>
      <c r="E111" s="22"/>
      <c r="F111" s="22"/>
      <c r="G111" s="22"/>
      <c r="H111" s="22"/>
      <c r="I111" s="23"/>
      <c r="K111" s="24"/>
      <c r="L111" s="56"/>
      <c r="M111" s="22"/>
      <c r="N111" s="63"/>
      <c r="O111" s="22"/>
      <c r="P111" s="22"/>
      <c r="Q111" s="22"/>
      <c r="R111" s="22"/>
      <c r="S111" s="22"/>
      <c r="T111" s="22"/>
      <c r="U111" s="22"/>
      <c r="V111" s="22"/>
      <c r="W111" s="22"/>
      <c r="X111" s="27"/>
    </row>
    <row r="112" spans="1:24" x14ac:dyDescent="0.3">
      <c r="A112" s="24"/>
      <c r="B112" s="22"/>
      <c r="C112" s="22"/>
      <c r="D112" s="22"/>
      <c r="E112" s="22"/>
      <c r="F112" s="22"/>
      <c r="G112" s="22"/>
      <c r="H112" s="22"/>
      <c r="I112" s="23"/>
      <c r="K112" s="24"/>
      <c r="L112" s="56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7"/>
    </row>
    <row r="113" spans="1:24" ht="15" thickBot="1" x14ac:dyDescent="0.35">
      <c r="A113" s="133">
        <f>SUM(A99:A112)</f>
        <v>3685</v>
      </c>
      <c r="B113" s="133">
        <f t="shared" ref="B113:E114" si="27">SUM(B99:B112)</f>
        <v>5919.09</v>
      </c>
      <c r="C113" s="133">
        <f t="shared" si="27"/>
        <v>6036.84</v>
      </c>
      <c r="D113" s="133">
        <f t="shared" si="27"/>
        <v>0</v>
      </c>
      <c r="E113" s="133">
        <f t="shared" si="27"/>
        <v>0</v>
      </c>
      <c r="F113" s="133">
        <f>SUM(F99:F112)</f>
        <v>0</v>
      </c>
      <c r="G113" s="133">
        <f t="shared" ref="G113:G114" si="28">SUM(G99:G112)</f>
        <v>0</v>
      </c>
      <c r="H113" s="29">
        <f>SUM(A113:G113)+I105</f>
        <v>15640.93</v>
      </c>
      <c r="I113" s="30" t="s">
        <v>7</v>
      </c>
      <c r="K113" s="133">
        <f>SUM(K100:K112)</f>
        <v>4852</v>
      </c>
      <c r="L113" s="133">
        <f t="shared" ref="L113:X113" si="29">SUM(L100:L112)</f>
        <v>196.2</v>
      </c>
      <c r="M113" s="133">
        <f t="shared" si="29"/>
        <v>4818</v>
      </c>
      <c r="N113" s="133">
        <f t="shared" si="29"/>
        <v>2865</v>
      </c>
      <c r="O113" s="133">
        <f t="shared" si="29"/>
        <v>5910</v>
      </c>
      <c r="P113" s="133">
        <f t="shared" si="29"/>
        <v>214.2</v>
      </c>
      <c r="Q113" s="133">
        <f t="shared" ref="Q113" si="30">SUM(Q100:Q112)</f>
        <v>0</v>
      </c>
      <c r="R113" s="133">
        <f t="shared" si="29"/>
        <v>0</v>
      </c>
      <c r="S113" s="133">
        <f t="shared" si="29"/>
        <v>0</v>
      </c>
      <c r="T113" s="133">
        <f t="shared" si="29"/>
        <v>0</v>
      </c>
      <c r="U113" s="133">
        <f t="shared" si="29"/>
        <v>0</v>
      </c>
      <c r="V113" s="133">
        <f t="shared" si="29"/>
        <v>0</v>
      </c>
      <c r="W113" s="133">
        <f t="shared" si="29"/>
        <v>0</v>
      </c>
      <c r="X113" s="83">
        <f t="shared" si="29"/>
        <v>0</v>
      </c>
    </row>
    <row r="114" spans="1:24" ht="15" thickBot="1" x14ac:dyDescent="0.35">
      <c r="A114" s="146">
        <v>5649.63</v>
      </c>
      <c r="B114" s="146">
        <v>5919.09</v>
      </c>
      <c r="C114" s="146">
        <v>6036.84</v>
      </c>
      <c r="D114" s="146">
        <f t="shared" ref="D114" si="31">SUM(D100:D113)</f>
        <v>0</v>
      </c>
      <c r="E114" s="146">
        <f t="shared" si="27"/>
        <v>0</v>
      </c>
      <c r="F114" s="146">
        <f t="shared" ref="F114" si="32">SUM(F100:F113)</f>
        <v>0</v>
      </c>
      <c r="G114" s="146">
        <f t="shared" si="28"/>
        <v>0</v>
      </c>
      <c r="H114" s="146">
        <f t="shared" ref="H114" si="33">SUM(H100:H113)</f>
        <v>15640.93</v>
      </c>
      <c r="I114" s="33" t="s">
        <v>1</v>
      </c>
      <c r="K114" s="146">
        <v>4852</v>
      </c>
      <c r="L114" s="146">
        <v>196.2</v>
      </c>
      <c r="M114" s="146">
        <v>4818</v>
      </c>
      <c r="N114" s="146">
        <v>2865</v>
      </c>
      <c r="O114" s="146">
        <v>5910</v>
      </c>
      <c r="P114" s="146">
        <v>214.2</v>
      </c>
      <c r="Q114" s="146"/>
      <c r="R114" s="146">
        <f t="shared" ref="R114:X114" si="34">SUM(R101:R113)</f>
        <v>0</v>
      </c>
      <c r="S114" s="146">
        <f t="shared" si="34"/>
        <v>0</v>
      </c>
      <c r="T114" s="146">
        <f t="shared" si="34"/>
        <v>0</v>
      </c>
      <c r="U114" s="146">
        <f t="shared" si="34"/>
        <v>0</v>
      </c>
      <c r="V114" s="146">
        <f t="shared" si="34"/>
        <v>0</v>
      </c>
      <c r="W114" s="146">
        <f t="shared" si="34"/>
        <v>0</v>
      </c>
      <c r="X114" s="146">
        <f t="shared" si="34"/>
        <v>0</v>
      </c>
    </row>
    <row r="115" spans="1:24" ht="15" thickBot="1" x14ac:dyDescent="0.35">
      <c r="A115" s="144">
        <f t="shared" ref="A115:H115" si="35">A113-A114</f>
        <v>-1964.63</v>
      </c>
      <c r="B115" s="147">
        <f t="shared" si="35"/>
        <v>0</v>
      </c>
      <c r="C115" s="147">
        <f t="shared" si="35"/>
        <v>0</v>
      </c>
      <c r="D115" s="147">
        <f t="shared" si="35"/>
        <v>0</v>
      </c>
      <c r="E115" s="147">
        <f t="shared" si="35"/>
        <v>0</v>
      </c>
      <c r="F115" s="147">
        <f t="shared" si="35"/>
        <v>0</v>
      </c>
      <c r="G115" s="147">
        <f t="shared" si="35"/>
        <v>0</v>
      </c>
      <c r="H115" s="140">
        <f t="shared" si="35"/>
        <v>0</v>
      </c>
      <c r="I115" s="141">
        <f>SUM(I109:I114)</f>
        <v>0</v>
      </c>
      <c r="K115" s="144">
        <f>K113-K114</f>
        <v>0</v>
      </c>
      <c r="L115" s="144">
        <f>L113-L114</f>
        <v>0</v>
      </c>
      <c r="M115" s="144">
        <f t="shared" ref="M115:W115" si="36">M113-M114</f>
        <v>0</v>
      </c>
      <c r="N115" s="144">
        <f t="shared" si="36"/>
        <v>0</v>
      </c>
      <c r="O115" s="144">
        <f t="shared" si="36"/>
        <v>0</v>
      </c>
      <c r="P115" s="144">
        <f t="shared" si="36"/>
        <v>0</v>
      </c>
      <c r="Q115" s="144">
        <f t="shared" ref="Q115" si="37">Q113-Q114</f>
        <v>0</v>
      </c>
      <c r="R115" s="144">
        <f t="shared" si="36"/>
        <v>0</v>
      </c>
      <c r="S115" s="144">
        <f t="shared" si="36"/>
        <v>0</v>
      </c>
      <c r="T115" s="144">
        <f t="shared" si="36"/>
        <v>0</v>
      </c>
      <c r="U115" s="144">
        <f t="shared" si="36"/>
        <v>0</v>
      </c>
      <c r="V115" s="144">
        <f t="shared" si="36"/>
        <v>0</v>
      </c>
      <c r="W115" s="144">
        <f t="shared" si="36"/>
        <v>0</v>
      </c>
      <c r="X115" s="145">
        <f>X113-X114</f>
        <v>0</v>
      </c>
    </row>
    <row r="124" spans="1:24" x14ac:dyDescent="0.3">
      <c r="C124" t="s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C2CE-55BC-4FF8-BAA9-42131F81A35F}">
  <dimension ref="A1:AA96"/>
  <sheetViews>
    <sheetView topLeftCell="A78" workbookViewId="0">
      <selection activeCell="B80" sqref="B80"/>
    </sheetView>
  </sheetViews>
  <sheetFormatPr defaultRowHeight="14.4" x14ac:dyDescent="0.3"/>
  <cols>
    <col min="1" max="1" width="11.6640625" customWidth="1"/>
    <col min="2" max="2" width="13.33203125" customWidth="1"/>
    <col min="3" max="3" width="11" customWidth="1"/>
    <col min="4" max="4" width="10.6640625" customWidth="1"/>
    <col min="5" max="5" width="10.109375" customWidth="1"/>
    <col min="6" max="6" width="11.5546875" customWidth="1"/>
    <col min="7" max="7" width="12" customWidth="1"/>
    <col min="8" max="8" width="12.5546875" customWidth="1"/>
    <col min="9" max="9" width="12.109375" bestFit="1" customWidth="1"/>
    <col min="10" max="10" width="11.6640625" customWidth="1"/>
    <col min="11" max="11" width="11.33203125" customWidth="1"/>
    <col min="12" max="12" width="10.6640625" customWidth="1"/>
    <col min="13" max="13" width="12.44140625" customWidth="1"/>
    <col min="14" max="14" width="10.5546875" customWidth="1"/>
    <col min="15" max="15" width="12.109375" customWidth="1"/>
    <col min="16" max="16" width="10.88671875" customWidth="1"/>
    <col min="17" max="17" width="12" customWidth="1"/>
    <col min="18" max="18" width="10.88671875" customWidth="1"/>
    <col min="19" max="19" width="11.88671875" customWidth="1"/>
    <col min="21" max="21" width="11.33203125" customWidth="1"/>
    <col min="22" max="22" width="10.6640625" customWidth="1"/>
    <col min="23" max="23" width="11.6640625" customWidth="1"/>
    <col min="24" max="24" width="12.6640625" customWidth="1"/>
  </cols>
  <sheetData>
    <row r="1" spans="1:27" ht="15" thickBot="1" x14ac:dyDescent="0.35"/>
    <row r="2" spans="1:27" x14ac:dyDescent="0.3">
      <c r="A2" s="17">
        <v>45657</v>
      </c>
      <c r="B2" s="17">
        <v>45658</v>
      </c>
      <c r="C2" s="17">
        <v>45659</v>
      </c>
      <c r="D2" s="17">
        <v>45660</v>
      </c>
      <c r="E2" s="17">
        <v>45661</v>
      </c>
      <c r="F2" s="17">
        <v>45662</v>
      </c>
      <c r="G2" s="17">
        <v>45663</v>
      </c>
      <c r="H2" s="17">
        <v>45664</v>
      </c>
      <c r="I2" s="17"/>
      <c r="J2" s="13" t="s">
        <v>8</v>
      </c>
      <c r="L2" s="59">
        <v>45657</v>
      </c>
      <c r="M2" s="59"/>
      <c r="N2" s="59">
        <v>45658</v>
      </c>
      <c r="O2" s="59"/>
      <c r="P2" s="59">
        <v>45659</v>
      </c>
      <c r="Q2" s="59"/>
      <c r="R2" s="59">
        <v>45660</v>
      </c>
      <c r="S2" s="59"/>
      <c r="T2" s="59" t="s">
        <v>52</v>
      </c>
      <c r="U2" s="59"/>
      <c r="V2" s="59">
        <v>45662</v>
      </c>
      <c r="W2" s="59"/>
      <c r="X2" s="59">
        <v>45663</v>
      </c>
      <c r="Y2" s="59"/>
      <c r="Z2" s="59">
        <v>45664</v>
      </c>
      <c r="AA2" s="59"/>
    </row>
    <row r="3" spans="1:27" ht="15" thickBot="1" x14ac:dyDescent="0.35">
      <c r="A3" s="22">
        <v>1010</v>
      </c>
      <c r="B3" s="22">
        <v>915</v>
      </c>
      <c r="C3" s="22">
        <v>1460.15</v>
      </c>
      <c r="D3" s="22">
        <v>1030</v>
      </c>
      <c r="E3" s="22">
        <v>4338.6000000000004</v>
      </c>
      <c r="F3" s="22">
        <v>500</v>
      </c>
      <c r="G3" s="22">
        <v>1794.63</v>
      </c>
      <c r="H3" s="22">
        <v>1672.4</v>
      </c>
      <c r="I3" s="37"/>
      <c r="J3" s="15">
        <v>6930.5</v>
      </c>
      <c r="L3" s="124" t="s">
        <v>10</v>
      </c>
      <c r="M3" s="125" t="s">
        <v>11</v>
      </c>
      <c r="N3" s="126" t="s">
        <v>10</v>
      </c>
      <c r="O3" s="126" t="s">
        <v>11</v>
      </c>
      <c r="P3" s="126" t="s">
        <v>10</v>
      </c>
      <c r="Q3" s="126" t="s">
        <v>11</v>
      </c>
      <c r="R3" s="126">
        <v>210</v>
      </c>
      <c r="S3" s="126" t="s">
        <v>11</v>
      </c>
      <c r="T3" s="126" t="s">
        <v>10</v>
      </c>
      <c r="U3" s="126" t="s">
        <v>11</v>
      </c>
      <c r="V3" s="126" t="s">
        <v>10</v>
      </c>
      <c r="W3" s="126" t="s">
        <v>11</v>
      </c>
      <c r="X3" s="126" t="s">
        <v>10</v>
      </c>
      <c r="Y3" s="126" t="s">
        <v>11</v>
      </c>
      <c r="Z3" s="124" t="s">
        <v>10</v>
      </c>
      <c r="AA3" s="125" t="s">
        <v>11</v>
      </c>
    </row>
    <row r="4" spans="1:27" x14ac:dyDescent="0.3">
      <c r="A4" s="22">
        <v>2225</v>
      </c>
      <c r="B4" s="22">
        <v>2145</v>
      </c>
      <c r="C4" s="22">
        <v>2300</v>
      </c>
      <c r="D4" s="22">
        <f>3360+120</f>
        <v>3480</v>
      </c>
      <c r="E4" s="25">
        <v>2400</v>
      </c>
      <c r="F4" s="22">
        <v>330</v>
      </c>
      <c r="G4" s="22">
        <v>2965</v>
      </c>
      <c r="H4" s="22">
        <v>2680</v>
      </c>
      <c r="I4" s="37"/>
      <c r="J4" s="15">
        <v>6509.92</v>
      </c>
      <c r="L4" s="75">
        <v>300</v>
      </c>
      <c r="M4" s="76">
        <v>60</v>
      </c>
      <c r="N4" s="77">
        <v>84</v>
      </c>
      <c r="O4" s="77">
        <v>65</v>
      </c>
      <c r="P4" s="77">
        <v>800</v>
      </c>
      <c r="Q4" s="77">
        <v>600</v>
      </c>
      <c r="R4" s="77">
        <v>210</v>
      </c>
      <c r="S4" s="77">
        <v>189.5</v>
      </c>
      <c r="T4" s="78">
        <v>28</v>
      </c>
      <c r="U4" s="69">
        <v>60</v>
      </c>
      <c r="V4" s="63">
        <v>610</v>
      </c>
      <c r="W4" s="63">
        <v>15</v>
      </c>
      <c r="X4" s="63">
        <v>460</v>
      </c>
      <c r="Y4" s="63">
        <v>180</v>
      </c>
      <c r="Z4" s="75">
        <v>740</v>
      </c>
      <c r="AA4" s="76">
        <v>57.5</v>
      </c>
    </row>
    <row r="5" spans="1:27" x14ac:dyDescent="0.3">
      <c r="A5" s="22">
        <v>1614.59</v>
      </c>
      <c r="B5" s="22"/>
      <c r="C5" s="22">
        <v>1350</v>
      </c>
      <c r="D5" s="26">
        <v>1582.38</v>
      </c>
      <c r="E5" s="22">
        <v>1255</v>
      </c>
      <c r="F5" s="22"/>
      <c r="G5" s="22">
        <v>1325</v>
      </c>
      <c r="H5" s="22">
        <v>1255</v>
      </c>
      <c r="I5" s="37"/>
      <c r="J5" s="15">
        <v>3300</v>
      </c>
      <c r="L5" s="21">
        <v>4020</v>
      </c>
      <c r="M5" s="79"/>
      <c r="N5" s="80">
        <v>390</v>
      </c>
      <c r="O5" s="43"/>
      <c r="P5" s="43">
        <v>3710</v>
      </c>
      <c r="Q5" s="43">
        <v>42.5</v>
      </c>
      <c r="R5" s="80">
        <v>416</v>
      </c>
      <c r="S5" s="80">
        <v>193.5</v>
      </c>
      <c r="T5" s="43">
        <v>210</v>
      </c>
      <c r="U5" s="22">
        <v>409.5</v>
      </c>
      <c r="V5" s="22">
        <v>84</v>
      </c>
      <c r="W5" s="22"/>
      <c r="X5" s="22">
        <v>4350</v>
      </c>
      <c r="Y5" s="22">
        <v>52.5</v>
      </c>
      <c r="Z5" s="21">
        <v>3850</v>
      </c>
      <c r="AA5" s="79"/>
    </row>
    <row r="6" spans="1:27" x14ac:dyDescent="0.3">
      <c r="A6" s="21"/>
      <c r="B6" s="22"/>
      <c r="C6" s="22"/>
      <c r="D6" s="25"/>
      <c r="E6" s="22"/>
      <c r="F6" s="22"/>
      <c r="G6" s="22"/>
      <c r="H6" s="21"/>
      <c r="I6" s="37"/>
      <c r="J6" s="15">
        <v>8400</v>
      </c>
      <c r="L6" s="21">
        <v>120</v>
      </c>
      <c r="M6" s="79"/>
      <c r="N6" s="81">
        <v>3570</v>
      </c>
      <c r="O6" s="43"/>
      <c r="P6" s="43">
        <v>190</v>
      </c>
      <c r="Q6" s="43"/>
      <c r="R6" s="80">
        <v>4440</v>
      </c>
      <c r="S6" s="81">
        <v>1421</v>
      </c>
      <c r="T6" s="43">
        <v>284</v>
      </c>
      <c r="U6" s="22">
        <v>200</v>
      </c>
      <c r="V6" s="22"/>
      <c r="W6" s="22"/>
      <c r="X6" s="22">
        <v>351</v>
      </c>
      <c r="Y6" s="22">
        <v>30</v>
      </c>
      <c r="Z6" s="21">
        <v>234</v>
      </c>
      <c r="AA6" s="79"/>
    </row>
    <row r="7" spans="1:27" x14ac:dyDescent="0.3">
      <c r="A7" s="21"/>
      <c r="B7" s="22"/>
      <c r="C7" s="22"/>
      <c r="D7" s="22"/>
      <c r="E7" s="22"/>
      <c r="F7" s="22"/>
      <c r="G7" s="22"/>
      <c r="H7" s="21"/>
      <c r="I7" s="37"/>
      <c r="J7" s="15">
        <v>1247.9000000000001</v>
      </c>
      <c r="L7" s="21"/>
      <c r="M7" s="79"/>
      <c r="N7" s="43"/>
      <c r="O7" s="43"/>
      <c r="P7" s="43">
        <v>150</v>
      </c>
      <c r="Q7" s="43"/>
      <c r="R7" s="43">
        <v>860</v>
      </c>
      <c r="S7" s="43"/>
      <c r="T7" s="43">
        <v>2130</v>
      </c>
      <c r="U7" s="22">
        <v>57.5</v>
      </c>
      <c r="V7" s="22"/>
      <c r="W7" s="22"/>
      <c r="X7" s="22">
        <v>180</v>
      </c>
      <c r="Y7" s="22"/>
      <c r="Z7" s="21">
        <v>400</v>
      </c>
      <c r="AA7" s="79"/>
    </row>
    <row r="8" spans="1:27" ht="15" thickBot="1" x14ac:dyDescent="0.35">
      <c r="A8" s="21"/>
      <c r="B8" s="22"/>
      <c r="C8" s="22"/>
      <c r="D8" s="22"/>
      <c r="E8" s="22"/>
      <c r="F8" s="22"/>
      <c r="G8" s="22"/>
      <c r="H8" s="21"/>
      <c r="J8" s="131"/>
      <c r="L8" s="128"/>
      <c r="M8" s="79"/>
      <c r="N8" s="43"/>
      <c r="O8" s="43"/>
      <c r="P8" s="43"/>
      <c r="Q8" s="43"/>
      <c r="R8" s="43"/>
      <c r="S8" s="43"/>
      <c r="T8" s="43">
        <v>26</v>
      </c>
      <c r="U8" s="22"/>
      <c r="V8" s="22"/>
      <c r="W8" s="22"/>
      <c r="X8" s="22">
        <v>28</v>
      </c>
      <c r="Y8" s="22"/>
      <c r="Z8" s="128"/>
      <c r="AA8" s="79"/>
    </row>
    <row r="9" spans="1:27" ht="15.6" thickTop="1" thickBot="1" x14ac:dyDescent="0.35">
      <c r="A9" s="21"/>
      <c r="B9" s="22"/>
      <c r="C9" s="22"/>
      <c r="D9" s="22"/>
      <c r="E9" s="22"/>
      <c r="F9" s="22"/>
      <c r="G9" s="22"/>
      <c r="H9" s="21"/>
      <c r="I9" s="37"/>
      <c r="J9" s="132">
        <f>SUM(J3:J8)</f>
        <v>26388.32</v>
      </c>
      <c r="L9" s="21"/>
      <c r="M9" s="79"/>
      <c r="N9" s="43"/>
      <c r="O9" s="43"/>
      <c r="P9" s="43"/>
      <c r="Q9" s="43"/>
      <c r="R9" s="43"/>
      <c r="S9" s="43"/>
      <c r="T9" s="43">
        <v>480</v>
      </c>
      <c r="U9" s="22"/>
      <c r="V9" s="22"/>
      <c r="W9" s="22"/>
      <c r="X9" s="22"/>
      <c r="Y9" s="22"/>
      <c r="Z9" s="21"/>
      <c r="AA9" s="79"/>
    </row>
    <row r="10" spans="1:27" ht="15" thickTop="1" x14ac:dyDescent="0.3">
      <c r="A10" s="21"/>
      <c r="B10" s="22"/>
      <c r="C10" s="22"/>
      <c r="D10" s="22"/>
      <c r="E10" s="22"/>
      <c r="F10" s="22"/>
      <c r="G10" s="22"/>
      <c r="H10" s="21"/>
      <c r="I10" s="22"/>
      <c r="J10" s="40"/>
      <c r="L10" s="24"/>
      <c r="M10" s="5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56"/>
    </row>
    <row r="11" spans="1:27" x14ac:dyDescent="0.3">
      <c r="A11" s="21"/>
      <c r="B11" s="22"/>
      <c r="C11" s="22"/>
      <c r="D11" s="22"/>
      <c r="E11" s="22"/>
      <c r="F11" s="22"/>
      <c r="G11" s="22"/>
      <c r="H11" s="21"/>
      <c r="I11" s="22"/>
      <c r="J11" s="27"/>
      <c r="L11" s="24"/>
      <c r="M11" s="5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56"/>
    </row>
    <row r="12" spans="1:27" x14ac:dyDescent="0.3">
      <c r="A12" s="21"/>
      <c r="B12" s="22"/>
      <c r="C12" s="22"/>
      <c r="D12" s="22"/>
      <c r="E12" s="22"/>
      <c r="F12" s="22"/>
      <c r="G12" s="22"/>
      <c r="H12" s="21"/>
      <c r="I12" s="22"/>
      <c r="J12" s="27"/>
      <c r="L12" s="24"/>
      <c r="M12" s="5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56"/>
    </row>
    <row r="13" spans="1:27" x14ac:dyDescent="0.3">
      <c r="A13" s="21"/>
      <c r="B13" s="22"/>
      <c r="C13" s="22"/>
      <c r="D13" s="22"/>
      <c r="E13" s="22"/>
      <c r="F13" s="22"/>
      <c r="G13" s="22"/>
      <c r="H13" s="21"/>
      <c r="I13" s="22"/>
      <c r="J13" s="23"/>
      <c r="L13" s="24"/>
      <c r="M13" s="5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56"/>
    </row>
    <row r="14" spans="1:27" x14ac:dyDescent="0.3">
      <c r="A14" s="21"/>
      <c r="B14" s="22"/>
      <c r="C14" s="22"/>
      <c r="D14" s="22"/>
      <c r="E14" s="22"/>
      <c r="F14" s="22"/>
      <c r="G14" s="22"/>
      <c r="H14" s="21"/>
      <c r="I14" s="22"/>
      <c r="J14" s="23"/>
      <c r="L14" s="24"/>
      <c r="M14" s="5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56"/>
    </row>
    <row r="15" spans="1:27" x14ac:dyDescent="0.3">
      <c r="A15" s="21"/>
      <c r="B15" s="22"/>
      <c r="C15" s="22"/>
      <c r="D15" s="22"/>
      <c r="E15" s="22"/>
      <c r="F15" s="22"/>
      <c r="G15" s="22"/>
      <c r="H15" s="21"/>
      <c r="I15" s="22"/>
      <c r="J15" s="23"/>
      <c r="L15" s="24"/>
      <c r="M15" s="56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56"/>
    </row>
    <row r="16" spans="1:27" x14ac:dyDescent="0.3">
      <c r="A16" s="24"/>
      <c r="B16" s="22"/>
      <c r="C16" s="22"/>
      <c r="D16" s="22"/>
      <c r="E16" s="22"/>
      <c r="F16" s="22"/>
      <c r="G16" s="22"/>
      <c r="H16" s="24"/>
      <c r="I16" s="22"/>
      <c r="J16" s="23"/>
      <c r="L16" s="24"/>
      <c r="M16" s="56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56"/>
    </row>
    <row r="17" spans="1:27" x14ac:dyDescent="0.3">
      <c r="A17" s="24">
        <f>SUM(A3:A16)</f>
        <v>4849.59</v>
      </c>
      <c r="B17" s="24">
        <f t="shared" ref="B17:G17" si="0">SUM(B3:B16)</f>
        <v>3060</v>
      </c>
      <c r="C17" s="24">
        <f t="shared" si="0"/>
        <v>5110.1499999999996</v>
      </c>
      <c r="D17" s="24">
        <f t="shared" si="0"/>
        <v>6092.38</v>
      </c>
      <c r="E17" s="24">
        <f t="shared" si="0"/>
        <v>7993.6</v>
      </c>
      <c r="F17" s="24">
        <f t="shared" si="0"/>
        <v>830</v>
      </c>
      <c r="G17" s="24">
        <f t="shared" si="0"/>
        <v>6084.63</v>
      </c>
      <c r="H17" s="24">
        <f>SUM(H3:H16)</f>
        <v>5607.4</v>
      </c>
      <c r="I17" s="29">
        <f>SUM(A17:H17)+J9</f>
        <v>66016.070000000007</v>
      </c>
      <c r="J17" s="30" t="s">
        <v>7</v>
      </c>
      <c r="L17" s="24">
        <f>SUM(L4:L16)</f>
        <v>4440</v>
      </c>
      <c r="M17" s="24">
        <f t="shared" ref="M17:W17" si="1">SUM(M4:M16)</f>
        <v>60</v>
      </c>
      <c r="N17" s="24">
        <f t="shared" si="1"/>
        <v>4044</v>
      </c>
      <c r="O17" s="24">
        <f t="shared" si="1"/>
        <v>65</v>
      </c>
      <c r="P17" s="24">
        <f t="shared" si="1"/>
        <v>4850</v>
      </c>
      <c r="Q17" s="24">
        <f t="shared" si="1"/>
        <v>642.5</v>
      </c>
      <c r="R17" s="24">
        <f t="shared" si="1"/>
        <v>5926</v>
      </c>
      <c r="S17" s="24">
        <f t="shared" si="1"/>
        <v>1804</v>
      </c>
      <c r="T17" s="24">
        <f t="shared" si="1"/>
        <v>3158</v>
      </c>
      <c r="U17" s="24">
        <f t="shared" si="1"/>
        <v>727</v>
      </c>
      <c r="V17" s="24">
        <f t="shared" si="1"/>
        <v>694</v>
      </c>
      <c r="W17" s="24">
        <f t="shared" si="1"/>
        <v>15</v>
      </c>
      <c r="X17" s="24">
        <f>SUM(X4:X16)</f>
        <v>5369</v>
      </c>
      <c r="Y17" s="24">
        <f>SUM(Y4:Y16)</f>
        <v>262.5</v>
      </c>
      <c r="Z17" s="24">
        <f>SUM(Z4:Z16)</f>
        <v>5224</v>
      </c>
      <c r="AA17" s="24">
        <f t="shared" ref="AA17" si="2">SUM(AA4:AA16)</f>
        <v>57.5</v>
      </c>
    </row>
    <row r="18" spans="1:27" x14ac:dyDescent="0.3">
      <c r="A18" s="24">
        <v>4849.59</v>
      </c>
      <c r="B18" s="24">
        <v>3060</v>
      </c>
      <c r="C18" s="24">
        <v>5110.1499999999996</v>
      </c>
      <c r="D18" s="24">
        <v>6092.38</v>
      </c>
      <c r="E18" s="24">
        <v>7993.6</v>
      </c>
      <c r="F18" s="24">
        <v>830</v>
      </c>
      <c r="G18" s="24">
        <v>6084.63</v>
      </c>
      <c r="H18" s="24">
        <v>5607.4</v>
      </c>
      <c r="I18" s="24">
        <f t="shared" ref="I18" si="3">SUM(I4:I17)</f>
        <v>66016.070000000007</v>
      </c>
      <c r="J18" s="33" t="s">
        <v>1</v>
      </c>
      <c r="L18" s="24">
        <v>4440</v>
      </c>
      <c r="M18" s="24">
        <v>60</v>
      </c>
      <c r="N18" s="24">
        <v>4044</v>
      </c>
      <c r="O18" s="24">
        <v>65</v>
      </c>
      <c r="P18" s="24">
        <v>4850</v>
      </c>
      <c r="Q18" s="24">
        <v>642.5</v>
      </c>
      <c r="R18" s="24">
        <v>5926</v>
      </c>
      <c r="S18" s="24">
        <v>1804</v>
      </c>
      <c r="T18" s="24">
        <v>3158</v>
      </c>
      <c r="U18" s="24">
        <v>727</v>
      </c>
      <c r="V18" s="24">
        <v>694</v>
      </c>
      <c r="W18" s="24">
        <v>15</v>
      </c>
      <c r="X18" s="24">
        <v>5369</v>
      </c>
      <c r="Y18" s="24">
        <v>262.5</v>
      </c>
      <c r="Z18" s="24">
        <v>5224</v>
      </c>
      <c r="AA18" s="24">
        <v>57.5</v>
      </c>
    </row>
    <row r="19" spans="1:27" ht="15" thickBot="1" x14ac:dyDescent="0.35">
      <c r="A19" s="35">
        <f t="shared" ref="A19:I19" si="4">A17-A18</f>
        <v>0</v>
      </c>
      <c r="B19" s="35">
        <f t="shared" si="4"/>
        <v>0</v>
      </c>
      <c r="C19" s="35">
        <f t="shared" si="4"/>
        <v>0</v>
      </c>
      <c r="D19" s="35">
        <f t="shared" si="4"/>
        <v>0</v>
      </c>
      <c r="E19" s="35">
        <f t="shared" si="4"/>
        <v>0</v>
      </c>
      <c r="F19" s="35">
        <f t="shared" si="4"/>
        <v>0</v>
      </c>
      <c r="G19" s="35">
        <f t="shared" si="4"/>
        <v>0</v>
      </c>
      <c r="H19" s="35">
        <f t="shared" si="4"/>
        <v>0</v>
      </c>
      <c r="I19" s="35">
        <f t="shared" si="4"/>
        <v>0</v>
      </c>
      <c r="J19" s="16">
        <f>SUM(J13:J18)</f>
        <v>0</v>
      </c>
      <c r="L19" s="86">
        <f>L17-L18</f>
        <v>0</v>
      </c>
      <c r="M19" s="86">
        <f>M17-M18</f>
        <v>0</v>
      </c>
      <c r="N19" s="86">
        <f t="shared" ref="N19:W19" si="5">N17-N18</f>
        <v>0</v>
      </c>
      <c r="O19" s="86">
        <f t="shared" si="5"/>
        <v>0</v>
      </c>
      <c r="P19" s="86">
        <f t="shared" si="5"/>
        <v>0</v>
      </c>
      <c r="Q19" s="86">
        <f t="shared" si="5"/>
        <v>0</v>
      </c>
      <c r="R19" s="86">
        <f t="shared" si="5"/>
        <v>0</v>
      </c>
      <c r="S19" s="86">
        <f t="shared" si="5"/>
        <v>0</v>
      </c>
      <c r="T19" s="86">
        <f t="shared" si="5"/>
        <v>0</v>
      </c>
      <c r="U19" s="86">
        <f t="shared" si="5"/>
        <v>0</v>
      </c>
      <c r="V19" s="86">
        <f t="shared" si="5"/>
        <v>0</v>
      </c>
      <c r="W19" s="86">
        <f t="shared" si="5"/>
        <v>0</v>
      </c>
      <c r="X19" s="86">
        <f>X17-X18</f>
        <v>0</v>
      </c>
      <c r="Y19" s="86">
        <f>Y17-Y18</f>
        <v>0</v>
      </c>
      <c r="Z19" s="86">
        <f>Z17-Z18</f>
        <v>0</v>
      </c>
      <c r="AA19" s="86">
        <f>AA17-AA18</f>
        <v>0</v>
      </c>
    </row>
    <row r="20" spans="1:27" ht="15.6" thickTop="1" thickBot="1" x14ac:dyDescent="0.35"/>
    <row r="21" spans="1:27" x14ac:dyDescent="0.3">
      <c r="A21" s="17">
        <v>45665</v>
      </c>
      <c r="B21" s="17" t="s">
        <v>53</v>
      </c>
      <c r="C21" s="17">
        <v>45667</v>
      </c>
      <c r="D21" s="17">
        <v>45668</v>
      </c>
      <c r="E21" s="17">
        <v>45669</v>
      </c>
      <c r="F21" s="17">
        <v>45670</v>
      </c>
      <c r="G21" s="17">
        <v>45671</v>
      </c>
      <c r="H21" s="17"/>
      <c r="I21" s="13" t="s">
        <v>8</v>
      </c>
      <c r="K21" s="59">
        <v>45665</v>
      </c>
      <c r="L21" s="59"/>
      <c r="M21" s="59">
        <v>45666</v>
      </c>
      <c r="N21" s="59"/>
      <c r="O21" s="59">
        <v>45667</v>
      </c>
      <c r="P21" s="59"/>
      <c r="Q21" s="59">
        <v>45668</v>
      </c>
      <c r="R21" s="59"/>
      <c r="S21" s="59">
        <v>45669</v>
      </c>
      <c r="T21" s="59"/>
      <c r="U21" s="59">
        <v>45670</v>
      </c>
      <c r="V21" s="59"/>
      <c r="W21" s="59">
        <v>46766</v>
      </c>
      <c r="X21" s="142"/>
    </row>
    <row r="22" spans="1:27" ht="15" thickBot="1" x14ac:dyDescent="0.35">
      <c r="A22" s="24">
        <v>920</v>
      </c>
      <c r="B22" s="22">
        <v>2124.09</v>
      </c>
      <c r="C22" s="22">
        <v>1826.84</v>
      </c>
      <c r="D22" s="22">
        <v>4763.79</v>
      </c>
      <c r="E22" s="22">
        <v>745</v>
      </c>
      <c r="F22" s="22">
        <v>1120</v>
      </c>
      <c r="G22" s="22">
        <v>1280</v>
      </c>
      <c r="H22" s="37"/>
      <c r="I22" s="15">
        <v>5994.85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7" x14ac:dyDescent="0.3">
      <c r="A23" s="24">
        <v>2765</v>
      </c>
      <c r="B23" s="22">
        <v>2560</v>
      </c>
      <c r="C23" s="22">
        <v>3220</v>
      </c>
      <c r="D23" s="22">
        <v>1990</v>
      </c>
      <c r="E23" s="25">
        <v>380</v>
      </c>
      <c r="F23" s="22">
        <v>2750</v>
      </c>
      <c r="G23" s="22">
        <v>2580</v>
      </c>
      <c r="H23" s="37"/>
      <c r="I23" s="15">
        <v>2442.5</v>
      </c>
      <c r="K23" s="75">
        <v>270</v>
      </c>
      <c r="L23" s="76">
        <v>50</v>
      </c>
      <c r="M23" s="77">
        <v>360</v>
      </c>
      <c r="N23" s="77">
        <v>2760</v>
      </c>
      <c r="O23" s="77">
        <v>600</v>
      </c>
      <c r="P23" s="77">
        <v>117.5</v>
      </c>
      <c r="Q23" s="77">
        <v>480</v>
      </c>
      <c r="R23" s="77">
        <v>120</v>
      </c>
      <c r="S23" s="78">
        <v>370</v>
      </c>
      <c r="T23" s="22">
        <v>0</v>
      </c>
      <c r="U23" s="63">
        <v>28</v>
      </c>
      <c r="V23" s="63">
        <v>45</v>
      </c>
      <c r="W23" s="63">
        <v>300</v>
      </c>
      <c r="X23" s="40">
        <v>105</v>
      </c>
    </row>
    <row r="24" spans="1:27" x14ac:dyDescent="0.3">
      <c r="A24" s="24">
        <v>1964.63</v>
      </c>
      <c r="B24" s="22">
        <v>1235</v>
      </c>
      <c r="C24" s="22">
        <v>990</v>
      </c>
      <c r="D24" s="26">
        <v>960</v>
      </c>
      <c r="E24" s="22"/>
      <c r="F24" s="22">
        <v>2124.09</v>
      </c>
      <c r="G24" s="22">
        <v>2299.11</v>
      </c>
      <c r="H24" s="37" t="s">
        <v>49</v>
      </c>
      <c r="I24" s="15">
        <v>5596.18</v>
      </c>
      <c r="K24" s="21">
        <v>162</v>
      </c>
      <c r="L24" s="79">
        <v>146.19999999999999</v>
      </c>
      <c r="M24" s="80">
        <v>4000</v>
      </c>
      <c r="N24" s="43">
        <v>105</v>
      </c>
      <c r="O24" s="43">
        <v>4740</v>
      </c>
      <c r="P24" s="43">
        <v>96.7</v>
      </c>
      <c r="Q24" s="43">
        <v>2960</v>
      </c>
      <c r="R24" s="80">
        <v>120</v>
      </c>
      <c r="S24" s="43">
        <v>84</v>
      </c>
      <c r="T24" s="22"/>
      <c r="U24" s="22">
        <v>210</v>
      </c>
      <c r="V24" s="22"/>
      <c r="W24" s="22">
        <v>260</v>
      </c>
      <c r="X24" s="27"/>
    </row>
    <row r="25" spans="1:27" x14ac:dyDescent="0.3">
      <c r="A25" s="21"/>
      <c r="B25" s="22"/>
      <c r="C25" s="22"/>
      <c r="D25" s="25"/>
      <c r="E25" s="22"/>
      <c r="F25" s="22"/>
      <c r="G25" s="22"/>
      <c r="H25" s="37"/>
      <c r="I25" s="15">
        <v>5377.76</v>
      </c>
      <c r="K25" s="21">
        <v>4100</v>
      </c>
      <c r="L25" s="79"/>
      <c r="M25" s="81">
        <v>188</v>
      </c>
      <c r="N25" s="43"/>
      <c r="O25" s="43">
        <v>420</v>
      </c>
      <c r="P25" s="43"/>
      <c r="Q25" s="43">
        <v>418</v>
      </c>
      <c r="R25" s="81"/>
      <c r="S25" s="43"/>
      <c r="T25" s="22"/>
      <c r="U25" s="22">
        <v>440</v>
      </c>
      <c r="V25" s="22"/>
      <c r="W25" s="22">
        <v>3890</v>
      </c>
      <c r="X25" s="27"/>
    </row>
    <row r="26" spans="1:27" x14ac:dyDescent="0.3">
      <c r="A26" s="21"/>
      <c r="B26" s="22"/>
      <c r="C26" s="22"/>
      <c r="D26" s="22"/>
      <c r="E26" s="22"/>
      <c r="F26" s="22"/>
      <c r="G26" s="22"/>
      <c r="H26" s="37"/>
      <c r="I26" s="15">
        <v>760</v>
      </c>
      <c r="K26" s="21">
        <v>320</v>
      </c>
      <c r="L26" s="79"/>
      <c r="M26" s="43">
        <v>270</v>
      </c>
      <c r="N26" s="43"/>
      <c r="O26" s="43">
        <v>150</v>
      </c>
      <c r="P26" s="43"/>
      <c r="Q26" s="43">
        <v>300</v>
      </c>
      <c r="R26" s="43"/>
      <c r="S26" s="43"/>
      <c r="T26" s="22"/>
      <c r="U26" s="22">
        <v>5260</v>
      </c>
      <c r="V26" s="22"/>
      <c r="W26" s="22">
        <v>800</v>
      </c>
      <c r="X26" s="27"/>
    </row>
    <row r="27" spans="1:27" ht="15" thickBot="1" x14ac:dyDescent="0.35">
      <c r="A27" s="21"/>
      <c r="B27" s="22"/>
      <c r="C27" s="22"/>
      <c r="D27" s="22"/>
      <c r="E27" s="22"/>
      <c r="F27" s="22"/>
      <c r="G27" s="22"/>
      <c r="I27" s="131"/>
      <c r="K27" s="128"/>
      <c r="L27" s="79"/>
      <c r="M27" s="43"/>
      <c r="N27" s="43"/>
      <c r="O27" s="43"/>
      <c r="P27" s="43"/>
      <c r="Q27" s="43">
        <v>28</v>
      </c>
      <c r="R27" s="43"/>
      <c r="S27" s="43"/>
      <c r="T27" s="22"/>
      <c r="U27" s="22">
        <v>360</v>
      </c>
      <c r="V27" s="22"/>
      <c r="W27" s="22"/>
      <c r="X27" s="27"/>
    </row>
    <row r="28" spans="1:27" ht="15.6" thickTop="1" thickBot="1" x14ac:dyDescent="0.35">
      <c r="A28" s="21"/>
      <c r="B28" s="22"/>
      <c r="C28" s="22"/>
      <c r="D28" s="22"/>
      <c r="E28" s="22"/>
      <c r="F28" s="22"/>
      <c r="G28" s="22"/>
      <c r="H28" s="37"/>
      <c r="I28" s="132">
        <f>SUM(I22:I27)</f>
        <v>20171.29</v>
      </c>
      <c r="K28" s="21"/>
      <c r="L28" s="79"/>
      <c r="M28" s="43"/>
      <c r="N28" s="43"/>
      <c r="O28" s="43"/>
      <c r="P28" s="43"/>
      <c r="Q28" s="43"/>
      <c r="R28" s="43"/>
      <c r="S28" s="43"/>
      <c r="T28" s="22"/>
      <c r="U28" s="22"/>
      <c r="V28" s="22"/>
      <c r="W28" s="22"/>
      <c r="X28" s="27"/>
    </row>
    <row r="29" spans="1:27" ht="15" thickTop="1" x14ac:dyDescent="0.3">
      <c r="A29" s="21"/>
      <c r="B29" s="22"/>
      <c r="C29" s="22"/>
      <c r="D29" s="22"/>
      <c r="E29" s="22"/>
      <c r="F29" s="22"/>
      <c r="G29" s="22"/>
      <c r="H29" s="22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7"/>
    </row>
    <row r="30" spans="1:27" x14ac:dyDescent="0.3">
      <c r="A30" s="21"/>
      <c r="B30" s="22"/>
      <c r="C30" s="22"/>
      <c r="D30" s="22"/>
      <c r="E30" s="22"/>
      <c r="F30" s="22"/>
      <c r="G30" s="22"/>
      <c r="H30" s="22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7"/>
    </row>
    <row r="31" spans="1:27" x14ac:dyDescent="0.3">
      <c r="A31" s="21"/>
      <c r="B31" s="22"/>
      <c r="C31" s="22"/>
      <c r="D31" s="22"/>
      <c r="E31" s="22"/>
      <c r="F31" s="22"/>
      <c r="G31" s="22"/>
      <c r="H31" s="22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7"/>
    </row>
    <row r="32" spans="1:27" x14ac:dyDescent="0.3">
      <c r="A32" s="21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7"/>
    </row>
    <row r="33" spans="1:24" ht="15" thickBot="1" x14ac:dyDescent="0.35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35"/>
      <c r="O33" s="22"/>
      <c r="P33" s="22"/>
      <c r="Q33" s="22"/>
      <c r="R33" s="22"/>
      <c r="S33" s="22"/>
      <c r="T33" s="22"/>
      <c r="U33" s="22"/>
      <c r="V33" s="22"/>
      <c r="W33" s="22"/>
      <c r="X33" s="27"/>
    </row>
    <row r="34" spans="1:24" ht="15" thickTop="1" x14ac:dyDescent="0.3">
      <c r="A34" s="21" t="s">
        <v>54</v>
      </c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63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x14ac:dyDescent="0.3">
      <c r="A35" s="24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7"/>
    </row>
    <row r="36" spans="1:24" ht="15" thickBot="1" x14ac:dyDescent="0.35">
      <c r="A36" s="133">
        <f>SUM(A22:A35)</f>
        <v>5649.63</v>
      </c>
      <c r="B36" s="133">
        <f t="shared" ref="B36:E36" si="6">SUM(B22:B35)</f>
        <v>5919.09</v>
      </c>
      <c r="C36" s="133">
        <f t="shared" si="6"/>
        <v>6036.84</v>
      </c>
      <c r="D36" s="133">
        <f t="shared" si="6"/>
        <v>7713.79</v>
      </c>
      <c r="E36" s="133">
        <f t="shared" si="6"/>
        <v>1125</v>
      </c>
      <c r="F36" s="133">
        <f>SUM(F22:F35)</f>
        <v>5994.09</v>
      </c>
      <c r="G36" s="133">
        <f t="shared" ref="G36:H37" si="7">SUM(G22:G35)</f>
        <v>6159.1100000000006</v>
      </c>
      <c r="H36" s="29">
        <f>SUM(A36:G36)+I28</f>
        <v>58768.840000000004</v>
      </c>
      <c r="I36" s="30" t="s">
        <v>7</v>
      </c>
      <c r="K36" s="133">
        <f>SUM(K23:K35)</f>
        <v>4852</v>
      </c>
      <c r="L36" s="133">
        <f t="shared" ref="L36:X37" si="8">SUM(L23:L35)</f>
        <v>196.2</v>
      </c>
      <c r="M36" s="133">
        <f t="shared" si="8"/>
        <v>4818</v>
      </c>
      <c r="N36" s="133">
        <f t="shared" si="8"/>
        <v>2865</v>
      </c>
      <c r="O36" s="133">
        <f t="shared" si="8"/>
        <v>5910</v>
      </c>
      <c r="P36" s="133">
        <f t="shared" si="8"/>
        <v>214.2</v>
      </c>
      <c r="Q36" s="133">
        <f t="shared" si="8"/>
        <v>4186</v>
      </c>
      <c r="R36" s="133">
        <f t="shared" si="8"/>
        <v>240</v>
      </c>
      <c r="S36" s="133">
        <f t="shared" si="8"/>
        <v>454</v>
      </c>
      <c r="T36" s="133">
        <f t="shared" si="8"/>
        <v>0</v>
      </c>
      <c r="U36" s="133">
        <f t="shared" si="8"/>
        <v>6298</v>
      </c>
      <c r="V36" s="133">
        <f t="shared" si="8"/>
        <v>45</v>
      </c>
      <c r="W36" s="133">
        <f t="shared" si="8"/>
        <v>5250</v>
      </c>
      <c r="X36" s="83">
        <f t="shared" si="8"/>
        <v>105</v>
      </c>
    </row>
    <row r="37" spans="1:24" ht="15" thickBot="1" x14ac:dyDescent="0.35">
      <c r="A37" s="146">
        <v>5649.63</v>
      </c>
      <c r="B37" s="146">
        <v>5919.09</v>
      </c>
      <c r="C37" s="146">
        <v>6036.84</v>
      </c>
      <c r="D37" s="146">
        <v>7713.79</v>
      </c>
      <c r="E37" s="146">
        <v>1125</v>
      </c>
      <c r="F37" s="146">
        <v>5994.09</v>
      </c>
      <c r="G37" s="133">
        <v>6159.11</v>
      </c>
      <c r="H37" s="146">
        <f t="shared" si="7"/>
        <v>58768.840000000004</v>
      </c>
      <c r="I37" s="33" t="s">
        <v>1</v>
      </c>
      <c r="K37" s="146">
        <v>4852</v>
      </c>
      <c r="L37" s="146">
        <v>196.2</v>
      </c>
      <c r="M37" s="146">
        <v>4818</v>
      </c>
      <c r="N37" s="146">
        <v>2865</v>
      </c>
      <c r="O37" s="146">
        <v>5910</v>
      </c>
      <c r="P37" s="146">
        <v>214.2</v>
      </c>
      <c r="Q37" s="146">
        <v>4186</v>
      </c>
      <c r="R37" s="146">
        <v>240</v>
      </c>
      <c r="S37" s="146">
        <v>454</v>
      </c>
      <c r="T37" s="146">
        <f t="shared" si="8"/>
        <v>0</v>
      </c>
      <c r="U37" s="146">
        <v>6298</v>
      </c>
      <c r="V37" s="146">
        <v>45</v>
      </c>
      <c r="W37" s="146">
        <v>5250</v>
      </c>
      <c r="X37" s="83">
        <f t="shared" si="8"/>
        <v>105</v>
      </c>
    </row>
    <row r="38" spans="1:24" ht="15" thickBot="1" x14ac:dyDescent="0.35">
      <c r="A38" s="144">
        <f t="shared" ref="A38:H38" si="9">A36-A37</f>
        <v>0</v>
      </c>
      <c r="B38" s="147">
        <f t="shared" si="9"/>
        <v>0</v>
      </c>
      <c r="C38" s="147">
        <f t="shared" si="9"/>
        <v>0</v>
      </c>
      <c r="D38" s="147">
        <f t="shared" si="9"/>
        <v>0</v>
      </c>
      <c r="E38" s="147">
        <f t="shared" si="9"/>
        <v>0</v>
      </c>
      <c r="F38" s="147">
        <f t="shared" si="9"/>
        <v>0</v>
      </c>
      <c r="G38" s="147">
        <f t="shared" si="9"/>
        <v>0</v>
      </c>
      <c r="H38" s="140">
        <f t="shared" si="9"/>
        <v>0</v>
      </c>
      <c r="I38" s="141">
        <f>SUM(I32:I37)</f>
        <v>0</v>
      </c>
      <c r="K38" s="144">
        <f>K36-K37</f>
        <v>0</v>
      </c>
      <c r="L38" s="144">
        <f>L36-L37</f>
        <v>0</v>
      </c>
      <c r="M38" s="144">
        <f t="shared" ref="M38:W38" si="10">M36-M37</f>
        <v>0</v>
      </c>
      <c r="N38" s="144">
        <f t="shared" si="10"/>
        <v>0</v>
      </c>
      <c r="O38" s="144">
        <f t="shared" si="10"/>
        <v>0</v>
      </c>
      <c r="P38" s="144">
        <f t="shared" si="10"/>
        <v>0</v>
      </c>
      <c r="Q38" s="144">
        <f t="shared" si="10"/>
        <v>0</v>
      </c>
      <c r="R38" s="144">
        <f t="shared" si="10"/>
        <v>0</v>
      </c>
      <c r="S38" s="144">
        <f t="shared" si="10"/>
        <v>0</v>
      </c>
      <c r="T38" s="144">
        <f t="shared" si="10"/>
        <v>0</v>
      </c>
      <c r="U38" s="144">
        <f t="shared" si="10"/>
        <v>0</v>
      </c>
      <c r="V38" s="144">
        <f t="shared" si="10"/>
        <v>0</v>
      </c>
      <c r="W38" s="144">
        <f t="shared" si="10"/>
        <v>0</v>
      </c>
      <c r="X38" s="145">
        <f>X36-X37</f>
        <v>0</v>
      </c>
    </row>
    <row r="40" spans="1:24" ht="15" thickBot="1" x14ac:dyDescent="0.35"/>
    <row r="41" spans="1:24" x14ac:dyDescent="0.3">
      <c r="A41" s="17">
        <v>45672</v>
      </c>
      <c r="B41" s="17">
        <v>45673</v>
      </c>
      <c r="C41" s="17">
        <v>45674</v>
      </c>
      <c r="D41" s="17">
        <v>45675</v>
      </c>
      <c r="E41" s="17">
        <v>45676</v>
      </c>
      <c r="F41" s="17">
        <v>45677</v>
      </c>
      <c r="G41" s="17">
        <v>45678</v>
      </c>
      <c r="H41" s="17"/>
      <c r="I41" s="13" t="s">
        <v>8</v>
      </c>
      <c r="K41" s="59">
        <v>45672</v>
      </c>
      <c r="L41" s="59"/>
      <c r="M41" s="59">
        <v>45673</v>
      </c>
      <c r="N41" s="59"/>
      <c r="O41" s="59">
        <v>45674</v>
      </c>
      <c r="P41" s="59"/>
      <c r="Q41" s="59">
        <v>45675</v>
      </c>
      <c r="R41" s="59"/>
      <c r="S41" s="59">
        <v>45676</v>
      </c>
      <c r="T41" s="59"/>
      <c r="U41" s="59">
        <v>45677</v>
      </c>
      <c r="V41" s="59"/>
      <c r="W41" s="59">
        <v>45678</v>
      </c>
      <c r="X41" s="59"/>
    </row>
    <row r="42" spans="1:24" ht="15" thickBot="1" x14ac:dyDescent="0.35">
      <c r="A42" s="24">
        <v>1826.84</v>
      </c>
      <c r="B42" s="22">
        <v>1270</v>
      </c>
      <c r="C42" s="22">
        <v>1949.07</v>
      </c>
      <c r="D42" s="22">
        <v>5136.8500000000004</v>
      </c>
      <c r="E42" s="22">
        <v>495</v>
      </c>
      <c r="F42" s="22">
        <v>1080</v>
      </c>
      <c r="G42" s="22">
        <v>2119.0700000000002</v>
      </c>
      <c r="H42" s="37"/>
      <c r="I42" s="15">
        <v>5660.8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4">
        <v>2805</v>
      </c>
      <c r="B43" s="22">
        <v>2565</v>
      </c>
      <c r="C43" s="22">
        <v>3175</v>
      </c>
      <c r="D43" s="22">
        <v>1285</v>
      </c>
      <c r="E43" s="25">
        <v>405</v>
      </c>
      <c r="F43" s="22">
        <v>3385</v>
      </c>
      <c r="G43" s="22">
        <v>2120</v>
      </c>
      <c r="H43" s="37"/>
      <c r="I43" s="15">
        <v>6000</v>
      </c>
      <c r="K43" s="75">
        <v>600</v>
      </c>
      <c r="L43" s="76">
        <v>60</v>
      </c>
      <c r="M43" s="77">
        <v>240</v>
      </c>
      <c r="N43" s="77">
        <v>85</v>
      </c>
      <c r="O43" s="77">
        <v>420</v>
      </c>
      <c r="P43" s="77">
        <v>60</v>
      </c>
      <c r="Q43" s="77">
        <v>720</v>
      </c>
      <c r="R43" s="77">
        <v>52.5</v>
      </c>
      <c r="S43" s="78">
        <v>570</v>
      </c>
      <c r="T43" s="22">
        <v>15</v>
      </c>
      <c r="U43" s="63">
        <v>240</v>
      </c>
      <c r="V43" s="63">
        <v>60</v>
      </c>
      <c r="W43" s="63">
        <v>570</v>
      </c>
      <c r="X43" s="40">
        <v>57.5</v>
      </c>
    </row>
    <row r="44" spans="1:24" x14ac:dyDescent="0.3">
      <c r="A44" s="24">
        <v>1145</v>
      </c>
      <c r="B44" s="22">
        <v>1949.07</v>
      </c>
      <c r="C44" s="22">
        <v>950</v>
      </c>
      <c r="D44" s="26">
        <v>1155</v>
      </c>
      <c r="E44" s="22"/>
      <c r="F44" s="22">
        <v>1704.61</v>
      </c>
      <c r="G44" s="22">
        <v>1480</v>
      </c>
      <c r="H44" s="37" t="s">
        <v>49</v>
      </c>
      <c r="I44" s="15">
        <v>2720</v>
      </c>
      <c r="K44" s="21">
        <v>4340</v>
      </c>
      <c r="L44" s="79">
        <v>409.5</v>
      </c>
      <c r="M44" s="80">
        <v>188</v>
      </c>
      <c r="N44" s="43">
        <v>1301.0999999999999</v>
      </c>
      <c r="O44" s="43">
        <v>4410</v>
      </c>
      <c r="P44" s="43">
        <v>57.5</v>
      </c>
      <c r="Q44" s="43">
        <v>78</v>
      </c>
      <c r="R44" s="80"/>
      <c r="S44" s="43">
        <v>84</v>
      </c>
      <c r="T44" s="22"/>
      <c r="U44" s="22">
        <v>344</v>
      </c>
      <c r="V44" s="22">
        <v>60</v>
      </c>
      <c r="W44" s="22">
        <v>3900</v>
      </c>
      <c r="X44" s="27">
        <v>64</v>
      </c>
    </row>
    <row r="45" spans="1:24" x14ac:dyDescent="0.3">
      <c r="A45" s="21"/>
      <c r="B45" s="22"/>
      <c r="C45" s="22"/>
      <c r="D45" s="25"/>
      <c r="E45" s="22"/>
      <c r="F45" s="22"/>
      <c r="G45" s="22"/>
      <c r="H45" s="37"/>
      <c r="I45" s="15">
        <v>5598.42</v>
      </c>
      <c r="K45" s="21">
        <v>304</v>
      </c>
      <c r="L45" s="79">
        <v>57.5</v>
      </c>
      <c r="M45" s="81">
        <v>3550</v>
      </c>
      <c r="N45" s="43">
        <v>60</v>
      </c>
      <c r="O45" s="43">
        <v>416</v>
      </c>
      <c r="P45" s="43"/>
      <c r="Q45" s="43">
        <v>2340</v>
      </c>
      <c r="R45" s="81"/>
      <c r="S45" s="43"/>
      <c r="T45" s="22"/>
      <c r="U45" s="22">
        <v>4230</v>
      </c>
      <c r="V45" s="22"/>
      <c r="W45" s="22">
        <v>260</v>
      </c>
      <c r="X45" s="27"/>
    </row>
    <row r="46" spans="1:24" x14ac:dyDescent="0.3">
      <c r="A46" s="21"/>
      <c r="B46" s="22"/>
      <c r="C46" s="22"/>
      <c r="D46" s="22"/>
      <c r="E46" s="22"/>
      <c r="F46" s="22"/>
      <c r="G46" s="22"/>
      <c r="H46" s="37"/>
      <c r="I46" s="15">
        <v>167.24</v>
      </c>
      <c r="K46" s="21">
        <v>150</v>
      </c>
      <c r="L46" s="79"/>
      <c r="M46" s="43">
        <v>430</v>
      </c>
      <c r="N46" s="43"/>
      <c r="O46" s="43">
        <v>280</v>
      </c>
      <c r="P46" s="43"/>
      <c r="Q46" s="43">
        <v>196</v>
      </c>
      <c r="R46" s="43"/>
      <c r="S46" s="43"/>
      <c r="T46" s="22"/>
      <c r="U46" s="22">
        <v>700</v>
      </c>
      <c r="V46" s="22"/>
      <c r="W46" s="22">
        <v>220</v>
      </c>
      <c r="X46" s="27"/>
    </row>
    <row r="47" spans="1:24" ht="15" thickBot="1" x14ac:dyDescent="0.35">
      <c r="A47" s="21"/>
      <c r="B47" s="22"/>
      <c r="C47" s="22"/>
      <c r="D47" s="22"/>
      <c r="E47" s="22"/>
      <c r="F47" s="22"/>
      <c r="G47" s="22"/>
      <c r="I47" s="131"/>
      <c r="K47" s="128"/>
      <c r="L47" s="79"/>
      <c r="M47" s="43"/>
      <c r="N47" s="43"/>
      <c r="O47" s="43">
        <v>28</v>
      </c>
      <c r="P47" s="43"/>
      <c r="Q47" s="43">
        <v>300</v>
      </c>
      <c r="R47" s="43"/>
      <c r="S47" s="43"/>
      <c r="T47" s="22"/>
      <c r="U47" s="22"/>
      <c r="V47" s="22"/>
      <c r="W47" s="22"/>
      <c r="X47" s="27"/>
    </row>
    <row r="48" spans="1:24" ht="15.6" thickTop="1" thickBot="1" x14ac:dyDescent="0.35">
      <c r="A48" s="21"/>
      <c r="B48" s="22"/>
      <c r="C48" s="22"/>
      <c r="D48" s="22"/>
      <c r="E48" s="22"/>
      <c r="F48" s="22"/>
      <c r="G48" s="22"/>
      <c r="H48" s="37"/>
      <c r="I48" s="132">
        <f>SUM(I42:I47)</f>
        <v>20146.460000000003</v>
      </c>
      <c r="K48" s="21"/>
      <c r="L48" s="79"/>
      <c r="M48" s="43"/>
      <c r="N48" s="43"/>
      <c r="O48" s="43"/>
      <c r="P48" s="43"/>
      <c r="Q48" s="43">
        <v>28</v>
      </c>
      <c r="R48" s="43"/>
      <c r="S48" s="43"/>
      <c r="T48" s="22"/>
      <c r="U48" s="22"/>
      <c r="V48" s="22"/>
      <c r="W48" s="22"/>
      <c r="X48" s="27"/>
    </row>
    <row r="49" spans="1:24" ht="15" thickTop="1" x14ac:dyDescent="0.3">
      <c r="A49" s="21"/>
      <c r="B49" s="22"/>
      <c r="C49" s="22"/>
      <c r="D49" s="22"/>
      <c r="E49" s="22"/>
      <c r="F49" s="22"/>
      <c r="G49" s="22"/>
      <c r="H49" s="22"/>
      <c r="I49" s="40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7"/>
    </row>
    <row r="50" spans="1:24" x14ac:dyDescent="0.3">
      <c r="A50" s="21"/>
      <c r="B50" s="22"/>
      <c r="C50" s="22"/>
      <c r="D50" s="22"/>
      <c r="E50" s="22"/>
      <c r="F50" s="22"/>
      <c r="G50" s="22"/>
      <c r="H50" s="22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7"/>
    </row>
    <row r="51" spans="1:24" x14ac:dyDescent="0.3">
      <c r="A51" s="21"/>
      <c r="B51" s="22"/>
      <c r="C51" s="22"/>
      <c r="D51" s="22"/>
      <c r="E51" s="22"/>
      <c r="F51" s="22"/>
      <c r="G51" s="22"/>
      <c r="H51" s="22"/>
      <c r="I51" s="27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7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7"/>
    </row>
    <row r="53" spans="1:24" ht="15" thickBot="1" x14ac:dyDescent="0.35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35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ht="15" thickTop="1" x14ac:dyDescent="0.3">
      <c r="A54" s="21" t="s">
        <v>54</v>
      </c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63"/>
      <c r="O54" s="22"/>
      <c r="P54" s="22"/>
      <c r="Q54" s="22"/>
      <c r="R54" s="22"/>
      <c r="S54" s="22"/>
      <c r="T54" s="22"/>
      <c r="U54" s="22"/>
      <c r="V54" s="22"/>
      <c r="W54" s="22"/>
      <c r="X54" s="27"/>
    </row>
    <row r="55" spans="1:24" x14ac:dyDescent="0.3">
      <c r="A55" s="24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7"/>
    </row>
    <row r="56" spans="1:24" ht="15" thickBot="1" x14ac:dyDescent="0.35">
      <c r="A56" s="133">
        <f>SUM(A42:A55)</f>
        <v>5776.84</v>
      </c>
      <c r="B56" s="133">
        <f t="shared" ref="B56:E56" si="11">SUM(B42:B55)</f>
        <v>5784.07</v>
      </c>
      <c r="C56" s="133">
        <f t="shared" si="11"/>
        <v>6074.07</v>
      </c>
      <c r="D56" s="133">
        <f t="shared" si="11"/>
        <v>7576.85</v>
      </c>
      <c r="E56" s="133">
        <f t="shared" si="11"/>
        <v>900</v>
      </c>
      <c r="F56" s="133">
        <f>SUM(F42:F55)</f>
        <v>6169.61</v>
      </c>
      <c r="G56" s="133">
        <f>SUM(G42:G55)</f>
        <v>5719.07</v>
      </c>
      <c r="H56" s="29">
        <f>SUM(A56:G56)+I48</f>
        <v>58146.97</v>
      </c>
      <c r="I56" s="30" t="s">
        <v>7</v>
      </c>
      <c r="K56" s="133">
        <f>SUM(K43:K55)</f>
        <v>5394</v>
      </c>
      <c r="L56" s="133">
        <f t="shared" ref="L56:X56" si="12">SUM(L43:L55)</f>
        <v>527</v>
      </c>
      <c r="M56" s="133">
        <f t="shared" si="12"/>
        <v>4408</v>
      </c>
      <c r="N56" s="133">
        <f t="shared" si="12"/>
        <v>1446.1</v>
      </c>
      <c r="O56" s="133">
        <f t="shared" si="12"/>
        <v>5554</v>
      </c>
      <c r="P56" s="133">
        <f t="shared" si="12"/>
        <v>117.5</v>
      </c>
      <c r="Q56" s="133">
        <f t="shared" si="12"/>
        <v>3662</v>
      </c>
      <c r="R56" s="133">
        <f t="shared" si="12"/>
        <v>52.5</v>
      </c>
      <c r="S56" s="133">
        <f t="shared" si="12"/>
        <v>654</v>
      </c>
      <c r="T56" s="133">
        <f t="shared" si="12"/>
        <v>15</v>
      </c>
      <c r="U56" s="133">
        <f t="shared" si="12"/>
        <v>5514</v>
      </c>
      <c r="V56" s="133">
        <f t="shared" si="12"/>
        <v>120</v>
      </c>
      <c r="W56" s="133">
        <f t="shared" si="12"/>
        <v>4950</v>
      </c>
      <c r="X56" s="83">
        <f t="shared" si="12"/>
        <v>121.5</v>
      </c>
    </row>
    <row r="57" spans="1:24" ht="15" thickBot="1" x14ac:dyDescent="0.35">
      <c r="A57" s="146">
        <v>5776.84</v>
      </c>
      <c r="B57" s="148">
        <v>5784.07</v>
      </c>
      <c r="C57" s="24">
        <v>6074.07</v>
      </c>
      <c r="D57" s="24">
        <v>7576.85</v>
      </c>
      <c r="E57" s="24">
        <v>900</v>
      </c>
      <c r="F57" s="24">
        <v>6169.61</v>
      </c>
      <c r="G57" s="15">
        <v>5719.07</v>
      </c>
      <c r="H57" s="146">
        <f t="shared" ref="H57" si="13">SUM(H43:H56)</f>
        <v>58146.97</v>
      </c>
      <c r="I57" s="33" t="s">
        <v>1</v>
      </c>
      <c r="K57" s="146">
        <v>5394</v>
      </c>
      <c r="L57" s="146">
        <v>527</v>
      </c>
      <c r="M57" s="146">
        <v>4408</v>
      </c>
      <c r="N57" s="146">
        <v>1446.1</v>
      </c>
      <c r="O57" s="146">
        <v>5554</v>
      </c>
      <c r="P57" s="146">
        <v>117.5</v>
      </c>
      <c r="Q57" s="146">
        <v>3662</v>
      </c>
      <c r="R57" s="146">
        <v>52.5</v>
      </c>
      <c r="S57" s="146">
        <v>654</v>
      </c>
      <c r="T57" s="146">
        <v>15</v>
      </c>
      <c r="U57" s="146">
        <v>5514</v>
      </c>
      <c r="V57" s="146">
        <v>120</v>
      </c>
      <c r="W57" s="146">
        <v>4950</v>
      </c>
      <c r="X57" s="83">
        <v>121.5</v>
      </c>
    </row>
    <row r="58" spans="1:24" ht="15" thickBot="1" x14ac:dyDescent="0.35">
      <c r="A58" s="144">
        <f t="shared" ref="A58:H58" si="14">A56-A57</f>
        <v>0</v>
      </c>
      <c r="B58" s="147">
        <f t="shared" si="14"/>
        <v>0</v>
      </c>
      <c r="C58" s="147">
        <f t="shared" si="14"/>
        <v>0</v>
      </c>
      <c r="D58" s="147">
        <f t="shared" si="14"/>
        <v>0</v>
      </c>
      <c r="E58" s="147">
        <f t="shared" si="14"/>
        <v>0</v>
      </c>
      <c r="F58" s="147">
        <f t="shared" si="14"/>
        <v>0</v>
      </c>
      <c r="G58" s="147">
        <f t="shared" si="14"/>
        <v>0</v>
      </c>
      <c r="H58" s="140">
        <f t="shared" si="14"/>
        <v>0</v>
      </c>
      <c r="I58" s="141">
        <f>SUM(I52:I57)</f>
        <v>0</v>
      </c>
      <c r="K58" s="144">
        <f>K56-K57</f>
        <v>0</v>
      </c>
      <c r="L58" s="144">
        <f>L56-L57</f>
        <v>0</v>
      </c>
      <c r="M58" s="144">
        <f t="shared" ref="M58:W58" si="15">M56-M57</f>
        <v>0</v>
      </c>
      <c r="N58" s="144">
        <f t="shared" si="15"/>
        <v>0</v>
      </c>
      <c r="O58" s="144">
        <f t="shared" si="15"/>
        <v>0</v>
      </c>
      <c r="P58" s="144">
        <f t="shared" si="15"/>
        <v>0</v>
      </c>
      <c r="Q58" s="144">
        <f t="shared" si="15"/>
        <v>0</v>
      </c>
      <c r="R58" s="144">
        <f t="shared" si="15"/>
        <v>0</v>
      </c>
      <c r="S58" s="144">
        <f t="shared" si="15"/>
        <v>0</v>
      </c>
      <c r="T58" s="144">
        <f t="shared" si="15"/>
        <v>0</v>
      </c>
      <c r="U58" s="144">
        <f t="shared" si="15"/>
        <v>0</v>
      </c>
      <c r="V58" s="144">
        <f t="shared" si="15"/>
        <v>0</v>
      </c>
      <c r="W58" s="144">
        <f t="shared" si="15"/>
        <v>0</v>
      </c>
      <c r="X58" s="145">
        <f>X56-X57</f>
        <v>0</v>
      </c>
    </row>
    <row r="59" spans="1:24" ht="15" thickBot="1" x14ac:dyDescent="0.35"/>
    <row r="60" spans="1:24" x14ac:dyDescent="0.3">
      <c r="A60" s="17">
        <v>45679</v>
      </c>
      <c r="B60" s="17">
        <v>45680</v>
      </c>
      <c r="C60" s="17">
        <v>45681</v>
      </c>
      <c r="D60" s="17">
        <v>45682</v>
      </c>
      <c r="E60" s="17">
        <v>45683</v>
      </c>
      <c r="F60" s="17">
        <v>45684</v>
      </c>
      <c r="G60" s="17">
        <v>45685</v>
      </c>
      <c r="H60" s="17"/>
      <c r="I60" s="13" t="s">
        <v>8</v>
      </c>
      <c r="K60" s="59">
        <v>45679</v>
      </c>
      <c r="L60" s="59"/>
      <c r="M60" s="59">
        <v>45680</v>
      </c>
      <c r="N60" s="59"/>
      <c r="O60" s="59">
        <v>45681</v>
      </c>
      <c r="P60" s="59"/>
      <c r="Q60" s="59">
        <v>45682</v>
      </c>
      <c r="R60" s="59"/>
      <c r="S60" s="59">
        <v>45683</v>
      </c>
      <c r="T60" s="59"/>
      <c r="U60" s="59">
        <v>45684</v>
      </c>
      <c r="V60" s="59"/>
      <c r="W60" s="59">
        <v>45685</v>
      </c>
      <c r="X60" s="59"/>
    </row>
    <row r="61" spans="1:24" ht="15" thickBot="1" x14ac:dyDescent="0.35">
      <c r="A61" s="24">
        <v>1110</v>
      </c>
      <c r="B61" s="22">
        <v>1704.61</v>
      </c>
      <c r="C61" s="22">
        <v>920</v>
      </c>
      <c r="D61" s="22">
        <v>1015</v>
      </c>
      <c r="E61" s="22">
        <v>330</v>
      </c>
      <c r="F61" s="22">
        <v>1949.07</v>
      </c>
      <c r="G61" s="22">
        <v>1405</v>
      </c>
      <c r="H61" s="37"/>
      <c r="I61" s="15">
        <v>3202.5</v>
      </c>
      <c r="K61" s="124" t="s">
        <v>10</v>
      </c>
      <c r="L61" s="125" t="s">
        <v>11</v>
      </c>
      <c r="M61" s="126" t="s">
        <v>10</v>
      </c>
      <c r="N61" s="126" t="s">
        <v>11</v>
      </c>
      <c r="O61" s="126" t="s">
        <v>10</v>
      </c>
      <c r="P61" s="126" t="s">
        <v>11</v>
      </c>
      <c r="Q61" s="126" t="s">
        <v>10</v>
      </c>
      <c r="R61" s="126" t="s">
        <v>11</v>
      </c>
      <c r="S61" s="126" t="s">
        <v>10</v>
      </c>
      <c r="T61" s="126" t="s">
        <v>11</v>
      </c>
      <c r="U61" s="126" t="s">
        <v>10</v>
      </c>
      <c r="V61" s="126" t="s">
        <v>11</v>
      </c>
      <c r="W61" s="126" t="s">
        <v>10</v>
      </c>
      <c r="X61" s="143" t="s">
        <v>11</v>
      </c>
    </row>
    <row r="62" spans="1:24" x14ac:dyDescent="0.3">
      <c r="A62" s="24">
        <v>2360</v>
      </c>
      <c r="B62" s="22">
        <v>2470</v>
      </c>
      <c r="C62" s="22">
        <v>3070</v>
      </c>
      <c r="D62" s="22">
        <v>1485</v>
      </c>
      <c r="E62" s="25">
        <v>415</v>
      </c>
      <c r="F62" s="22">
        <v>2940</v>
      </c>
      <c r="G62" s="22">
        <v>2765</v>
      </c>
      <c r="H62" s="37"/>
      <c r="I62" s="15">
        <v>5596.18</v>
      </c>
      <c r="K62" s="75">
        <v>238</v>
      </c>
      <c r="L62" s="76">
        <v>42.5</v>
      </c>
      <c r="M62" s="77">
        <v>800</v>
      </c>
      <c r="N62" s="77">
        <v>25</v>
      </c>
      <c r="O62" s="77">
        <v>428</v>
      </c>
      <c r="P62" s="77">
        <v>57.5</v>
      </c>
      <c r="Q62" s="155">
        <v>28</v>
      </c>
      <c r="R62" s="77">
        <v>55</v>
      </c>
      <c r="S62" s="78">
        <v>84</v>
      </c>
      <c r="T62" s="22">
        <v>15</v>
      </c>
      <c r="U62" s="63">
        <v>310</v>
      </c>
      <c r="V62" s="63">
        <v>120</v>
      </c>
      <c r="W62" s="63">
        <v>188</v>
      </c>
      <c r="X62" s="40">
        <v>65</v>
      </c>
    </row>
    <row r="63" spans="1:24" x14ac:dyDescent="0.3">
      <c r="A63" s="24">
        <v>2119.0700000000002</v>
      </c>
      <c r="B63" s="22">
        <v>950</v>
      </c>
      <c r="C63" s="22">
        <v>1826.84</v>
      </c>
      <c r="D63" s="26">
        <v>4763.79</v>
      </c>
      <c r="E63" s="22"/>
      <c r="F63" s="22">
        <v>1220</v>
      </c>
      <c r="G63" s="22">
        <v>1826.84</v>
      </c>
      <c r="H63" s="37"/>
      <c r="I63" s="15">
        <v>5660.8</v>
      </c>
      <c r="K63" s="21">
        <v>324</v>
      </c>
      <c r="L63" s="79"/>
      <c r="M63" s="80">
        <v>3790</v>
      </c>
      <c r="N63" s="43"/>
      <c r="O63" s="43">
        <v>442</v>
      </c>
      <c r="P63" s="43"/>
      <c r="Q63" s="43">
        <v>270</v>
      </c>
      <c r="R63" s="80">
        <v>300</v>
      </c>
      <c r="S63" s="43">
        <v>650</v>
      </c>
      <c r="T63" s="22"/>
      <c r="U63" s="22">
        <v>4900</v>
      </c>
      <c r="V63" s="22"/>
      <c r="W63" s="22">
        <v>286</v>
      </c>
      <c r="X63" s="27">
        <v>171.1</v>
      </c>
    </row>
    <row r="64" spans="1:24" x14ac:dyDescent="0.3">
      <c r="A64" s="21"/>
      <c r="B64" s="22"/>
      <c r="C64" s="22"/>
      <c r="D64" s="25"/>
      <c r="E64" s="22"/>
      <c r="F64" s="22"/>
      <c r="G64" s="22"/>
      <c r="H64" s="37"/>
      <c r="I64" s="15">
        <v>5994.85</v>
      </c>
      <c r="K64" s="21">
        <v>4600</v>
      </c>
      <c r="L64" s="79"/>
      <c r="M64" s="81">
        <v>202</v>
      </c>
      <c r="N64" s="43"/>
      <c r="O64" s="43">
        <v>4730</v>
      </c>
      <c r="P64" s="43"/>
      <c r="Q64" s="43">
        <v>168</v>
      </c>
      <c r="R64" s="81">
        <v>409.5</v>
      </c>
      <c r="S64" s="43"/>
      <c r="T64" s="22"/>
      <c r="U64" s="22">
        <v>364</v>
      </c>
      <c r="V64" s="22"/>
      <c r="W64" s="22">
        <v>4100</v>
      </c>
      <c r="X64" s="27"/>
    </row>
    <row r="65" spans="1:24" x14ac:dyDescent="0.3">
      <c r="A65" s="21"/>
      <c r="B65" s="22"/>
      <c r="C65" s="22"/>
      <c r="D65" s="22"/>
      <c r="E65" s="22"/>
      <c r="F65" s="22"/>
      <c r="G65" s="22"/>
      <c r="H65" s="37"/>
      <c r="I65" s="15">
        <v>244.46</v>
      </c>
      <c r="K65" s="21">
        <v>560</v>
      </c>
      <c r="L65" s="79"/>
      <c r="M65" s="43">
        <v>180</v>
      </c>
      <c r="N65" s="43"/>
      <c r="O65" s="43">
        <v>740</v>
      </c>
      <c r="P65" s="43"/>
      <c r="Q65" s="43">
        <v>2600</v>
      </c>
      <c r="R65" s="43">
        <v>240</v>
      </c>
      <c r="S65" s="43"/>
      <c r="T65" s="22"/>
      <c r="U65" s="22">
        <v>330</v>
      </c>
      <c r="V65" s="22"/>
      <c r="W65" s="22">
        <v>600</v>
      </c>
      <c r="X65" s="27"/>
    </row>
    <row r="66" spans="1:24" ht="15" thickBot="1" x14ac:dyDescent="0.35">
      <c r="A66" s="21"/>
      <c r="B66" s="22"/>
      <c r="C66" s="22"/>
      <c r="D66" s="22"/>
      <c r="E66" s="22"/>
      <c r="F66" s="22"/>
      <c r="G66" s="22"/>
      <c r="I66" s="131"/>
      <c r="K66" s="128"/>
      <c r="L66" s="79"/>
      <c r="M66" s="43"/>
      <c r="N66" s="43"/>
      <c r="O66" s="43"/>
      <c r="P66" s="43"/>
      <c r="Q66" s="43">
        <v>500</v>
      </c>
      <c r="R66" s="43"/>
      <c r="S66" s="43"/>
      <c r="T66" s="22"/>
      <c r="U66" s="22"/>
      <c r="V66" s="22"/>
      <c r="W66" s="22"/>
      <c r="X66" s="27"/>
    </row>
    <row r="67" spans="1:24" ht="15.6" thickTop="1" thickBot="1" x14ac:dyDescent="0.35">
      <c r="A67" s="21"/>
      <c r="B67" s="22"/>
      <c r="C67" s="22"/>
      <c r="D67" s="22"/>
      <c r="E67" s="22"/>
      <c r="F67" s="22"/>
      <c r="G67" s="37"/>
      <c r="H67" s="146"/>
      <c r="I67" s="132">
        <f>SUM(I61:I66)</f>
        <v>20698.79</v>
      </c>
      <c r="K67" s="21"/>
      <c r="L67" s="79"/>
      <c r="M67" s="43"/>
      <c r="N67" s="43"/>
      <c r="O67" s="43"/>
      <c r="P67" s="43"/>
      <c r="Q67" s="43"/>
      <c r="R67" s="43"/>
      <c r="S67" s="43"/>
      <c r="T67" s="22"/>
      <c r="U67" s="22"/>
      <c r="V67" s="22"/>
      <c r="W67" s="22"/>
      <c r="X67" s="27"/>
    </row>
    <row r="68" spans="1:24" x14ac:dyDescent="0.3">
      <c r="A68" s="21"/>
      <c r="B68" s="22"/>
      <c r="C68" s="22"/>
      <c r="D68" s="22"/>
      <c r="E68" s="22"/>
      <c r="F68" s="22"/>
      <c r="G68" s="22"/>
      <c r="H68" s="63"/>
      <c r="I68" s="40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7"/>
    </row>
    <row r="69" spans="1:24" x14ac:dyDescent="0.3">
      <c r="A69" s="21"/>
      <c r="B69" s="22"/>
      <c r="C69" s="22"/>
      <c r="D69" s="22"/>
      <c r="E69" s="22"/>
      <c r="F69" s="22"/>
      <c r="G69" s="22"/>
      <c r="H69" s="22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7"/>
    </row>
    <row r="70" spans="1:24" x14ac:dyDescent="0.3">
      <c r="A70" s="21"/>
      <c r="B70" s="22"/>
      <c r="C70" s="22"/>
      <c r="D70" s="22"/>
      <c r="E70" s="22"/>
      <c r="F70" s="22"/>
      <c r="G70" s="22"/>
      <c r="H70" s="22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7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7"/>
    </row>
    <row r="72" spans="1:24" ht="15" thickBot="1" x14ac:dyDescent="0.35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35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ht="15" thickTop="1" x14ac:dyDescent="0.3">
      <c r="A73" s="21" t="s">
        <v>54</v>
      </c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63"/>
      <c r="O73" s="22"/>
      <c r="P73" s="22"/>
      <c r="Q73" s="22"/>
      <c r="R73" s="22"/>
      <c r="S73" s="22"/>
      <c r="T73" s="22"/>
      <c r="U73" s="22"/>
      <c r="V73" s="22"/>
      <c r="W73" s="22"/>
      <c r="X73" s="27"/>
    </row>
    <row r="74" spans="1:24" x14ac:dyDescent="0.3">
      <c r="A74" s="24"/>
      <c r="B74" s="22"/>
      <c r="C74" s="22"/>
      <c r="D74" s="22"/>
      <c r="E74" s="22"/>
      <c r="F74" s="22"/>
      <c r="G74" s="22"/>
      <c r="H74" s="22"/>
      <c r="I74" s="23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7"/>
    </row>
    <row r="75" spans="1:24" ht="15" thickBot="1" x14ac:dyDescent="0.35">
      <c r="A75" s="133">
        <f>SUM(A61:A74)</f>
        <v>5589.07</v>
      </c>
      <c r="B75" s="133">
        <f t="shared" ref="B75:G75" si="16">SUM(B61:B74)</f>
        <v>5124.6099999999997</v>
      </c>
      <c r="C75" s="133">
        <f t="shared" si="16"/>
        <v>5816.84</v>
      </c>
      <c r="D75" s="133">
        <f t="shared" si="16"/>
        <v>7263.79</v>
      </c>
      <c r="E75" s="133">
        <f t="shared" si="16"/>
        <v>745</v>
      </c>
      <c r="F75" s="133">
        <f t="shared" si="16"/>
        <v>6109.07</v>
      </c>
      <c r="G75" s="133">
        <f t="shared" si="16"/>
        <v>5996.84</v>
      </c>
      <c r="H75" s="149">
        <f>SUM(A75:G75)+I67</f>
        <v>57344.01</v>
      </c>
      <c r="I75" s="150" t="s">
        <v>7</v>
      </c>
      <c r="K75" s="133">
        <f>SUM(K62:K74)</f>
        <v>5722</v>
      </c>
      <c r="L75" s="156">
        <f t="shared" ref="L75:N75" si="17">SUM(L62:L74)</f>
        <v>42.5</v>
      </c>
      <c r="M75" s="133">
        <f t="shared" si="17"/>
        <v>4972</v>
      </c>
      <c r="N75" s="133">
        <f t="shared" si="17"/>
        <v>25</v>
      </c>
      <c r="O75" s="133">
        <f t="shared" ref="O75:X75" si="18">SUM(O62:O74)</f>
        <v>6340</v>
      </c>
      <c r="P75" s="133">
        <f t="shared" si="18"/>
        <v>57.5</v>
      </c>
      <c r="Q75" s="133">
        <f t="shared" si="18"/>
        <v>3566</v>
      </c>
      <c r="R75" s="133">
        <f t="shared" si="18"/>
        <v>1004.5</v>
      </c>
      <c r="S75" s="133">
        <f t="shared" si="18"/>
        <v>734</v>
      </c>
      <c r="T75" s="133">
        <f t="shared" si="18"/>
        <v>15</v>
      </c>
      <c r="U75" s="133">
        <f t="shared" si="18"/>
        <v>5904</v>
      </c>
      <c r="V75" s="133">
        <f t="shared" si="18"/>
        <v>120</v>
      </c>
      <c r="W75" s="133">
        <f t="shared" si="18"/>
        <v>5174</v>
      </c>
      <c r="X75" s="83">
        <f t="shared" si="18"/>
        <v>236.1</v>
      </c>
    </row>
    <row r="76" spans="1:24" ht="15" thickBot="1" x14ac:dyDescent="0.35">
      <c r="A76" s="152">
        <v>5589.07</v>
      </c>
      <c r="B76" s="153">
        <v>5124.6099999999997</v>
      </c>
      <c r="C76" s="153">
        <v>5816.84</v>
      </c>
      <c r="D76" s="153">
        <v>7263.79</v>
      </c>
      <c r="E76" s="153">
        <v>745</v>
      </c>
      <c r="F76" s="153">
        <v>6109.07</v>
      </c>
      <c r="G76" s="154">
        <v>5996.84</v>
      </c>
      <c r="H76" s="146">
        <f>SUM(H75)</f>
        <v>57344.01</v>
      </c>
      <c r="I76" s="151" t="s">
        <v>1</v>
      </c>
      <c r="K76" s="146">
        <v>5722</v>
      </c>
      <c r="L76" s="146">
        <v>42.5</v>
      </c>
      <c r="M76" s="152">
        <v>4972</v>
      </c>
      <c r="N76" s="152">
        <v>25</v>
      </c>
      <c r="O76" s="152">
        <v>6340</v>
      </c>
      <c r="P76" s="152">
        <v>57.5</v>
      </c>
      <c r="Q76" s="152">
        <v>3566</v>
      </c>
      <c r="R76" s="152">
        <v>1004.5</v>
      </c>
      <c r="S76" s="152">
        <v>734</v>
      </c>
      <c r="T76" s="152">
        <v>15</v>
      </c>
      <c r="U76" s="152">
        <v>5904</v>
      </c>
      <c r="V76" s="152">
        <v>120</v>
      </c>
      <c r="W76" s="152">
        <v>5174</v>
      </c>
      <c r="X76" s="146">
        <v>236.1</v>
      </c>
    </row>
    <row r="77" spans="1:24" ht="15" thickBot="1" x14ac:dyDescent="0.35">
      <c r="A77" s="63">
        <f t="shared" ref="A77:H77" si="19">A75-A76</f>
        <v>0</v>
      </c>
      <c r="B77" s="63">
        <f t="shared" si="19"/>
        <v>0</v>
      </c>
      <c r="C77" s="63">
        <f t="shared" si="19"/>
        <v>0</v>
      </c>
      <c r="D77" s="63">
        <f t="shared" si="19"/>
        <v>0</v>
      </c>
      <c r="E77" s="63">
        <f t="shared" si="19"/>
        <v>0</v>
      </c>
      <c r="F77" s="63">
        <f t="shared" si="19"/>
        <v>0</v>
      </c>
      <c r="G77" s="63">
        <f t="shared" si="19"/>
        <v>0</v>
      </c>
      <c r="H77" s="63">
        <f t="shared" si="19"/>
        <v>0</v>
      </c>
      <c r="I77" s="22">
        <f>SUM(I71:I76)</f>
        <v>0</v>
      </c>
      <c r="K77" s="144">
        <f>K75-K76</f>
        <v>0</v>
      </c>
      <c r="L77" s="144">
        <f>L75-L76</f>
        <v>0</v>
      </c>
      <c r="M77" s="144">
        <f t="shared" ref="M77:W77" si="20">M75-M76</f>
        <v>0</v>
      </c>
      <c r="N77" s="144">
        <f t="shared" si="20"/>
        <v>0</v>
      </c>
      <c r="O77" s="144">
        <f t="shared" si="20"/>
        <v>0</v>
      </c>
      <c r="P77" s="144">
        <f t="shared" si="20"/>
        <v>0</v>
      </c>
      <c r="Q77" s="144">
        <f t="shared" si="20"/>
        <v>0</v>
      </c>
      <c r="R77" s="144">
        <f t="shared" si="20"/>
        <v>0</v>
      </c>
      <c r="S77" s="144">
        <f t="shared" si="20"/>
        <v>0</v>
      </c>
      <c r="T77" s="144">
        <f t="shared" si="20"/>
        <v>0</v>
      </c>
      <c r="U77" s="144">
        <f t="shared" si="20"/>
        <v>0</v>
      </c>
      <c r="V77" s="144">
        <f t="shared" si="20"/>
        <v>0</v>
      </c>
      <c r="W77" s="144">
        <f t="shared" si="20"/>
        <v>0</v>
      </c>
      <c r="X77" s="145">
        <f>X75-X76</f>
        <v>0</v>
      </c>
    </row>
    <row r="78" spans="1:24" ht="15" thickBot="1" x14ac:dyDescent="0.35"/>
    <row r="79" spans="1:24" x14ac:dyDescent="0.3">
      <c r="A79" s="17">
        <v>45686</v>
      </c>
      <c r="B79" s="17">
        <v>45687</v>
      </c>
      <c r="C79" s="17">
        <v>45688</v>
      </c>
      <c r="D79" s="17">
        <v>45689</v>
      </c>
      <c r="E79" s="17">
        <v>45690</v>
      </c>
      <c r="F79" s="17">
        <v>45691</v>
      </c>
      <c r="G79" s="17">
        <v>45692</v>
      </c>
      <c r="H79" s="17"/>
      <c r="I79" s="13" t="s">
        <v>8</v>
      </c>
      <c r="K79" s="59">
        <v>45686</v>
      </c>
      <c r="L79" s="59"/>
      <c r="M79" s="59">
        <v>45687</v>
      </c>
      <c r="N79" s="59"/>
      <c r="O79" s="59">
        <v>45688</v>
      </c>
      <c r="P79" s="59"/>
      <c r="Q79" s="59">
        <v>45689</v>
      </c>
      <c r="R79" s="59"/>
      <c r="S79" s="59">
        <v>45690</v>
      </c>
      <c r="T79" s="59"/>
      <c r="U79" s="59">
        <v>45691</v>
      </c>
      <c r="V79" s="59"/>
      <c r="W79" s="59">
        <v>45692</v>
      </c>
      <c r="X79" s="59"/>
    </row>
    <row r="80" spans="1:24" ht="15" thickBot="1" x14ac:dyDescent="0.35">
      <c r="A80" s="24">
        <v>2119.0700000000002</v>
      </c>
      <c r="B80" s="22">
        <v>1110</v>
      </c>
      <c r="C80" s="22">
        <v>2194.0700000000002</v>
      </c>
      <c r="D80" s="22">
        <v>3678.06</v>
      </c>
      <c r="E80" s="22">
        <v>455</v>
      </c>
      <c r="F80" s="22">
        <v>705</v>
      </c>
      <c r="G80" s="22">
        <v>2034.07</v>
      </c>
      <c r="H80" s="37"/>
      <c r="I80" s="15">
        <v>4811.68</v>
      </c>
      <c r="K80" s="124" t="s">
        <v>10</v>
      </c>
      <c r="L80" s="125" t="s">
        <v>11</v>
      </c>
      <c r="M80" s="126" t="s">
        <v>10</v>
      </c>
      <c r="N80" s="126" t="s">
        <v>11</v>
      </c>
      <c r="O80" s="126" t="s">
        <v>10</v>
      </c>
      <c r="P80" s="126" t="s">
        <v>11</v>
      </c>
      <c r="Q80" s="126" t="s">
        <v>10</v>
      </c>
      <c r="R80" s="126" t="s">
        <v>11</v>
      </c>
      <c r="S80" s="126" t="s">
        <v>10</v>
      </c>
      <c r="T80" s="126" t="s">
        <v>11</v>
      </c>
      <c r="U80" s="126" t="s">
        <v>10</v>
      </c>
      <c r="V80" s="126" t="s">
        <v>11</v>
      </c>
      <c r="W80" s="126" t="s">
        <v>10</v>
      </c>
      <c r="X80" s="143" t="s">
        <v>11</v>
      </c>
    </row>
    <row r="81" spans="1:24" x14ac:dyDescent="0.3">
      <c r="A81" s="24">
        <v>2250</v>
      </c>
      <c r="B81" s="22">
        <v>2965</v>
      </c>
      <c r="C81" s="22">
        <v>3065</v>
      </c>
      <c r="D81" s="22">
        <v>1655</v>
      </c>
      <c r="E81" s="25">
        <v>380</v>
      </c>
      <c r="F81" s="22">
        <v>3190</v>
      </c>
      <c r="G81" s="22">
        <v>2720</v>
      </c>
      <c r="H81" s="37"/>
      <c r="I81" s="15">
        <v>5600.66</v>
      </c>
      <c r="K81" s="75">
        <v>550</v>
      </c>
      <c r="L81" s="76">
        <v>50</v>
      </c>
      <c r="M81" s="77">
        <v>180</v>
      </c>
      <c r="N81" s="77">
        <v>52.5</v>
      </c>
      <c r="O81" s="77">
        <v>480</v>
      </c>
      <c r="P81" s="77">
        <v>57.5</v>
      </c>
      <c r="Q81" s="155">
        <v>600</v>
      </c>
      <c r="R81" s="77">
        <v>120</v>
      </c>
      <c r="S81" s="78">
        <v>580</v>
      </c>
      <c r="T81" s="22">
        <v>0</v>
      </c>
      <c r="U81" s="63">
        <v>370</v>
      </c>
      <c r="V81" s="63">
        <v>1139</v>
      </c>
      <c r="W81" s="63">
        <v>620</v>
      </c>
      <c r="X81" s="40">
        <v>1599</v>
      </c>
    </row>
    <row r="82" spans="1:24" x14ac:dyDescent="0.3">
      <c r="A82" s="24">
        <v>960</v>
      </c>
      <c r="B82" s="22">
        <v>1949.07</v>
      </c>
      <c r="C82" s="22">
        <v>1030</v>
      </c>
      <c r="D82" s="26">
        <v>1225</v>
      </c>
      <c r="E82" s="22"/>
      <c r="F82" s="22">
        <v>1874.61</v>
      </c>
      <c r="G82" s="22">
        <v>1225</v>
      </c>
      <c r="H82" s="37"/>
      <c r="I82" s="15">
        <v>2642.5</v>
      </c>
      <c r="K82" s="21">
        <v>4690</v>
      </c>
      <c r="L82" s="79"/>
      <c r="M82" s="80">
        <v>214</v>
      </c>
      <c r="N82" s="43">
        <v>29.9</v>
      </c>
      <c r="O82" s="43">
        <v>5110</v>
      </c>
      <c r="P82" s="43">
        <v>184</v>
      </c>
      <c r="Q82" s="43">
        <v>2270</v>
      </c>
      <c r="R82" s="80">
        <v>57.5</v>
      </c>
      <c r="S82" s="43">
        <v>84</v>
      </c>
      <c r="T82" s="22"/>
      <c r="U82" s="22">
        <v>358</v>
      </c>
      <c r="V82" s="22"/>
      <c r="W82" s="22">
        <v>1060</v>
      </c>
      <c r="X82" s="27">
        <v>60</v>
      </c>
    </row>
    <row r="83" spans="1:24" x14ac:dyDescent="0.3">
      <c r="A83" s="21"/>
      <c r="B83" s="22"/>
      <c r="C83" s="22"/>
      <c r="D83" s="25"/>
      <c r="E83" s="22"/>
      <c r="F83" s="22"/>
      <c r="G83" s="22"/>
      <c r="H83" s="37"/>
      <c r="I83" s="15">
        <v>6400</v>
      </c>
      <c r="K83" s="21">
        <v>330</v>
      </c>
      <c r="L83" s="79"/>
      <c r="M83" s="81">
        <v>3960</v>
      </c>
      <c r="N83" s="43">
        <v>1980</v>
      </c>
      <c r="O83" s="43">
        <v>442</v>
      </c>
      <c r="P83" s="43"/>
      <c r="Q83" s="43">
        <v>168</v>
      </c>
      <c r="R83" s="81"/>
      <c r="S83" s="43"/>
      <c r="T83" s="22"/>
      <c r="U83" s="22">
        <v>4340</v>
      </c>
      <c r="V83" s="22"/>
      <c r="W83" s="22">
        <v>2610</v>
      </c>
      <c r="X83" s="27">
        <v>47.5</v>
      </c>
    </row>
    <row r="84" spans="1:24" x14ac:dyDescent="0.3">
      <c r="A84" s="21"/>
      <c r="B84" s="22"/>
      <c r="C84" s="22"/>
      <c r="D84" s="22"/>
      <c r="E84" s="22"/>
      <c r="F84" s="22"/>
      <c r="G84" s="22"/>
      <c r="H84" s="37"/>
      <c r="I84" s="15">
        <v>800</v>
      </c>
      <c r="K84" s="21">
        <v>360</v>
      </c>
      <c r="L84" s="79"/>
      <c r="M84" s="43">
        <v>430</v>
      </c>
      <c r="N84" s="43"/>
      <c r="O84" s="43">
        <v>270</v>
      </c>
      <c r="P84" s="43"/>
      <c r="Q84" s="43">
        <v>150</v>
      </c>
      <c r="R84" s="43"/>
      <c r="S84" s="43"/>
      <c r="T84" s="22"/>
      <c r="U84" s="22">
        <v>680</v>
      </c>
      <c r="V84" s="22"/>
      <c r="W84" s="22">
        <v>286</v>
      </c>
      <c r="X84" s="27"/>
    </row>
    <row r="85" spans="1:24" ht="15" thickBot="1" x14ac:dyDescent="0.35">
      <c r="A85" s="21"/>
      <c r="B85" s="22"/>
      <c r="C85" s="22"/>
      <c r="D85" s="22"/>
      <c r="E85" s="22"/>
      <c r="F85" s="22"/>
      <c r="G85" s="22"/>
      <c r="H85" s="37"/>
      <c r="I85" s="131"/>
      <c r="K85" s="128"/>
      <c r="L85" s="79"/>
      <c r="M85" s="43"/>
      <c r="N85" s="43"/>
      <c r="O85" s="43"/>
      <c r="P85" s="43"/>
      <c r="Q85" s="43">
        <v>28</v>
      </c>
      <c r="R85" s="43"/>
      <c r="S85" s="43"/>
      <c r="T85" s="22"/>
      <c r="U85" s="22"/>
      <c r="V85" s="22"/>
      <c r="W85" s="22">
        <v>240</v>
      </c>
      <c r="X85" s="27"/>
    </row>
    <row r="86" spans="1:24" ht="15.6" thickTop="1" thickBot="1" x14ac:dyDescent="0.35">
      <c r="A86" s="21"/>
      <c r="B86" s="22"/>
      <c r="C86" s="22"/>
      <c r="D86" s="22"/>
      <c r="E86" s="22"/>
      <c r="F86" s="22"/>
      <c r="G86" s="37"/>
      <c r="H86" s="37"/>
      <c r="I86" s="132">
        <f>SUM(I80:I85)</f>
        <v>20254.84</v>
      </c>
      <c r="K86" s="21"/>
      <c r="L86" s="79"/>
      <c r="M86" s="43"/>
      <c r="N86" s="43"/>
      <c r="O86" s="43"/>
      <c r="P86" s="43"/>
      <c r="Q86" s="43"/>
      <c r="R86" s="43"/>
      <c r="S86" s="43"/>
      <c r="T86" s="22"/>
      <c r="U86" s="22"/>
      <c r="V86" s="22"/>
      <c r="W86" s="22"/>
      <c r="X86" s="27"/>
    </row>
    <row r="87" spans="1:24" ht="15" thickTop="1" x14ac:dyDescent="0.3">
      <c r="A87" s="21"/>
      <c r="B87" s="22"/>
      <c r="C87" s="22"/>
      <c r="D87" s="22"/>
      <c r="E87" s="22"/>
      <c r="F87" s="22"/>
      <c r="G87" s="22"/>
      <c r="H87" s="37"/>
      <c r="I87" s="40"/>
      <c r="K87" s="24"/>
      <c r="L87" s="56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7"/>
    </row>
    <row r="88" spans="1:24" x14ac:dyDescent="0.3">
      <c r="A88" s="21"/>
      <c r="B88" s="22"/>
      <c r="C88" s="22"/>
      <c r="D88" s="22"/>
      <c r="E88" s="22"/>
      <c r="F88" s="22"/>
      <c r="G88" s="22"/>
      <c r="H88" s="37"/>
      <c r="I88" s="27"/>
      <c r="K88" s="24"/>
      <c r="L88" s="56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7"/>
    </row>
    <row r="89" spans="1:24" x14ac:dyDescent="0.3">
      <c r="A89" s="21"/>
      <c r="B89" s="22"/>
      <c r="C89" s="22"/>
      <c r="D89" s="22"/>
      <c r="E89" s="22"/>
      <c r="F89" s="22"/>
      <c r="G89" s="22"/>
      <c r="H89" s="37"/>
      <c r="I89" s="27"/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7"/>
    </row>
    <row r="90" spans="1:24" x14ac:dyDescent="0.3">
      <c r="A90" s="21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7"/>
    </row>
    <row r="91" spans="1:24" ht="15" thickBot="1" x14ac:dyDescent="0.35">
      <c r="A91" s="21"/>
      <c r="B91" s="22"/>
      <c r="C91" s="22"/>
      <c r="D91" s="22"/>
      <c r="E91" s="22"/>
      <c r="F91" s="22"/>
      <c r="G91" s="22"/>
      <c r="H91" s="22"/>
      <c r="I91" s="23"/>
      <c r="K91" s="24"/>
      <c r="L91" s="56"/>
      <c r="M91" s="22"/>
      <c r="N91" s="35"/>
      <c r="O91" s="22"/>
      <c r="P91" s="22"/>
      <c r="Q91" s="22"/>
      <c r="R91" s="22"/>
      <c r="S91" s="22"/>
      <c r="T91" s="22"/>
      <c r="U91" s="22"/>
      <c r="V91" s="22"/>
      <c r="W91" s="22"/>
      <c r="X91" s="27"/>
    </row>
    <row r="92" spans="1:24" ht="15" thickTop="1" x14ac:dyDescent="0.3">
      <c r="A92" s="21" t="s">
        <v>54</v>
      </c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63"/>
      <c r="O92" s="22"/>
      <c r="P92" s="22"/>
      <c r="Q92" s="22"/>
      <c r="R92" s="22"/>
      <c r="S92" s="22"/>
      <c r="T92" s="22"/>
      <c r="U92" s="22"/>
      <c r="V92" s="22"/>
      <c r="W92" s="22"/>
      <c r="X92" s="27"/>
    </row>
    <row r="93" spans="1:24" x14ac:dyDescent="0.3">
      <c r="A93" s="24"/>
      <c r="B93" s="22"/>
      <c r="C93" s="22"/>
      <c r="D93" s="22"/>
      <c r="E93" s="22"/>
      <c r="F93" s="22"/>
      <c r="G93" s="22"/>
      <c r="H93" s="22"/>
      <c r="I93" s="23"/>
      <c r="K93" s="2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7"/>
    </row>
    <row r="94" spans="1:24" ht="15" thickBot="1" x14ac:dyDescent="0.35">
      <c r="A94" s="133">
        <f>SUM(A80:A93)</f>
        <v>5329.07</v>
      </c>
      <c r="B94" s="133">
        <f t="shared" ref="B94:G94" si="21">SUM(B80:B93)</f>
        <v>6024.07</v>
      </c>
      <c r="C94" s="133">
        <f t="shared" si="21"/>
        <v>6289.07</v>
      </c>
      <c r="D94" s="133">
        <f t="shared" si="21"/>
        <v>6558.0599999999995</v>
      </c>
      <c r="E94" s="133">
        <f t="shared" si="21"/>
        <v>835</v>
      </c>
      <c r="F94" s="133">
        <f t="shared" si="21"/>
        <v>5769.61</v>
      </c>
      <c r="G94" s="133">
        <f t="shared" si="21"/>
        <v>5979.07</v>
      </c>
      <c r="H94" s="149">
        <f>SUM(A94:G94)+I86</f>
        <v>57038.789999999994</v>
      </c>
      <c r="I94" s="150" t="s">
        <v>7</v>
      </c>
      <c r="K94" s="133">
        <f>SUM(K81:K93)</f>
        <v>5930</v>
      </c>
      <c r="L94" s="156">
        <f t="shared" ref="L94:X94" si="22">SUM(L81:L93)</f>
        <v>50</v>
      </c>
      <c r="M94" s="133">
        <f t="shared" si="22"/>
        <v>4784</v>
      </c>
      <c r="N94" s="133">
        <f t="shared" si="22"/>
        <v>2062.4</v>
      </c>
      <c r="O94" s="133">
        <f t="shared" si="22"/>
        <v>6302</v>
      </c>
      <c r="P94" s="133">
        <f t="shared" si="22"/>
        <v>241.5</v>
      </c>
      <c r="Q94" s="133">
        <f t="shared" si="22"/>
        <v>3216</v>
      </c>
      <c r="R94" s="133">
        <f t="shared" si="22"/>
        <v>177.5</v>
      </c>
      <c r="S94" s="133">
        <f t="shared" si="22"/>
        <v>664</v>
      </c>
      <c r="T94" s="133">
        <f t="shared" si="22"/>
        <v>0</v>
      </c>
      <c r="U94" s="133">
        <f t="shared" si="22"/>
        <v>5748</v>
      </c>
      <c r="V94" s="133">
        <f t="shared" si="22"/>
        <v>1139</v>
      </c>
      <c r="W94" s="133">
        <f t="shared" si="22"/>
        <v>4816</v>
      </c>
      <c r="X94" s="83">
        <f t="shared" si="22"/>
        <v>1706.5</v>
      </c>
    </row>
    <row r="95" spans="1:24" ht="15" thickBot="1" x14ac:dyDescent="0.35">
      <c r="A95" s="152">
        <v>5329.07</v>
      </c>
      <c r="B95" s="153">
        <v>6024.07</v>
      </c>
      <c r="C95" s="153">
        <v>6289.07</v>
      </c>
      <c r="D95" s="153">
        <v>6558.06</v>
      </c>
      <c r="E95" s="153">
        <v>835</v>
      </c>
      <c r="F95" s="153">
        <v>5769.61</v>
      </c>
      <c r="G95" s="154">
        <v>5979.07</v>
      </c>
      <c r="H95" s="146">
        <f>SUM(H94)</f>
        <v>57038.789999999994</v>
      </c>
      <c r="I95" s="151" t="s">
        <v>1</v>
      </c>
      <c r="K95" s="146">
        <v>5930</v>
      </c>
      <c r="L95" s="146">
        <v>50</v>
      </c>
      <c r="M95" s="152">
        <v>4772</v>
      </c>
      <c r="N95" s="152">
        <v>2062.4</v>
      </c>
      <c r="O95" s="152">
        <v>6302</v>
      </c>
      <c r="P95" s="152">
        <v>241.5</v>
      </c>
      <c r="Q95" s="152">
        <v>3216</v>
      </c>
      <c r="R95" s="152">
        <v>177.5</v>
      </c>
      <c r="S95" s="152">
        <v>664</v>
      </c>
      <c r="T95" s="152">
        <v>0</v>
      </c>
      <c r="U95" s="152">
        <v>5748</v>
      </c>
      <c r="V95" s="152">
        <v>1139</v>
      </c>
      <c r="W95" s="152">
        <v>4816</v>
      </c>
      <c r="X95" s="146">
        <v>1706.5</v>
      </c>
    </row>
    <row r="96" spans="1:24" ht="15" thickBot="1" x14ac:dyDescent="0.35">
      <c r="A96" s="63">
        <f t="shared" ref="A96:H96" si="23">A94-A95</f>
        <v>0</v>
      </c>
      <c r="B96" s="63">
        <f t="shared" si="23"/>
        <v>0</v>
      </c>
      <c r="C96" s="63">
        <f t="shared" si="23"/>
        <v>0</v>
      </c>
      <c r="D96" s="63">
        <f t="shared" si="23"/>
        <v>0</v>
      </c>
      <c r="E96" s="63">
        <f t="shared" si="23"/>
        <v>0</v>
      </c>
      <c r="F96" s="63">
        <f t="shared" si="23"/>
        <v>0</v>
      </c>
      <c r="G96" s="63">
        <f t="shared" si="23"/>
        <v>0</v>
      </c>
      <c r="H96" s="63">
        <f t="shared" si="23"/>
        <v>0</v>
      </c>
      <c r="I96" s="22">
        <f>SUM(I90:I95)</f>
        <v>0</v>
      </c>
      <c r="K96" s="144">
        <f>K94-K95</f>
        <v>0</v>
      </c>
      <c r="L96" s="144">
        <f>L94-L95</f>
        <v>0</v>
      </c>
      <c r="M96" s="144">
        <f t="shared" ref="M96:W96" si="24">M94-M95</f>
        <v>12</v>
      </c>
      <c r="N96" s="144">
        <f t="shared" si="24"/>
        <v>0</v>
      </c>
      <c r="O96" s="144">
        <f t="shared" si="24"/>
        <v>0</v>
      </c>
      <c r="P96" s="144">
        <f t="shared" si="24"/>
        <v>0</v>
      </c>
      <c r="Q96" s="144">
        <f t="shared" si="24"/>
        <v>0</v>
      </c>
      <c r="R96" s="144">
        <f t="shared" si="24"/>
        <v>0</v>
      </c>
      <c r="S96" s="144">
        <f t="shared" si="24"/>
        <v>0</v>
      </c>
      <c r="T96" s="144">
        <f t="shared" si="24"/>
        <v>0</v>
      </c>
      <c r="U96" s="144">
        <f t="shared" si="24"/>
        <v>0</v>
      </c>
      <c r="V96" s="144">
        <f t="shared" si="24"/>
        <v>0</v>
      </c>
      <c r="W96" s="144">
        <f t="shared" si="24"/>
        <v>0</v>
      </c>
      <c r="X96" s="145">
        <f>X94-X95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76FF-FA89-4929-A2A6-3EFFF838F860}">
  <dimension ref="A1:X77"/>
  <sheetViews>
    <sheetView topLeftCell="A58" workbookViewId="0">
      <selection activeCell="K79" sqref="K79"/>
    </sheetView>
  </sheetViews>
  <sheetFormatPr defaultRowHeight="14.4" x14ac:dyDescent="0.3"/>
  <cols>
    <col min="1" max="1" width="10.5546875" customWidth="1"/>
    <col min="2" max="2" width="12.33203125" customWidth="1"/>
    <col min="3" max="3" width="11.88671875" customWidth="1"/>
    <col min="4" max="4" width="12.5546875" customWidth="1"/>
    <col min="5" max="5" width="10.5546875" customWidth="1"/>
    <col min="6" max="6" width="11.109375" customWidth="1"/>
    <col min="7" max="7" width="13.109375" customWidth="1"/>
    <col min="8" max="8" width="10.5546875" customWidth="1"/>
    <col min="9" max="9" width="13" bestFit="1" customWidth="1"/>
    <col min="11" max="11" width="11" customWidth="1"/>
    <col min="12" max="12" width="12.44140625" customWidth="1"/>
    <col min="13" max="14" width="11.33203125" customWidth="1"/>
    <col min="15" max="15" width="12.5546875" customWidth="1"/>
    <col min="16" max="16" width="10.88671875" customWidth="1"/>
    <col min="17" max="17" width="11.109375" customWidth="1"/>
    <col min="18" max="19" width="11.5546875" customWidth="1"/>
    <col min="21" max="21" width="11.109375" customWidth="1"/>
    <col min="22" max="22" width="10.88671875" customWidth="1"/>
    <col min="23" max="24" width="10.109375" customWidth="1"/>
  </cols>
  <sheetData>
    <row r="1" spans="1:24" ht="15" thickBot="1" x14ac:dyDescent="0.35"/>
    <row r="2" spans="1:24" x14ac:dyDescent="0.3">
      <c r="A2" s="17">
        <v>45693</v>
      </c>
      <c r="B2" s="17">
        <v>45694</v>
      </c>
      <c r="C2" s="17">
        <v>45695</v>
      </c>
      <c r="D2" s="17">
        <v>45696</v>
      </c>
      <c r="E2" s="17">
        <v>45697</v>
      </c>
      <c r="F2" s="17">
        <v>45698</v>
      </c>
      <c r="G2" s="17">
        <v>45699</v>
      </c>
      <c r="H2" s="17"/>
      <c r="I2" s="13" t="s">
        <v>8</v>
      </c>
      <c r="K2" s="59">
        <v>45693</v>
      </c>
      <c r="L2" s="59"/>
      <c r="M2" s="59">
        <v>45694</v>
      </c>
      <c r="N2" s="59"/>
      <c r="O2" s="59">
        <v>45695</v>
      </c>
      <c r="P2" s="59"/>
      <c r="Q2" s="59">
        <v>45696</v>
      </c>
      <c r="R2" s="59"/>
      <c r="S2" s="59">
        <v>45697</v>
      </c>
      <c r="T2" s="59"/>
      <c r="U2" s="59">
        <v>45698</v>
      </c>
      <c r="V2" s="59"/>
      <c r="W2" s="59">
        <v>45699</v>
      </c>
      <c r="X2" s="59"/>
    </row>
    <row r="3" spans="1:24" ht="15" thickBot="1" x14ac:dyDescent="0.35">
      <c r="A3" s="24">
        <v>1752.38</v>
      </c>
      <c r="B3" s="22">
        <v>1410</v>
      </c>
      <c r="C3" s="22">
        <v>1035</v>
      </c>
      <c r="D3" s="22">
        <v>1110</v>
      </c>
      <c r="E3" s="22">
        <v>425</v>
      </c>
      <c r="F3" s="22">
        <v>2039.09</v>
      </c>
      <c r="G3" s="22">
        <v>1415</v>
      </c>
      <c r="H3" s="37"/>
      <c r="I3" s="15">
        <v>6000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43" t="s">
        <v>11</v>
      </c>
    </row>
    <row r="4" spans="1:24" x14ac:dyDescent="0.3">
      <c r="A4" s="24">
        <v>2300</v>
      </c>
      <c r="B4" s="22">
        <v>2260</v>
      </c>
      <c r="C4" s="22">
        <v>3590</v>
      </c>
      <c r="D4" s="22">
        <v>1425</v>
      </c>
      <c r="E4" s="25">
        <v>520</v>
      </c>
      <c r="F4" s="22">
        <v>2890</v>
      </c>
      <c r="G4" s="22">
        <v>2765</v>
      </c>
      <c r="H4" s="37"/>
      <c r="I4" s="15">
        <v>3222.5</v>
      </c>
      <c r="K4" s="75">
        <v>840</v>
      </c>
      <c r="L4" s="76">
        <v>50</v>
      </c>
      <c r="M4" s="77">
        <v>180</v>
      </c>
      <c r="N4" s="77">
        <v>62.5</v>
      </c>
      <c r="O4" s="77">
        <v>150</v>
      </c>
      <c r="P4" s="77"/>
      <c r="Q4" s="155">
        <v>28</v>
      </c>
      <c r="R4" s="77">
        <v>60</v>
      </c>
      <c r="S4" s="78">
        <v>84</v>
      </c>
      <c r="T4" s="22">
        <v>15</v>
      </c>
      <c r="U4" s="63">
        <v>300</v>
      </c>
      <c r="V4" s="63">
        <v>52.5</v>
      </c>
      <c r="W4" s="63">
        <v>28</v>
      </c>
      <c r="X4" s="40">
        <v>97.5</v>
      </c>
    </row>
    <row r="5" spans="1:24" x14ac:dyDescent="0.3">
      <c r="A5" s="24">
        <v>1170</v>
      </c>
      <c r="B5" s="22">
        <v>1704.61</v>
      </c>
      <c r="C5" s="22">
        <v>1949.07</v>
      </c>
      <c r="D5" s="26">
        <v>4924.6000000000004</v>
      </c>
      <c r="E5" s="22"/>
      <c r="F5" s="22">
        <v>1075</v>
      </c>
      <c r="G5" s="22">
        <v>1916.86</v>
      </c>
      <c r="H5" s="37"/>
      <c r="I5" s="15">
        <v>5094.72</v>
      </c>
      <c r="K5" s="21">
        <v>4350</v>
      </c>
      <c r="L5" s="79"/>
      <c r="M5" s="80">
        <v>202</v>
      </c>
      <c r="N5" s="43">
        <v>300</v>
      </c>
      <c r="O5" s="43">
        <v>442</v>
      </c>
      <c r="P5" s="43"/>
      <c r="Q5" s="43">
        <v>300</v>
      </c>
      <c r="R5" s="80">
        <v>1062.5999999999999</v>
      </c>
      <c r="S5" s="43">
        <v>600</v>
      </c>
      <c r="T5" s="22"/>
      <c r="U5" s="22">
        <v>5130</v>
      </c>
      <c r="V5" s="22"/>
      <c r="W5" s="22">
        <v>210</v>
      </c>
      <c r="X5" s="27"/>
    </row>
    <row r="6" spans="1:24" x14ac:dyDescent="0.3">
      <c r="A6" s="21"/>
      <c r="B6" s="22"/>
      <c r="C6" s="22"/>
      <c r="D6" s="25"/>
      <c r="E6" s="22"/>
      <c r="F6" s="22"/>
      <c r="G6" s="22"/>
      <c r="H6" s="37"/>
      <c r="I6" s="15">
        <v>5596.18</v>
      </c>
      <c r="K6" s="21">
        <v>324</v>
      </c>
      <c r="L6" s="79"/>
      <c r="M6" s="81">
        <v>3750</v>
      </c>
      <c r="N6" s="43">
        <v>409.5</v>
      </c>
      <c r="O6" s="43">
        <v>4620</v>
      </c>
      <c r="P6" s="43"/>
      <c r="Q6" s="43">
        <v>168</v>
      </c>
      <c r="R6" s="81"/>
      <c r="S6" s="43"/>
      <c r="T6" s="22"/>
      <c r="U6" s="22">
        <v>454</v>
      </c>
      <c r="V6" s="22"/>
      <c r="W6" s="22">
        <v>286</v>
      </c>
      <c r="X6" s="27"/>
    </row>
    <row r="7" spans="1:24" x14ac:dyDescent="0.3">
      <c r="A7" s="21"/>
      <c r="B7" s="22"/>
      <c r="C7" s="22"/>
      <c r="D7" s="22"/>
      <c r="E7" s="22"/>
      <c r="F7" s="22"/>
      <c r="G7" s="22"/>
      <c r="H7" s="37"/>
      <c r="I7" s="15">
        <v>488.92</v>
      </c>
      <c r="K7" s="21">
        <v>270</v>
      </c>
      <c r="L7" s="79"/>
      <c r="M7" s="43">
        <v>540</v>
      </c>
      <c r="N7" s="43"/>
      <c r="O7" s="43">
        <v>380</v>
      </c>
      <c r="P7" s="43"/>
      <c r="Q7" s="43">
        <v>2390</v>
      </c>
      <c r="R7" s="43"/>
      <c r="S7" s="43"/>
      <c r="T7" s="22"/>
      <c r="U7" s="22">
        <v>300</v>
      </c>
      <c r="V7" s="22"/>
      <c r="W7" s="22">
        <v>3990</v>
      </c>
      <c r="X7" s="27"/>
    </row>
    <row r="8" spans="1:24" ht="15" thickBot="1" x14ac:dyDescent="0.35">
      <c r="A8" s="21"/>
      <c r="B8" s="22"/>
      <c r="C8" s="22"/>
      <c r="D8" s="22"/>
      <c r="E8" s="22"/>
      <c r="F8" s="22"/>
      <c r="G8" s="22"/>
      <c r="H8" s="37"/>
      <c r="I8" s="131"/>
      <c r="K8" s="128"/>
      <c r="L8" s="79"/>
      <c r="M8" s="43"/>
      <c r="N8" s="43"/>
      <c r="O8" s="43"/>
      <c r="P8" s="43"/>
      <c r="Q8" s="43">
        <v>26</v>
      </c>
      <c r="R8" s="43"/>
      <c r="S8" s="43"/>
      <c r="T8" s="22"/>
      <c r="U8" s="22">
        <v>28</v>
      </c>
      <c r="V8" s="22"/>
      <c r="W8" s="22">
        <v>620</v>
      </c>
      <c r="X8" s="27"/>
    </row>
    <row r="9" spans="1:24" ht="15.6" thickTop="1" thickBot="1" x14ac:dyDescent="0.35">
      <c r="A9" s="21"/>
      <c r="B9" s="22"/>
      <c r="C9" s="22"/>
      <c r="D9" s="22"/>
      <c r="E9" s="22"/>
      <c r="F9" s="22"/>
      <c r="G9" s="37"/>
      <c r="H9" s="37"/>
      <c r="I9" s="132">
        <f>SUM(I3:I8)</f>
        <v>20402.32</v>
      </c>
      <c r="K9" s="21"/>
      <c r="L9" s="79"/>
      <c r="M9" s="43"/>
      <c r="N9" s="43"/>
      <c r="O9" s="43"/>
      <c r="P9" s="43"/>
      <c r="Q9" s="43">
        <v>440</v>
      </c>
      <c r="R9" s="43"/>
      <c r="S9" s="43"/>
      <c r="T9" s="22"/>
      <c r="U9" s="22"/>
      <c r="V9" s="22"/>
      <c r="W9" s="22"/>
      <c r="X9" s="27"/>
    </row>
    <row r="10" spans="1:24" ht="15" thickTop="1" x14ac:dyDescent="0.3">
      <c r="A10" s="21"/>
      <c r="B10" s="22"/>
      <c r="C10" s="22"/>
      <c r="D10" s="22"/>
      <c r="E10" s="22"/>
      <c r="F10" s="22"/>
      <c r="G10" s="22"/>
      <c r="H10" s="37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7"/>
    </row>
    <row r="11" spans="1:24" x14ac:dyDescent="0.3">
      <c r="A11" s="21"/>
      <c r="B11" s="22"/>
      <c r="C11" s="22"/>
      <c r="D11" s="22"/>
      <c r="E11" s="22"/>
      <c r="F11" s="22"/>
      <c r="G11" s="22"/>
      <c r="H11" s="37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7"/>
    </row>
    <row r="12" spans="1:24" x14ac:dyDescent="0.3">
      <c r="A12" s="21"/>
      <c r="B12" s="22"/>
      <c r="C12" s="22"/>
      <c r="D12" s="22"/>
      <c r="E12" s="22"/>
      <c r="F12" s="22"/>
      <c r="G12" s="22"/>
      <c r="H12" s="37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7"/>
    </row>
    <row r="13" spans="1:24" x14ac:dyDescent="0.3">
      <c r="A13" s="21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7"/>
    </row>
    <row r="14" spans="1:24" ht="15" thickBot="1" x14ac:dyDescent="0.35">
      <c r="A14" s="21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35"/>
      <c r="O14" s="22"/>
      <c r="P14" s="22"/>
      <c r="Q14" s="22"/>
      <c r="R14" s="22"/>
      <c r="S14" s="22"/>
      <c r="T14" s="22"/>
      <c r="U14" s="22"/>
      <c r="V14" s="22"/>
      <c r="W14" s="22"/>
      <c r="X14" s="27"/>
    </row>
    <row r="15" spans="1:24" ht="15" thickTop="1" x14ac:dyDescent="0.3">
      <c r="A15" s="21" t="s">
        <v>54</v>
      </c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63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x14ac:dyDescent="0.3">
      <c r="A16" s="24"/>
      <c r="B16" s="22"/>
      <c r="C16" s="22"/>
      <c r="D16" s="22"/>
      <c r="E16" s="22"/>
      <c r="F16" s="22"/>
      <c r="G16" s="22"/>
      <c r="H16" s="22"/>
      <c r="I16" s="23"/>
      <c r="K16" s="24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7"/>
    </row>
    <row r="17" spans="1:24" ht="15" thickBot="1" x14ac:dyDescent="0.35">
      <c r="A17" s="133">
        <f>SUM(A3:A16)</f>
        <v>5222.38</v>
      </c>
      <c r="B17" s="133">
        <f t="shared" ref="B17:G17" si="0">SUM(B3:B16)</f>
        <v>5374.61</v>
      </c>
      <c r="C17" s="133">
        <f t="shared" si="0"/>
        <v>6574.07</v>
      </c>
      <c r="D17" s="133">
        <f t="shared" si="0"/>
        <v>7459.6</v>
      </c>
      <c r="E17" s="133">
        <f t="shared" si="0"/>
        <v>945</v>
      </c>
      <c r="F17" s="133">
        <f t="shared" si="0"/>
        <v>6004.09</v>
      </c>
      <c r="G17" s="133">
        <f t="shared" si="0"/>
        <v>6096.86</v>
      </c>
      <c r="H17" s="149">
        <f>SUM(A17:G17)+I9</f>
        <v>58078.929999999993</v>
      </c>
      <c r="I17" s="150" t="s">
        <v>7</v>
      </c>
      <c r="K17" s="133">
        <f>SUM(K4:K16)</f>
        <v>5784</v>
      </c>
      <c r="L17" s="156">
        <f t="shared" ref="L17:X17" si="1">SUM(L4:L16)</f>
        <v>50</v>
      </c>
      <c r="M17" s="133">
        <f t="shared" si="1"/>
        <v>4672</v>
      </c>
      <c r="N17" s="133">
        <f t="shared" si="1"/>
        <v>772</v>
      </c>
      <c r="O17" s="133">
        <f t="shared" si="1"/>
        <v>5592</v>
      </c>
      <c r="P17" s="133">
        <f t="shared" si="1"/>
        <v>0</v>
      </c>
      <c r="Q17" s="133">
        <f t="shared" si="1"/>
        <v>3352</v>
      </c>
      <c r="R17" s="133">
        <f t="shared" si="1"/>
        <v>1122.5999999999999</v>
      </c>
      <c r="S17" s="133">
        <f t="shared" si="1"/>
        <v>684</v>
      </c>
      <c r="T17" s="133">
        <f t="shared" si="1"/>
        <v>15</v>
      </c>
      <c r="U17" s="133">
        <f t="shared" si="1"/>
        <v>6212</v>
      </c>
      <c r="V17" s="133">
        <f t="shared" si="1"/>
        <v>52.5</v>
      </c>
      <c r="W17" s="133">
        <f t="shared" si="1"/>
        <v>5134</v>
      </c>
      <c r="X17" s="83">
        <f t="shared" si="1"/>
        <v>97.5</v>
      </c>
    </row>
    <row r="18" spans="1:24" ht="15" thickBot="1" x14ac:dyDescent="0.35">
      <c r="A18" s="152">
        <v>5222.38</v>
      </c>
      <c r="B18" s="153">
        <v>5374.61</v>
      </c>
      <c r="C18" s="153">
        <v>6574.07</v>
      </c>
      <c r="D18" s="153">
        <v>7459.6</v>
      </c>
      <c r="E18" s="153">
        <v>945</v>
      </c>
      <c r="F18" s="153">
        <v>6004.09</v>
      </c>
      <c r="G18" s="154">
        <v>6096.86</v>
      </c>
      <c r="H18" s="146">
        <f>SUM(H17)</f>
        <v>58078.929999999993</v>
      </c>
      <c r="I18" s="151" t="s">
        <v>1</v>
      </c>
      <c r="K18" s="146">
        <v>5784</v>
      </c>
      <c r="L18" s="146">
        <v>50</v>
      </c>
      <c r="M18" s="152">
        <v>4672</v>
      </c>
      <c r="N18" s="152">
        <v>772</v>
      </c>
      <c r="O18" s="152">
        <v>5592</v>
      </c>
      <c r="P18" s="152">
        <v>50</v>
      </c>
      <c r="Q18" s="152">
        <v>3352</v>
      </c>
      <c r="R18" s="152">
        <v>1122.5999999999999</v>
      </c>
      <c r="S18" s="152">
        <v>684</v>
      </c>
      <c r="T18" s="152">
        <v>15</v>
      </c>
      <c r="U18" s="152">
        <v>6212</v>
      </c>
      <c r="V18" s="152">
        <v>52.5</v>
      </c>
      <c r="W18" s="152">
        <v>5134</v>
      </c>
      <c r="X18" s="146">
        <v>97.5</v>
      </c>
    </row>
    <row r="19" spans="1:24" ht="15" thickBot="1" x14ac:dyDescent="0.35">
      <c r="A19" s="63">
        <f t="shared" ref="A19:H19" si="2">A17-A18</f>
        <v>0</v>
      </c>
      <c r="B19" s="63">
        <f t="shared" si="2"/>
        <v>0</v>
      </c>
      <c r="C19" s="63">
        <f t="shared" si="2"/>
        <v>0</v>
      </c>
      <c r="D19" s="63">
        <f t="shared" si="2"/>
        <v>0</v>
      </c>
      <c r="E19" s="63">
        <f t="shared" si="2"/>
        <v>0</v>
      </c>
      <c r="F19" s="63">
        <f t="shared" si="2"/>
        <v>0</v>
      </c>
      <c r="G19" s="63">
        <f t="shared" si="2"/>
        <v>0</v>
      </c>
      <c r="H19" s="63">
        <f t="shared" si="2"/>
        <v>0</v>
      </c>
      <c r="I19" s="22">
        <f>SUM(I13:I18)</f>
        <v>0</v>
      </c>
      <c r="K19" s="144">
        <f>K17-K18</f>
        <v>0</v>
      </c>
      <c r="L19" s="144">
        <f>L17-L18</f>
        <v>0</v>
      </c>
      <c r="M19" s="144">
        <f t="shared" ref="M19:W19" si="3">M17-M18</f>
        <v>0</v>
      </c>
      <c r="N19" s="144">
        <f t="shared" si="3"/>
        <v>0</v>
      </c>
      <c r="O19" s="144">
        <f t="shared" si="3"/>
        <v>0</v>
      </c>
      <c r="P19" s="144">
        <f t="shared" si="3"/>
        <v>-50</v>
      </c>
      <c r="Q19" s="144">
        <f t="shared" si="3"/>
        <v>0</v>
      </c>
      <c r="R19" s="144">
        <f t="shared" si="3"/>
        <v>0</v>
      </c>
      <c r="S19" s="144">
        <f t="shared" si="3"/>
        <v>0</v>
      </c>
      <c r="T19" s="144">
        <f t="shared" si="3"/>
        <v>0</v>
      </c>
      <c r="U19" s="144">
        <f t="shared" si="3"/>
        <v>0</v>
      </c>
      <c r="V19" s="144">
        <f t="shared" si="3"/>
        <v>0</v>
      </c>
      <c r="W19" s="144">
        <f t="shared" si="3"/>
        <v>0</v>
      </c>
      <c r="X19" s="145">
        <f>X17-X18</f>
        <v>0</v>
      </c>
    </row>
    <row r="21" spans="1:24" ht="15" thickBot="1" x14ac:dyDescent="0.35"/>
    <row r="22" spans="1:24" x14ac:dyDescent="0.3">
      <c r="A22" s="17">
        <v>45700</v>
      </c>
      <c r="B22" s="17">
        <v>45701</v>
      </c>
      <c r="C22" s="17">
        <v>45702</v>
      </c>
      <c r="D22" s="17">
        <v>45703</v>
      </c>
      <c r="E22" s="17">
        <v>45704</v>
      </c>
      <c r="F22" s="17">
        <v>920</v>
      </c>
      <c r="G22" s="17">
        <v>45706</v>
      </c>
      <c r="H22" s="17"/>
      <c r="I22" s="13" t="s">
        <v>8</v>
      </c>
      <c r="K22" s="59">
        <v>45700</v>
      </c>
      <c r="L22" s="59"/>
      <c r="M22" s="59">
        <v>45701</v>
      </c>
      <c r="N22" s="59"/>
      <c r="O22" s="59">
        <v>45702</v>
      </c>
      <c r="P22" s="59"/>
      <c r="Q22" s="59">
        <v>45703</v>
      </c>
      <c r="R22" s="59"/>
      <c r="S22" s="59">
        <v>45704</v>
      </c>
      <c r="T22" s="59"/>
      <c r="U22" s="59">
        <v>45705</v>
      </c>
      <c r="V22" s="59"/>
      <c r="W22" s="59">
        <v>45706</v>
      </c>
      <c r="X22" s="59"/>
    </row>
    <row r="23" spans="1:24" ht="15" thickBot="1" x14ac:dyDescent="0.35">
      <c r="A23" s="24">
        <v>2039.09</v>
      </c>
      <c r="B23" s="22">
        <v>1465</v>
      </c>
      <c r="C23" s="22">
        <v>2289.0700000000002</v>
      </c>
      <c r="D23" s="22">
        <v>4720.8500000000004</v>
      </c>
      <c r="E23" s="22">
        <v>425</v>
      </c>
      <c r="F23" s="22">
        <v>970</v>
      </c>
      <c r="G23" s="22">
        <v>1916.86</v>
      </c>
      <c r="H23" s="37"/>
      <c r="I23" s="15">
        <v>6000</v>
      </c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43" t="s">
        <v>11</v>
      </c>
    </row>
    <row r="24" spans="1:24" x14ac:dyDescent="0.3">
      <c r="A24" s="24">
        <v>2780</v>
      </c>
      <c r="B24" s="22">
        <v>2575</v>
      </c>
      <c r="C24" s="22">
        <v>2870</v>
      </c>
      <c r="D24" s="22">
        <v>1430</v>
      </c>
      <c r="E24" s="25">
        <v>330</v>
      </c>
      <c r="F24" s="22">
        <v>2300</v>
      </c>
      <c r="G24" s="22">
        <v>2510</v>
      </c>
      <c r="H24" s="37"/>
      <c r="I24" s="15">
        <v>2817.5</v>
      </c>
      <c r="K24" s="75">
        <v>300</v>
      </c>
      <c r="L24" s="76">
        <v>50</v>
      </c>
      <c r="M24" s="77">
        <v>120</v>
      </c>
      <c r="N24" s="77">
        <v>195.9</v>
      </c>
      <c r="O24" s="77">
        <v>300</v>
      </c>
      <c r="P24" s="77">
        <v>65</v>
      </c>
      <c r="Q24" s="77">
        <v>780</v>
      </c>
      <c r="R24" s="77">
        <v>60</v>
      </c>
      <c r="S24" s="78">
        <v>630</v>
      </c>
      <c r="T24" s="22">
        <v>15</v>
      </c>
      <c r="U24" s="63">
        <v>210</v>
      </c>
      <c r="V24" s="63">
        <v>62.5</v>
      </c>
      <c r="W24" s="63">
        <v>360</v>
      </c>
      <c r="X24" s="40">
        <v>60</v>
      </c>
    </row>
    <row r="25" spans="1:24" x14ac:dyDescent="0.3">
      <c r="A25" s="24">
        <v>1377.5</v>
      </c>
      <c r="B25" s="22">
        <v>2039.09</v>
      </c>
      <c r="C25" s="22">
        <v>1130</v>
      </c>
      <c r="D25" s="26">
        <v>955</v>
      </c>
      <c r="E25" s="22"/>
      <c r="F25" s="22">
        <v>2086.86</v>
      </c>
      <c r="G25" s="22">
        <v>1440</v>
      </c>
      <c r="H25" s="37"/>
      <c r="I25" s="15">
        <v>6258.42</v>
      </c>
      <c r="K25" s="21">
        <v>4930</v>
      </c>
      <c r="L25" s="79">
        <v>87.5</v>
      </c>
      <c r="M25" s="80">
        <v>358</v>
      </c>
      <c r="N25" s="43">
        <v>2695.6</v>
      </c>
      <c r="O25" s="43">
        <v>5440</v>
      </c>
      <c r="P25" s="43"/>
      <c r="Q25" s="43">
        <v>26</v>
      </c>
      <c r="R25" s="80">
        <v>727.6</v>
      </c>
      <c r="S25" s="43">
        <v>84</v>
      </c>
      <c r="T25" s="22"/>
      <c r="U25" s="22">
        <v>364</v>
      </c>
      <c r="V25" s="22"/>
      <c r="W25" s="22">
        <v>4350</v>
      </c>
      <c r="X25" s="27">
        <v>409.5</v>
      </c>
    </row>
    <row r="26" spans="1:24" x14ac:dyDescent="0.3">
      <c r="A26" s="21"/>
      <c r="B26" s="22"/>
      <c r="C26" s="22"/>
      <c r="D26" s="25"/>
      <c r="E26" s="22"/>
      <c r="F26" s="22"/>
      <c r="G26" s="22"/>
      <c r="H26" s="37"/>
      <c r="I26" s="15">
        <v>5660.8</v>
      </c>
      <c r="K26" s="21">
        <v>214</v>
      </c>
      <c r="L26" s="79"/>
      <c r="M26" s="81">
        <v>5460</v>
      </c>
      <c r="N26" s="43"/>
      <c r="O26" s="43">
        <v>560</v>
      </c>
      <c r="P26" s="43"/>
      <c r="Q26" s="43">
        <v>2220</v>
      </c>
      <c r="R26" s="81">
        <v>76.900000000000006</v>
      </c>
      <c r="S26" s="43"/>
      <c r="T26" s="22"/>
      <c r="U26" s="22">
        <v>5870</v>
      </c>
      <c r="V26" s="22"/>
      <c r="W26" s="22">
        <v>286</v>
      </c>
      <c r="X26" s="27">
        <v>60</v>
      </c>
    </row>
    <row r="27" spans="1:24" x14ac:dyDescent="0.3">
      <c r="A27" s="21"/>
      <c r="B27" s="22"/>
      <c r="C27" s="22"/>
      <c r="D27" s="22"/>
      <c r="E27" s="22"/>
      <c r="F27" s="22"/>
      <c r="G27" s="22"/>
      <c r="H27" s="37"/>
      <c r="I27" s="15"/>
      <c r="K27" s="21">
        <v>370</v>
      </c>
      <c r="L27" s="79"/>
      <c r="M27" s="43">
        <v>420</v>
      </c>
      <c r="N27" s="43"/>
      <c r="O27" s="43">
        <v>370</v>
      </c>
      <c r="P27" s="43"/>
      <c r="Q27" s="43">
        <v>196</v>
      </c>
      <c r="R27" s="43"/>
      <c r="S27" s="43"/>
      <c r="T27" s="22"/>
      <c r="U27" s="22">
        <v>620</v>
      </c>
      <c r="V27" s="22"/>
      <c r="W27" s="22">
        <v>180</v>
      </c>
      <c r="X27" s="27">
        <v>57.5</v>
      </c>
    </row>
    <row r="28" spans="1:24" ht="15" thickBot="1" x14ac:dyDescent="0.35">
      <c r="A28" s="21"/>
      <c r="B28" s="22"/>
      <c r="C28" s="22"/>
      <c r="D28" s="22"/>
      <c r="E28" s="22"/>
      <c r="F28" s="22"/>
      <c r="G28" s="22"/>
      <c r="H28" s="37"/>
      <c r="I28" s="131"/>
      <c r="K28" s="128"/>
      <c r="L28" s="79"/>
      <c r="M28" s="43"/>
      <c r="N28" s="43"/>
      <c r="O28" s="43"/>
      <c r="P28" s="43"/>
      <c r="Q28" s="43">
        <v>210</v>
      </c>
      <c r="R28" s="43"/>
      <c r="S28" s="43"/>
      <c r="T28" s="22"/>
      <c r="U28" s="22"/>
      <c r="V28" s="22"/>
      <c r="W28" s="22"/>
      <c r="X28" s="27"/>
    </row>
    <row r="29" spans="1:24" ht="15.6" thickTop="1" thickBot="1" x14ac:dyDescent="0.35">
      <c r="A29" s="21"/>
      <c r="B29" s="22"/>
      <c r="C29" s="22"/>
      <c r="D29" s="22"/>
      <c r="E29" s="22"/>
      <c r="F29" s="22"/>
      <c r="G29" s="37"/>
      <c r="H29" s="37"/>
      <c r="I29" s="132">
        <f>SUM(I23:I28)</f>
        <v>20736.72</v>
      </c>
      <c r="K29" s="21"/>
      <c r="L29" s="79"/>
      <c r="M29" s="43"/>
      <c r="N29" s="43"/>
      <c r="O29" s="43"/>
      <c r="P29" s="43"/>
      <c r="Q29" s="43"/>
      <c r="R29" s="43"/>
      <c r="S29" s="43"/>
      <c r="T29" s="22"/>
      <c r="U29" s="22"/>
      <c r="V29" s="22"/>
      <c r="W29" s="22"/>
      <c r="X29" s="27"/>
    </row>
    <row r="30" spans="1:24" ht="15" thickTop="1" x14ac:dyDescent="0.3">
      <c r="A30" s="21"/>
      <c r="B30" s="22"/>
      <c r="C30" s="22"/>
      <c r="D30" s="22"/>
      <c r="E30" s="22"/>
      <c r="F30" s="22"/>
      <c r="G30" s="22"/>
      <c r="H30" s="37"/>
      <c r="I30" s="40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7"/>
    </row>
    <row r="31" spans="1:24" x14ac:dyDescent="0.3">
      <c r="A31" s="21"/>
      <c r="B31" s="22"/>
      <c r="C31" s="22"/>
      <c r="D31" s="22"/>
      <c r="E31" s="22"/>
      <c r="F31" s="22"/>
      <c r="G31" s="22"/>
      <c r="H31" s="37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7"/>
    </row>
    <row r="32" spans="1:24" x14ac:dyDescent="0.3">
      <c r="A32" s="21"/>
      <c r="B32" s="22"/>
      <c r="C32" s="22"/>
      <c r="D32" s="22"/>
      <c r="E32" s="22"/>
      <c r="F32" s="22"/>
      <c r="G32" s="22"/>
      <c r="H32" s="37"/>
      <c r="I32" s="27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7"/>
    </row>
    <row r="33" spans="1:24" x14ac:dyDescent="0.3">
      <c r="A33" s="21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7"/>
    </row>
    <row r="34" spans="1:24" ht="15" thickBot="1" x14ac:dyDescent="0.35">
      <c r="A34" s="21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35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ht="15" thickTop="1" x14ac:dyDescent="0.3">
      <c r="A35" s="21" t="s">
        <v>54</v>
      </c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63"/>
      <c r="O35" s="22"/>
      <c r="P35" s="22"/>
      <c r="Q35" s="22"/>
      <c r="R35" s="22"/>
      <c r="S35" s="22"/>
      <c r="T35" s="22"/>
      <c r="U35" s="22"/>
      <c r="V35" s="22"/>
      <c r="W35" s="22"/>
      <c r="X35" s="27"/>
    </row>
    <row r="36" spans="1:24" x14ac:dyDescent="0.3">
      <c r="A36" s="24"/>
      <c r="B36" s="22"/>
      <c r="C36" s="22"/>
      <c r="D36" s="22"/>
      <c r="E36" s="22"/>
      <c r="F36" s="22"/>
      <c r="G36" s="22"/>
      <c r="H36" s="22"/>
      <c r="I36" s="23"/>
      <c r="K36" s="2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7"/>
    </row>
    <row r="37" spans="1:24" ht="15" thickBot="1" x14ac:dyDescent="0.35">
      <c r="A37" s="133">
        <f>SUM(A23:A36)</f>
        <v>6196.59</v>
      </c>
      <c r="B37" s="133">
        <f t="shared" ref="B37:G37" si="4">SUM(B23:B36)</f>
        <v>6079.09</v>
      </c>
      <c r="C37" s="133">
        <f t="shared" si="4"/>
        <v>6289.07</v>
      </c>
      <c r="D37" s="133">
        <f t="shared" si="4"/>
        <v>7105.85</v>
      </c>
      <c r="E37" s="133">
        <f t="shared" si="4"/>
        <v>755</v>
      </c>
      <c r="F37" s="133">
        <f t="shared" si="4"/>
        <v>5356.8600000000006</v>
      </c>
      <c r="G37" s="133">
        <f t="shared" si="4"/>
        <v>5866.86</v>
      </c>
      <c r="H37" s="149">
        <f>SUM(A37:G37)+I29</f>
        <v>58386.04</v>
      </c>
      <c r="I37" s="150" t="s">
        <v>7</v>
      </c>
      <c r="K37" s="133">
        <f>SUM(K24:K36)</f>
        <v>5814</v>
      </c>
      <c r="L37" s="156">
        <f t="shared" ref="L37:X37" si="5">SUM(L24:L36)</f>
        <v>137.5</v>
      </c>
      <c r="M37" s="133">
        <f t="shared" si="5"/>
        <v>6358</v>
      </c>
      <c r="N37" s="133">
        <f t="shared" si="5"/>
        <v>2891.5</v>
      </c>
      <c r="O37" s="133">
        <f t="shared" si="5"/>
        <v>6670</v>
      </c>
      <c r="P37" s="133">
        <f t="shared" si="5"/>
        <v>65</v>
      </c>
      <c r="Q37" s="133">
        <f t="shared" ref="Q37" si="6">SUM(Q24:Q36)</f>
        <v>3432</v>
      </c>
      <c r="R37" s="133">
        <f t="shared" si="5"/>
        <v>864.5</v>
      </c>
      <c r="S37" s="133">
        <f t="shared" si="5"/>
        <v>714</v>
      </c>
      <c r="T37" s="133">
        <f t="shared" si="5"/>
        <v>15</v>
      </c>
      <c r="U37" s="133">
        <f t="shared" si="5"/>
        <v>7064</v>
      </c>
      <c r="V37" s="133">
        <f t="shared" si="5"/>
        <v>62.5</v>
      </c>
      <c r="W37" s="133">
        <f t="shared" si="5"/>
        <v>5176</v>
      </c>
      <c r="X37" s="83">
        <f t="shared" si="5"/>
        <v>587</v>
      </c>
    </row>
    <row r="38" spans="1:24" ht="15" thickBot="1" x14ac:dyDescent="0.35">
      <c r="A38" s="152">
        <v>6196.59</v>
      </c>
      <c r="B38" s="153">
        <v>6079.09</v>
      </c>
      <c r="C38" s="153">
        <v>6289.07</v>
      </c>
      <c r="D38" s="153">
        <v>7105.85</v>
      </c>
      <c r="E38" s="153">
        <v>755</v>
      </c>
      <c r="F38" s="153">
        <v>5356.86</v>
      </c>
      <c r="G38" s="154">
        <v>5866.86</v>
      </c>
      <c r="H38" s="146">
        <f>SUM(H37)</f>
        <v>58386.04</v>
      </c>
      <c r="I38" s="151" t="s">
        <v>1</v>
      </c>
      <c r="K38" s="146">
        <v>5814</v>
      </c>
      <c r="L38" s="146">
        <v>137.5</v>
      </c>
      <c r="M38" s="152">
        <v>6358</v>
      </c>
      <c r="N38" s="152">
        <v>2891.5</v>
      </c>
      <c r="O38" s="152">
        <v>6670</v>
      </c>
      <c r="P38" s="152">
        <v>65</v>
      </c>
      <c r="Q38" s="152">
        <v>3432</v>
      </c>
      <c r="R38" s="152">
        <v>864.5</v>
      </c>
      <c r="S38" s="152">
        <v>714</v>
      </c>
      <c r="T38" s="152">
        <v>15</v>
      </c>
      <c r="U38" s="152">
        <v>7064</v>
      </c>
      <c r="V38" s="152">
        <v>62.5</v>
      </c>
      <c r="W38" s="152">
        <v>5176</v>
      </c>
      <c r="X38" s="146">
        <v>587</v>
      </c>
    </row>
    <row r="39" spans="1:24" ht="15" thickBot="1" x14ac:dyDescent="0.35">
      <c r="A39" s="63">
        <f t="shared" ref="A39:H39" si="7">A37-A38</f>
        <v>0</v>
      </c>
      <c r="B39" s="63">
        <f t="shared" si="7"/>
        <v>0</v>
      </c>
      <c r="C39" s="63">
        <f t="shared" si="7"/>
        <v>0</v>
      </c>
      <c r="D39" s="63">
        <f t="shared" si="7"/>
        <v>0</v>
      </c>
      <c r="E39" s="63">
        <f t="shared" si="7"/>
        <v>0</v>
      </c>
      <c r="F39" s="63">
        <f t="shared" si="7"/>
        <v>0</v>
      </c>
      <c r="G39" s="63">
        <f t="shared" si="7"/>
        <v>0</v>
      </c>
      <c r="H39" s="63">
        <f t="shared" si="7"/>
        <v>0</v>
      </c>
      <c r="I39" s="22">
        <f>SUM(I33:I38)</f>
        <v>0</v>
      </c>
      <c r="K39" s="144">
        <f>K37-K38</f>
        <v>0</v>
      </c>
      <c r="L39" s="144">
        <f>L37-L38</f>
        <v>0</v>
      </c>
      <c r="M39" s="144">
        <f t="shared" ref="M39:W39" si="8">M37-M38</f>
        <v>0</v>
      </c>
      <c r="N39" s="144">
        <f t="shared" si="8"/>
        <v>0</v>
      </c>
      <c r="O39" s="144">
        <f t="shared" si="8"/>
        <v>0</v>
      </c>
      <c r="P39" s="144">
        <f t="shared" si="8"/>
        <v>0</v>
      </c>
      <c r="Q39" s="144">
        <f t="shared" ref="Q39" si="9">Q37-Q38</f>
        <v>0</v>
      </c>
      <c r="R39" s="144">
        <f t="shared" si="8"/>
        <v>0</v>
      </c>
      <c r="S39" s="144">
        <f t="shared" si="8"/>
        <v>0</v>
      </c>
      <c r="T39" s="144">
        <f t="shared" si="8"/>
        <v>0</v>
      </c>
      <c r="U39" s="144">
        <f t="shared" si="8"/>
        <v>0</v>
      </c>
      <c r="V39" s="144">
        <f t="shared" si="8"/>
        <v>0</v>
      </c>
      <c r="W39" s="144">
        <f t="shared" si="8"/>
        <v>0</v>
      </c>
      <c r="X39" s="145">
        <f>X37-X38</f>
        <v>0</v>
      </c>
    </row>
    <row r="40" spans="1:24" ht="15" thickBot="1" x14ac:dyDescent="0.35"/>
    <row r="41" spans="1:24" x14ac:dyDescent="0.3">
      <c r="A41" s="17">
        <v>45707</v>
      </c>
      <c r="B41" s="17">
        <v>45708</v>
      </c>
      <c r="C41" s="17">
        <v>45709</v>
      </c>
      <c r="D41" s="17">
        <v>45710</v>
      </c>
      <c r="E41" s="17">
        <v>45711</v>
      </c>
      <c r="F41" s="17">
        <v>45862</v>
      </c>
      <c r="G41" s="17">
        <v>45713</v>
      </c>
      <c r="H41" s="17"/>
      <c r="I41" s="13" t="s">
        <v>8</v>
      </c>
      <c r="K41" s="59">
        <v>45707</v>
      </c>
      <c r="L41" s="59"/>
      <c r="M41" s="59">
        <v>45708</v>
      </c>
      <c r="N41" s="59"/>
      <c r="O41" s="59">
        <v>45709</v>
      </c>
      <c r="P41" s="59"/>
      <c r="Q41" s="59">
        <v>45710</v>
      </c>
      <c r="R41" s="59"/>
      <c r="S41" s="59">
        <v>45711</v>
      </c>
      <c r="T41" s="59"/>
      <c r="U41" s="59">
        <v>45712</v>
      </c>
      <c r="V41" s="59"/>
      <c r="W41" s="59">
        <v>45713</v>
      </c>
      <c r="X41" s="59"/>
    </row>
    <row r="42" spans="1:24" ht="15" thickBot="1" x14ac:dyDescent="0.35">
      <c r="A42" s="24">
        <v>1575</v>
      </c>
      <c r="B42" s="22">
        <v>1704.61</v>
      </c>
      <c r="C42" s="22">
        <v>940</v>
      </c>
      <c r="D42" s="22">
        <v>1035</v>
      </c>
      <c r="E42" s="22">
        <v>435</v>
      </c>
      <c r="F42" s="22">
        <v>1874.61</v>
      </c>
      <c r="G42" s="22">
        <v>1560</v>
      </c>
      <c r="H42" s="37"/>
      <c r="I42" s="15">
        <v>6000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4">
        <v>2455</v>
      </c>
      <c r="B43" s="22">
        <v>2125</v>
      </c>
      <c r="C43" s="22">
        <v>2235</v>
      </c>
      <c r="D43" s="22">
        <v>1710</v>
      </c>
      <c r="E43" s="25">
        <v>230</v>
      </c>
      <c r="F43" s="22">
        <v>2780</v>
      </c>
      <c r="G43" s="22">
        <v>2540</v>
      </c>
      <c r="H43" s="37"/>
      <c r="I43" s="15">
        <v>2520</v>
      </c>
      <c r="K43" s="75">
        <v>210</v>
      </c>
      <c r="L43" s="76">
        <v>57.5</v>
      </c>
      <c r="M43" s="77">
        <v>540</v>
      </c>
      <c r="N43" s="77">
        <v>72.5</v>
      </c>
      <c r="O43" s="77">
        <v>180</v>
      </c>
      <c r="P43" s="77">
        <v>37.5</v>
      </c>
      <c r="Q43" s="77">
        <v>28</v>
      </c>
      <c r="R43" s="77">
        <v>50</v>
      </c>
      <c r="S43" s="78">
        <v>84</v>
      </c>
      <c r="T43" s="22"/>
      <c r="U43" s="63">
        <v>560</v>
      </c>
      <c r="V43" s="63">
        <v>1980</v>
      </c>
      <c r="W43" s="63">
        <v>180</v>
      </c>
      <c r="X43" s="40">
        <v>57.5</v>
      </c>
    </row>
    <row r="44" spans="1:24" x14ac:dyDescent="0.3">
      <c r="A44" s="24">
        <v>1789.61</v>
      </c>
      <c r="B44" s="22">
        <v>1415</v>
      </c>
      <c r="C44" s="22">
        <v>1949.07</v>
      </c>
      <c r="D44" s="26">
        <v>4853.8100000000004</v>
      </c>
      <c r="E44" s="22"/>
      <c r="F44" s="22">
        <v>1160</v>
      </c>
      <c r="G44" s="22">
        <v>1715.15</v>
      </c>
      <c r="H44" s="37"/>
      <c r="I44" s="15">
        <v>5600.66</v>
      </c>
      <c r="K44" s="21">
        <v>334</v>
      </c>
      <c r="L44" s="79">
        <v>147.5</v>
      </c>
      <c r="M44" s="80">
        <v>4470</v>
      </c>
      <c r="N44" s="43">
        <v>159.9</v>
      </c>
      <c r="O44" s="43">
        <v>450</v>
      </c>
      <c r="P44" s="43"/>
      <c r="Q44" s="43">
        <v>240</v>
      </c>
      <c r="R44" s="80"/>
      <c r="S44" s="43">
        <v>800</v>
      </c>
      <c r="T44" s="22"/>
      <c r="U44" s="22">
        <v>5650</v>
      </c>
      <c r="V44" s="22">
        <v>62.5</v>
      </c>
      <c r="W44" s="22">
        <v>286</v>
      </c>
      <c r="X44" s="27">
        <v>60</v>
      </c>
    </row>
    <row r="45" spans="1:24" x14ac:dyDescent="0.3">
      <c r="A45" s="21"/>
      <c r="B45" s="22"/>
      <c r="C45" s="22"/>
      <c r="D45" s="25"/>
      <c r="E45" s="22"/>
      <c r="F45" s="22"/>
      <c r="G45" s="22"/>
      <c r="H45" s="37"/>
      <c r="I45" s="15">
        <v>5660.8</v>
      </c>
      <c r="K45" s="21">
        <v>5470</v>
      </c>
      <c r="L45" s="79">
        <v>60</v>
      </c>
      <c r="M45" s="81">
        <v>190</v>
      </c>
      <c r="N45" s="43"/>
      <c r="O45" s="43">
        <v>5910</v>
      </c>
      <c r="P45" s="43"/>
      <c r="Q45" s="43">
        <v>168</v>
      </c>
      <c r="R45" s="81"/>
      <c r="S45" s="43"/>
      <c r="T45" s="22"/>
      <c r="U45" s="22">
        <v>352</v>
      </c>
      <c r="V45" s="22">
        <v>260</v>
      </c>
      <c r="W45" s="22">
        <v>4350</v>
      </c>
      <c r="X45" s="27"/>
    </row>
    <row r="46" spans="1:24" x14ac:dyDescent="0.3">
      <c r="A46" s="21"/>
      <c r="B46" s="22"/>
      <c r="C46" s="22"/>
      <c r="D46" s="22"/>
      <c r="E46" s="22"/>
      <c r="F46" s="22"/>
      <c r="G46" s="22"/>
      <c r="H46" s="37"/>
      <c r="I46" s="15"/>
      <c r="K46" s="21">
        <v>600</v>
      </c>
      <c r="L46" s="79"/>
      <c r="M46" s="43">
        <v>210</v>
      </c>
      <c r="N46" s="43"/>
      <c r="O46" s="43">
        <v>420</v>
      </c>
      <c r="P46" s="43"/>
      <c r="Q46" s="43">
        <v>2560</v>
      </c>
      <c r="R46" s="43"/>
      <c r="S46" s="43"/>
      <c r="T46" s="22"/>
      <c r="U46" s="22">
        <v>240</v>
      </c>
      <c r="V46" s="22"/>
      <c r="W46" s="22">
        <v>720</v>
      </c>
      <c r="X46" s="27"/>
    </row>
    <row r="47" spans="1:24" ht="15" thickBot="1" x14ac:dyDescent="0.35">
      <c r="A47" s="21"/>
      <c r="B47" s="22"/>
      <c r="C47" s="22"/>
      <c r="D47" s="22"/>
      <c r="E47" s="22"/>
      <c r="F47" s="22"/>
      <c r="G47" s="22"/>
      <c r="H47" s="37"/>
      <c r="I47" s="131"/>
      <c r="K47" s="128"/>
      <c r="L47" s="79"/>
      <c r="M47" s="43"/>
      <c r="N47" s="43"/>
      <c r="O47" s="43"/>
      <c r="P47" s="43"/>
      <c r="Q47" s="43">
        <v>840</v>
      </c>
      <c r="R47" s="43"/>
      <c r="S47" s="43"/>
      <c r="T47" s="22"/>
      <c r="U47" s="22"/>
      <c r="V47" s="22"/>
      <c r="W47" s="22"/>
      <c r="X47" s="27"/>
    </row>
    <row r="48" spans="1:24" ht="15.6" thickTop="1" thickBot="1" x14ac:dyDescent="0.35">
      <c r="A48" s="21"/>
      <c r="B48" s="22"/>
      <c r="C48" s="22"/>
      <c r="D48" s="22"/>
      <c r="E48" s="22"/>
      <c r="F48" s="22"/>
      <c r="G48" s="37"/>
      <c r="H48" s="37"/>
      <c r="I48" s="132">
        <f>SUM(I42:I47)</f>
        <v>19781.46</v>
      </c>
      <c r="K48" s="21"/>
      <c r="L48" s="79"/>
      <c r="M48" s="43"/>
      <c r="N48" s="43"/>
      <c r="O48" s="43"/>
      <c r="P48" s="43"/>
      <c r="Q48" s="77"/>
      <c r="R48" s="43"/>
      <c r="S48" s="43"/>
      <c r="T48" s="22"/>
      <c r="U48" s="22"/>
      <c r="V48" s="22"/>
      <c r="W48" s="22"/>
      <c r="X48" s="27"/>
    </row>
    <row r="49" spans="1:24" ht="15" thickTop="1" x14ac:dyDescent="0.3">
      <c r="A49" s="21"/>
      <c r="B49" s="22"/>
      <c r="C49" s="22"/>
      <c r="D49" s="22"/>
      <c r="E49" s="22"/>
      <c r="F49" s="22"/>
      <c r="G49" s="22"/>
      <c r="H49" s="37"/>
      <c r="I49" s="40"/>
      <c r="K49" s="24"/>
      <c r="L49" s="56"/>
      <c r="M49" s="22"/>
      <c r="N49" s="22"/>
      <c r="O49" s="22"/>
      <c r="P49" s="22"/>
      <c r="Q49" s="43"/>
      <c r="R49" s="22"/>
      <c r="S49" s="22"/>
      <c r="T49" s="22"/>
      <c r="U49" s="22"/>
      <c r="V49" s="22"/>
      <c r="W49" s="22"/>
      <c r="X49" s="27"/>
    </row>
    <row r="50" spans="1:24" x14ac:dyDescent="0.3">
      <c r="A50" s="21"/>
      <c r="B50" s="22"/>
      <c r="C50" s="22"/>
      <c r="D50" s="22"/>
      <c r="E50" s="22"/>
      <c r="F50" s="22"/>
      <c r="G50" s="22"/>
      <c r="H50" s="37"/>
      <c r="I50" s="27"/>
      <c r="K50" s="24"/>
      <c r="L50" s="56"/>
      <c r="M50" s="22"/>
      <c r="N50" s="22"/>
      <c r="O50" s="22"/>
      <c r="P50" s="22"/>
      <c r="Q50" s="43"/>
      <c r="R50" s="22"/>
      <c r="S50" s="22"/>
      <c r="T50" s="22"/>
      <c r="U50" s="22"/>
      <c r="V50" s="22"/>
      <c r="W50" s="22"/>
      <c r="X50" s="27"/>
    </row>
    <row r="51" spans="1:24" x14ac:dyDescent="0.3">
      <c r="A51" s="21"/>
      <c r="B51" s="22"/>
      <c r="C51" s="22"/>
      <c r="D51" s="22"/>
      <c r="E51" s="22"/>
      <c r="F51" s="22"/>
      <c r="G51" s="22"/>
      <c r="H51" s="37"/>
      <c r="I51" s="27"/>
      <c r="K51" s="24"/>
      <c r="L51" s="56"/>
      <c r="M51" s="22"/>
      <c r="N51" s="22"/>
      <c r="O51" s="22"/>
      <c r="P51" s="22"/>
      <c r="Q51" s="43"/>
      <c r="R51" s="22"/>
      <c r="S51" s="22"/>
      <c r="T51" s="22"/>
      <c r="U51" s="22"/>
      <c r="V51" s="22"/>
      <c r="W51" s="22"/>
      <c r="X51" s="27"/>
    </row>
    <row r="52" spans="1:24" x14ac:dyDescent="0.3">
      <c r="A52" s="21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43"/>
      <c r="R52" s="22"/>
      <c r="S52" s="22"/>
      <c r="T52" s="22"/>
      <c r="U52" s="22"/>
      <c r="V52" s="22"/>
      <c r="W52" s="22"/>
      <c r="X52" s="27"/>
    </row>
    <row r="53" spans="1:24" ht="15" thickBot="1" x14ac:dyDescent="0.35">
      <c r="A53" s="21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35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ht="15" thickTop="1" x14ac:dyDescent="0.3">
      <c r="A54" s="21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63"/>
      <c r="O54" s="22"/>
      <c r="P54" s="22"/>
      <c r="Q54" s="22"/>
      <c r="R54" s="22"/>
      <c r="S54" s="22"/>
      <c r="T54" s="22"/>
      <c r="U54" s="22"/>
      <c r="V54" s="22"/>
      <c r="W54" s="22"/>
      <c r="X54" s="27"/>
    </row>
    <row r="55" spans="1:24" x14ac:dyDescent="0.3">
      <c r="A55" s="24"/>
      <c r="B55" s="22"/>
      <c r="C55" s="22"/>
      <c r="D55" s="22"/>
      <c r="E55" s="22"/>
      <c r="F55" s="22"/>
      <c r="G55" s="22"/>
      <c r="H55" s="22"/>
      <c r="I55" s="23"/>
      <c r="K55" s="2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7"/>
    </row>
    <row r="56" spans="1:24" ht="15" thickBot="1" x14ac:dyDescent="0.35">
      <c r="A56" s="133">
        <f>SUM(A42:A55)</f>
        <v>5819.61</v>
      </c>
      <c r="B56" s="133">
        <f t="shared" ref="B56:G56" si="10">SUM(B42:B55)</f>
        <v>5244.61</v>
      </c>
      <c r="C56" s="133">
        <f t="shared" si="10"/>
        <v>5124.07</v>
      </c>
      <c r="D56" s="133">
        <f t="shared" si="10"/>
        <v>7598.81</v>
      </c>
      <c r="E56" s="133">
        <f t="shared" si="10"/>
        <v>665</v>
      </c>
      <c r="F56" s="133">
        <f t="shared" si="10"/>
        <v>5814.61</v>
      </c>
      <c r="G56" s="133">
        <f t="shared" si="10"/>
        <v>5815.15</v>
      </c>
      <c r="H56" s="149">
        <f>SUM(A56:G56)+I48</f>
        <v>55863.32</v>
      </c>
      <c r="I56" s="150" t="s">
        <v>7</v>
      </c>
      <c r="K56" s="133">
        <f>SUM(K43:K55)</f>
        <v>6614</v>
      </c>
      <c r="L56" s="156">
        <f t="shared" ref="L56:X56" si="11">SUM(L43:L55)</f>
        <v>265</v>
      </c>
      <c r="M56" s="133">
        <f t="shared" si="11"/>
        <v>5410</v>
      </c>
      <c r="N56" s="133">
        <f t="shared" si="11"/>
        <v>232.4</v>
      </c>
      <c r="O56" s="133">
        <f t="shared" si="11"/>
        <v>6960</v>
      </c>
      <c r="P56" s="133">
        <f t="shared" si="11"/>
        <v>37.5</v>
      </c>
      <c r="Q56" s="133">
        <f t="shared" si="11"/>
        <v>3836</v>
      </c>
      <c r="R56" s="133">
        <f t="shared" si="11"/>
        <v>50</v>
      </c>
      <c r="S56" s="133">
        <f t="shared" si="11"/>
        <v>884</v>
      </c>
      <c r="T56" s="133">
        <f t="shared" si="11"/>
        <v>0</v>
      </c>
      <c r="U56" s="133">
        <f t="shared" si="11"/>
        <v>6802</v>
      </c>
      <c r="V56" s="133">
        <f t="shared" si="11"/>
        <v>2302.5</v>
      </c>
      <c r="W56" s="133">
        <f t="shared" si="11"/>
        <v>5536</v>
      </c>
      <c r="X56" s="83">
        <f t="shared" si="11"/>
        <v>117.5</v>
      </c>
    </row>
    <row r="57" spans="1:24" ht="15" thickBot="1" x14ac:dyDescent="0.35">
      <c r="A57" s="152">
        <v>5819.61</v>
      </c>
      <c r="B57" s="152">
        <v>5244.61</v>
      </c>
      <c r="C57" s="152">
        <v>5124.07</v>
      </c>
      <c r="D57" s="152">
        <v>7598.81</v>
      </c>
      <c r="E57" s="152">
        <v>665</v>
      </c>
      <c r="F57" s="152">
        <v>5814.61</v>
      </c>
      <c r="G57" s="152">
        <v>5815.15</v>
      </c>
      <c r="H57" s="146">
        <f>SUM(H56)</f>
        <v>55863.32</v>
      </c>
      <c r="I57" s="151" t="s">
        <v>1</v>
      </c>
      <c r="K57" s="152">
        <v>6614</v>
      </c>
      <c r="L57" s="152">
        <v>265</v>
      </c>
      <c r="M57" s="152">
        <v>5410</v>
      </c>
      <c r="N57" s="152">
        <v>232.4</v>
      </c>
      <c r="O57" s="152">
        <v>6960</v>
      </c>
      <c r="P57" s="152">
        <v>37.5</v>
      </c>
      <c r="Q57" s="152">
        <v>3836</v>
      </c>
      <c r="R57" s="152">
        <v>50</v>
      </c>
      <c r="S57" s="152">
        <v>884</v>
      </c>
      <c r="T57" s="152">
        <v>0</v>
      </c>
      <c r="U57" s="152">
        <v>6802</v>
      </c>
      <c r="V57" s="152">
        <v>2302.5</v>
      </c>
      <c r="W57" s="152">
        <v>5536</v>
      </c>
      <c r="X57" s="152">
        <v>117.5</v>
      </c>
    </row>
    <row r="58" spans="1:24" ht="15" thickBot="1" x14ac:dyDescent="0.35">
      <c r="A58" s="63">
        <f t="shared" ref="A58:H58" si="12">A56-A57</f>
        <v>0</v>
      </c>
      <c r="B58" s="63">
        <f t="shared" si="12"/>
        <v>0</v>
      </c>
      <c r="C58" s="63">
        <f t="shared" si="12"/>
        <v>0</v>
      </c>
      <c r="D58" s="63">
        <f t="shared" si="12"/>
        <v>0</v>
      </c>
      <c r="E58" s="63">
        <f t="shared" si="12"/>
        <v>0</v>
      </c>
      <c r="F58" s="63">
        <f t="shared" si="12"/>
        <v>0</v>
      </c>
      <c r="G58" s="63">
        <f t="shared" si="12"/>
        <v>0</v>
      </c>
      <c r="H58" s="63">
        <f t="shared" si="12"/>
        <v>0</v>
      </c>
      <c r="I58" s="22">
        <f>SUM(I52:I57)</f>
        <v>0</v>
      </c>
      <c r="K58" s="144">
        <f>K56-K57</f>
        <v>0</v>
      </c>
      <c r="L58" s="144">
        <f>L56-L57</f>
        <v>0</v>
      </c>
      <c r="M58" s="144">
        <f t="shared" ref="M58:W58" si="13">M56-M57</f>
        <v>0</v>
      </c>
      <c r="N58" s="144">
        <f t="shared" si="13"/>
        <v>0</v>
      </c>
      <c r="O58" s="144">
        <f t="shared" si="13"/>
        <v>0</v>
      </c>
      <c r="P58" s="144">
        <f t="shared" si="13"/>
        <v>0</v>
      </c>
      <c r="Q58" s="144">
        <f t="shared" si="13"/>
        <v>0</v>
      </c>
      <c r="R58" s="144">
        <f>R56-R57</f>
        <v>0</v>
      </c>
      <c r="S58" s="144">
        <f t="shared" si="13"/>
        <v>0</v>
      </c>
      <c r="T58" s="144">
        <f>T56-T57</f>
        <v>0</v>
      </c>
      <c r="U58" s="144">
        <f t="shared" si="13"/>
        <v>0</v>
      </c>
      <c r="V58" s="144">
        <f t="shared" si="13"/>
        <v>0</v>
      </c>
      <c r="W58" s="144">
        <f t="shared" si="13"/>
        <v>0</v>
      </c>
      <c r="X58" s="145">
        <f>X56-X57</f>
        <v>0</v>
      </c>
    </row>
    <row r="59" spans="1:24" ht="15" thickBot="1" x14ac:dyDescent="0.35"/>
    <row r="60" spans="1:24" x14ac:dyDescent="0.3">
      <c r="A60" s="17">
        <v>45714</v>
      </c>
      <c r="B60" s="17">
        <v>45715</v>
      </c>
      <c r="C60" s="17">
        <v>45716</v>
      </c>
      <c r="D60" s="17">
        <v>45717</v>
      </c>
      <c r="E60" s="17">
        <v>45718</v>
      </c>
      <c r="F60" s="17">
        <v>45719</v>
      </c>
      <c r="G60" s="17">
        <v>45720</v>
      </c>
      <c r="H60" s="17"/>
      <c r="I60" s="13" t="s">
        <v>8</v>
      </c>
      <c r="K60" s="59">
        <v>45714</v>
      </c>
      <c r="L60" s="59"/>
      <c r="M60" s="59">
        <v>45715</v>
      </c>
      <c r="N60" s="59"/>
      <c r="O60" s="59">
        <v>45716</v>
      </c>
      <c r="P60" s="59"/>
      <c r="Q60" s="59">
        <v>45717</v>
      </c>
      <c r="R60" s="59"/>
      <c r="S60" s="59">
        <v>45718</v>
      </c>
      <c r="T60" s="59"/>
      <c r="U60" s="59">
        <v>45719</v>
      </c>
      <c r="V60" s="59"/>
      <c r="W60" s="59">
        <v>45720</v>
      </c>
      <c r="X60" s="59"/>
    </row>
    <row r="61" spans="1:24" ht="15" thickBot="1" x14ac:dyDescent="0.35">
      <c r="A61" s="24">
        <v>1435</v>
      </c>
      <c r="B61" s="22">
        <v>1874.61</v>
      </c>
      <c r="C61" s="22">
        <v>880</v>
      </c>
      <c r="D61" s="22">
        <v>3452.44</v>
      </c>
      <c r="E61" s="22">
        <v>370</v>
      </c>
      <c r="F61" s="22">
        <v>1240</v>
      </c>
      <c r="G61" s="22">
        <v>1640</v>
      </c>
      <c r="H61" s="37"/>
      <c r="I61" s="15">
        <v>2035</v>
      </c>
      <c r="K61" s="124" t="s">
        <v>10</v>
      </c>
      <c r="L61" s="125" t="s">
        <v>11</v>
      </c>
      <c r="M61" s="126" t="s">
        <v>10</v>
      </c>
      <c r="N61" s="126" t="s">
        <v>11</v>
      </c>
      <c r="O61" s="126" t="s">
        <v>10</v>
      </c>
      <c r="P61" s="126" t="s">
        <v>11</v>
      </c>
      <c r="Q61" s="126" t="s">
        <v>10</v>
      </c>
      <c r="R61" s="126" t="s">
        <v>11</v>
      </c>
      <c r="S61" s="126" t="s">
        <v>10</v>
      </c>
      <c r="T61" s="126" t="s">
        <v>11</v>
      </c>
      <c r="U61" s="126" t="s">
        <v>10</v>
      </c>
      <c r="V61" s="126" t="s">
        <v>11</v>
      </c>
      <c r="W61" s="126" t="s">
        <v>10</v>
      </c>
      <c r="X61" s="143" t="s">
        <v>11</v>
      </c>
    </row>
    <row r="62" spans="1:24" x14ac:dyDescent="0.3">
      <c r="A62" s="24">
        <v>2255</v>
      </c>
      <c r="B62" s="22">
        <v>2315</v>
      </c>
      <c r="C62" s="22">
        <v>2485</v>
      </c>
      <c r="D62" s="22">
        <v>1775</v>
      </c>
      <c r="E62" s="22">
        <v>530</v>
      </c>
      <c r="F62" s="22">
        <v>2875</v>
      </c>
      <c r="G62" s="22">
        <v>2815</v>
      </c>
      <c r="H62" s="37"/>
      <c r="I62" s="15">
        <v>6400</v>
      </c>
      <c r="K62" s="75">
        <v>300</v>
      </c>
      <c r="L62" s="76">
        <v>97.5</v>
      </c>
      <c r="M62" s="77">
        <v>660</v>
      </c>
      <c r="N62" s="77">
        <v>60</v>
      </c>
      <c r="O62" s="77">
        <v>210</v>
      </c>
      <c r="P62" s="77">
        <v>30</v>
      </c>
      <c r="Q62" s="77">
        <v>240</v>
      </c>
      <c r="R62" s="77">
        <v>180</v>
      </c>
      <c r="S62" s="63">
        <v>84</v>
      </c>
      <c r="T62" s="22">
        <v>15</v>
      </c>
      <c r="U62" s="63">
        <v>240</v>
      </c>
      <c r="V62" s="63">
        <v>229.5</v>
      </c>
      <c r="W62" s="63">
        <v>120</v>
      </c>
      <c r="X62" s="40">
        <v>65</v>
      </c>
    </row>
    <row r="63" spans="1:24" x14ac:dyDescent="0.3">
      <c r="A63" s="24">
        <v>2204.0700000000002</v>
      </c>
      <c r="B63" s="26">
        <v>1280</v>
      </c>
      <c r="C63" s="22">
        <v>1959.61</v>
      </c>
      <c r="D63" s="26">
        <v>1130</v>
      </c>
      <c r="E63" s="22"/>
      <c r="F63" s="22">
        <v>1874.61</v>
      </c>
      <c r="G63" s="22">
        <v>1585.14</v>
      </c>
      <c r="H63" s="37"/>
      <c r="I63" s="15">
        <v>5602.9</v>
      </c>
      <c r="K63" s="21">
        <v>334</v>
      </c>
      <c r="L63" s="79">
        <v>108</v>
      </c>
      <c r="M63" s="80">
        <v>4670</v>
      </c>
      <c r="N63" s="43">
        <v>52.5</v>
      </c>
      <c r="O63" s="43">
        <v>430</v>
      </c>
      <c r="P63" s="43"/>
      <c r="Q63" s="43">
        <v>3110</v>
      </c>
      <c r="R63" s="80">
        <v>409.5</v>
      </c>
      <c r="S63" s="22">
        <v>510</v>
      </c>
      <c r="T63" s="22"/>
      <c r="U63" s="22">
        <v>352</v>
      </c>
      <c r="V63" s="22">
        <v>1544</v>
      </c>
      <c r="W63" s="22">
        <v>318</v>
      </c>
      <c r="X63" s="27">
        <v>60</v>
      </c>
    </row>
    <row r="64" spans="1:24" x14ac:dyDescent="0.3">
      <c r="A64" s="21"/>
      <c r="B64" s="25"/>
      <c r="C64" s="22"/>
      <c r="D64" s="25"/>
      <c r="E64" s="22"/>
      <c r="F64" s="22"/>
      <c r="G64" s="22"/>
      <c r="H64" s="37"/>
      <c r="I64" s="15">
        <v>5660.8</v>
      </c>
      <c r="K64" s="21">
        <v>5500</v>
      </c>
      <c r="L64" s="79"/>
      <c r="M64" s="81">
        <v>202</v>
      </c>
      <c r="N64" s="43"/>
      <c r="O64" s="43">
        <v>5680</v>
      </c>
      <c r="P64" s="43"/>
      <c r="Q64" s="43">
        <v>602</v>
      </c>
      <c r="R64" s="81">
        <v>57.5</v>
      </c>
      <c r="S64" s="22"/>
      <c r="T64" s="22"/>
      <c r="U64" s="22">
        <v>5170</v>
      </c>
      <c r="V64" s="22"/>
      <c r="W64" s="22">
        <v>4450</v>
      </c>
      <c r="X64" s="27">
        <v>69.900000000000006</v>
      </c>
    </row>
    <row r="65" spans="1:24" x14ac:dyDescent="0.3">
      <c r="A65" s="21"/>
      <c r="B65" s="22"/>
      <c r="C65" s="22"/>
      <c r="D65" s="22"/>
      <c r="E65" s="22"/>
      <c r="F65" s="22"/>
      <c r="G65" s="22"/>
      <c r="H65" s="37"/>
      <c r="I65" s="15">
        <v>823.4</v>
      </c>
      <c r="K65" s="21">
        <v>480</v>
      </c>
      <c r="L65" s="79"/>
      <c r="M65" s="43">
        <v>150</v>
      </c>
      <c r="N65" s="43"/>
      <c r="O65" s="43">
        <v>600</v>
      </c>
      <c r="P65" s="43"/>
      <c r="Q65" s="43">
        <v>270</v>
      </c>
      <c r="R65" s="43">
        <v>30</v>
      </c>
      <c r="S65" s="22"/>
      <c r="T65" s="22"/>
      <c r="U65" s="22">
        <v>420</v>
      </c>
      <c r="V65" s="22"/>
      <c r="W65" s="22">
        <v>550</v>
      </c>
      <c r="X65" s="27"/>
    </row>
    <row r="66" spans="1:24" ht="15" thickBot="1" x14ac:dyDescent="0.35">
      <c r="A66" s="21"/>
      <c r="B66" s="22"/>
      <c r="C66" s="22"/>
      <c r="D66" s="22"/>
      <c r="E66" s="22"/>
      <c r="F66" s="22"/>
      <c r="G66" s="22"/>
      <c r="H66" s="37"/>
      <c r="I66" s="131"/>
      <c r="K66" s="128"/>
      <c r="L66" s="79"/>
      <c r="M66" s="43"/>
      <c r="N66" s="43"/>
      <c r="O66" s="43"/>
      <c r="P66" s="43"/>
      <c r="Q66" s="43">
        <v>28</v>
      </c>
      <c r="R66" s="43"/>
      <c r="S66" s="22"/>
      <c r="T66" s="22"/>
      <c r="U66" s="22"/>
      <c r="V66" s="22"/>
      <c r="W66" s="22"/>
      <c r="X66" s="27"/>
    </row>
    <row r="67" spans="1:24" ht="15.6" thickTop="1" thickBot="1" x14ac:dyDescent="0.35">
      <c r="A67" s="21"/>
      <c r="B67" s="22"/>
      <c r="C67" s="22"/>
      <c r="D67" s="22"/>
      <c r="E67" s="22"/>
      <c r="F67" s="22"/>
      <c r="G67" s="37"/>
      <c r="H67" s="37"/>
      <c r="I67" s="132">
        <f>SUM(I61:I66)</f>
        <v>20522.100000000002</v>
      </c>
      <c r="K67" s="21"/>
      <c r="L67" s="79"/>
      <c r="M67" s="43"/>
      <c r="N67" s="43"/>
      <c r="O67" s="43"/>
      <c r="P67" s="43"/>
      <c r="Q67" s="77"/>
      <c r="R67" s="43"/>
      <c r="S67" s="22"/>
      <c r="T67" s="22"/>
      <c r="U67" s="22"/>
      <c r="V67" s="22"/>
      <c r="W67" s="22"/>
      <c r="X67" s="27"/>
    </row>
    <row r="68" spans="1:24" ht="15" thickTop="1" x14ac:dyDescent="0.3">
      <c r="A68" s="21"/>
      <c r="B68" s="22"/>
      <c r="C68" s="22"/>
      <c r="D68" s="22"/>
      <c r="E68" s="22"/>
      <c r="F68" s="22"/>
      <c r="G68" s="22"/>
      <c r="H68" s="37"/>
      <c r="I68" s="40"/>
      <c r="K68" s="24"/>
      <c r="L68" s="56"/>
      <c r="M68" s="22"/>
      <c r="N68" s="22"/>
      <c r="O68" s="22"/>
      <c r="P68" s="22"/>
      <c r="Q68" s="43"/>
      <c r="R68" s="22"/>
      <c r="S68" s="22"/>
      <c r="T68" s="22"/>
      <c r="U68" s="22"/>
      <c r="V68" s="22"/>
      <c r="W68" s="22"/>
      <c r="X68" s="27"/>
    </row>
    <row r="69" spans="1:24" x14ac:dyDescent="0.3">
      <c r="A69" s="21"/>
      <c r="B69" s="22"/>
      <c r="C69" s="22"/>
      <c r="D69" s="22"/>
      <c r="E69" s="22"/>
      <c r="F69" s="22"/>
      <c r="G69" s="22"/>
      <c r="H69" s="37"/>
      <c r="I69" s="27"/>
      <c r="K69" s="24"/>
      <c r="L69" s="56"/>
      <c r="M69" s="22"/>
      <c r="N69" s="22"/>
      <c r="O69" s="22"/>
      <c r="P69" s="22"/>
      <c r="Q69" s="43"/>
      <c r="R69" s="22"/>
      <c r="S69" s="22"/>
      <c r="T69" s="22"/>
      <c r="U69" s="22"/>
      <c r="V69" s="22"/>
      <c r="W69" s="22"/>
      <c r="X69" s="27"/>
    </row>
    <row r="70" spans="1:24" x14ac:dyDescent="0.3">
      <c r="A70" s="21"/>
      <c r="B70" s="22"/>
      <c r="C70" s="22"/>
      <c r="D70" s="22"/>
      <c r="E70" s="22"/>
      <c r="F70" s="22"/>
      <c r="G70" s="22"/>
      <c r="H70" s="37"/>
      <c r="I70" s="27"/>
      <c r="K70" s="24"/>
      <c r="L70" s="56"/>
      <c r="M70" s="22"/>
      <c r="N70" s="22"/>
      <c r="O70" s="22"/>
      <c r="P70" s="22"/>
      <c r="Q70" s="43"/>
      <c r="R70" s="22"/>
      <c r="S70" s="22"/>
      <c r="T70" s="22"/>
      <c r="U70" s="22"/>
      <c r="V70" s="22"/>
      <c r="W70" s="22"/>
      <c r="X70" s="27"/>
    </row>
    <row r="71" spans="1:24" x14ac:dyDescent="0.3">
      <c r="A71" s="21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43"/>
      <c r="R71" s="22"/>
      <c r="S71" s="22"/>
      <c r="T71" s="22"/>
      <c r="U71" s="22"/>
      <c r="V71" s="22"/>
      <c r="W71" s="22"/>
      <c r="X71" s="27"/>
    </row>
    <row r="72" spans="1:24" ht="15" thickBot="1" x14ac:dyDescent="0.35">
      <c r="A72" s="21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35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ht="15" thickTop="1" x14ac:dyDescent="0.3">
      <c r="A73" s="21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63"/>
      <c r="O73" s="22"/>
      <c r="P73" s="22"/>
      <c r="Q73" s="22"/>
      <c r="R73" s="22"/>
      <c r="S73" s="22"/>
      <c r="T73" s="22"/>
      <c r="U73" s="22"/>
      <c r="V73" s="22"/>
      <c r="W73" s="22"/>
      <c r="X73" s="27"/>
    </row>
    <row r="74" spans="1:24" x14ac:dyDescent="0.3">
      <c r="A74" s="24"/>
      <c r="B74" s="22"/>
      <c r="C74" s="22"/>
      <c r="D74" s="22"/>
      <c r="E74" s="22"/>
      <c r="F74" s="22"/>
      <c r="G74" s="22"/>
      <c r="H74" s="22"/>
      <c r="I74" s="23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7"/>
    </row>
    <row r="75" spans="1:24" ht="15" thickBot="1" x14ac:dyDescent="0.35">
      <c r="A75" s="133">
        <f>SUM(A61:A74)</f>
        <v>5894.07</v>
      </c>
      <c r="B75" s="133">
        <f t="shared" ref="B75" si="14">SUM(B61:B74)</f>
        <v>5469.61</v>
      </c>
      <c r="C75" s="133">
        <f t="shared" ref="C75:G75" si="15">SUM(C61:C74)</f>
        <v>5324.61</v>
      </c>
      <c r="D75" s="133">
        <f t="shared" si="15"/>
        <v>6357.4400000000005</v>
      </c>
      <c r="E75" s="133">
        <f t="shared" ref="E75:F75" si="16">SUM(E61:E74)</f>
        <v>900</v>
      </c>
      <c r="F75" s="133">
        <f t="shared" si="16"/>
        <v>5989.61</v>
      </c>
      <c r="G75" s="133">
        <f t="shared" si="15"/>
        <v>6040.14</v>
      </c>
      <c r="H75" s="149">
        <f>SUM(A75:G75)+I67</f>
        <v>56497.58</v>
      </c>
      <c r="I75" s="150" t="s">
        <v>7</v>
      </c>
      <c r="K75" s="133">
        <f>SUM(K62:K74)</f>
        <v>6614</v>
      </c>
      <c r="L75" s="156">
        <f t="shared" ref="L75:X75" si="17">SUM(L62:L74)</f>
        <v>205.5</v>
      </c>
      <c r="M75" s="133">
        <f t="shared" si="17"/>
        <v>5682</v>
      </c>
      <c r="N75" s="133">
        <f t="shared" si="17"/>
        <v>112.5</v>
      </c>
      <c r="O75" s="133">
        <f t="shared" si="17"/>
        <v>6920</v>
      </c>
      <c r="P75" s="133">
        <f t="shared" si="17"/>
        <v>30</v>
      </c>
      <c r="Q75" s="133">
        <f t="shared" si="17"/>
        <v>4250</v>
      </c>
      <c r="R75" s="133">
        <f t="shared" si="17"/>
        <v>677</v>
      </c>
      <c r="S75" s="133">
        <f t="shared" ref="S75" si="18">SUM(S62:S74)</f>
        <v>594</v>
      </c>
      <c r="T75" s="133">
        <v>0</v>
      </c>
      <c r="U75" s="133">
        <f t="shared" si="17"/>
        <v>6182</v>
      </c>
      <c r="V75" s="133">
        <f t="shared" si="17"/>
        <v>1773.5</v>
      </c>
      <c r="W75" s="133">
        <f t="shared" si="17"/>
        <v>5438</v>
      </c>
      <c r="X75" s="83">
        <f t="shared" si="17"/>
        <v>194.9</v>
      </c>
    </row>
    <row r="76" spans="1:24" ht="15" thickBot="1" x14ac:dyDescent="0.35">
      <c r="A76" s="152">
        <v>5894.07</v>
      </c>
      <c r="B76" s="152">
        <v>5469.61</v>
      </c>
      <c r="C76" s="152">
        <v>5324.61</v>
      </c>
      <c r="D76" s="152">
        <v>6357.44</v>
      </c>
      <c r="E76" s="152">
        <v>900</v>
      </c>
      <c r="F76" s="152">
        <v>5989.61</v>
      </c>
      <c r="G76" s="152">
        <v>6040.14</v>
      </c>
      <c r="H76" s="146">
        <f>SUM(H75)</f>
        <v>56497.58</v>
      </c>
      <c r="I76" s="151" t="s">
        <v>1</v>
      </c>
      <c r="K76" s="133">
        <v>6614</v>
      </c>
      <c r="L76" s="133">
        <v>205.5</v>
      </c>
      <c r="M76" s="133">
        <v>5682</v>
      </c>
      <c r="N76" s="133">
        <v>112.5</v>
      </c>
      <c r="O76" s="133">
        <v>6920</v>
      </c>
      <c r="P76" s="133">
        <v>30</v>
      </c>
      <c r="Q76" s="133">
        <v>4250</v>
      </c>
      <c r="R76" s="133">
        <v>677</v>
      </c>
      <c r="S76" s="133">
        <v>594</v>
      </c>
      <c r="T76" s="133">
        <v>15</v>
      </c>
      <c r="U76" s="133">
        <v>6182</v>
      </c>
      <c r="V76" s="133">
        <v>1773.5</v>
      </c>
      <c r="W76" s="133">
        <v>5438</v>
      </c>
      <c r="X76" s="133">
        <v>194.9</v>
      </c>
    </row>
    <row r="77" spans="1:24" ht="15" thickBot="1" x14ac:dyDescent="0.35">
      <c r="A77" s="63">
        <f t="shared" ref="A77:H77" si="19">A75-A76</f>
        <v>0</v>
      </c>
      <c r="B77" s="63">
        <f t="shared" ref="B77" si="20">B75-B76</f>
        <v>0</v>
      </c>
      <c r="C77" s="63">
        <f t="shared" si="19"/>
        <v>0</v>
      </c>
      <c r="D77" s="63">
        <f t="shared" si="19"/>
        <v>0</v>
      </c>
      <c r="E77" s="63">
        <f t="shared" ref="E77:F77" si="21">E75-E76</f>
        <v>0</v>
      </c>
      <c r="F77" s="63">
        <f t="shared" si="21"/>
        <v>0</v>
      </c>
      <c r="G77" s="63">
        <f t="shared" si="19"/>
        <v>0</v>
      </c>
      <c r="H77" s="63">
        <f t="shared" si="19"/>
        <v>0</v>
      </c>
      <c r="I77" s="22">
        <f>SUM(I71:I76)</f>
        <v>0</v>
      </c>
      <c r="K77" s="144">
        <f>K75-K76</f>
        <v>0</v>
      </c>
      <c r="L77" s="144">
        <f t="shared" ref="L77:X77" si="22">L75-L76</f>
        <v>0</v>
      </c>
      <c r="M77" s="144">
        <f t="shared" si="22"/>
        <v>0</v>
      </c>
      <c r="N77" s="144">
        <f t="shared" si="22"/>
        <v>0</v>
      </c>
      <c r="O77" s="144">
        <f t="shared" si="22"/>
        <v>0</v>
      </c>
      <c r="P77" s="144">
        <f t="shared" si="22"/>
        <v>0</v>
      </c>
      <c r="Q77" s="144">
        <f t="shared" si="22"/>
        <v>0</v>
      </c>
      <c r="R77" s="144">
        <f t="shared" si="22"/>
        <v>0</v>
      </c>
      <c r="S77" s="144">
        <f t="shared" ref="S77" si="23">S75-S76</f>
        <v>0</v>
      </c>
      <c r="T77" s="144">
        <v>0</v>
      </c>
      <c r="U77" s="144">
        <f t="shared" si="22"/>
        <v>0</v>
      </c>
      <c r="V77" s="144">
        <f t="shared" si="22"/>
        <v>0</v>
      </c>
      <c r="W77" s="144">
        <f t="shared" si="22"/>
        <v>0</v>
      </c>
      <c r="X77" s="144">
        <f t="shared" si="22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07D2-9142-4068-AC47-D9E5CC6EA94A}">
  <dimension ref="A1:X116"/>
  <sheetViews>
    <sheetView topLeftCell="A94" zoomScale="89" zoomScaleNormal="89" workbookViewId="0">
      <selection activeCell="L114" sqref="L114"/>
    </sheetView>
  </sheetViews>
  <sheetFormatPr defaultRowHeight="14.4" x14ac:dyDescent="0.3"/>
  <cols>
    <col min="1" max="1" width="13" customWidth="1"/>
    <col min="2" max="2" width="13.109375" customWidth="1"/>
    <col min="3" max="3" width="11.88671875" customWidth="1"/>
    <col min="4" max="4" width="11.6640625" customWidth="1"/>
    <col min="5" max="5" width="12.6640625" customWidth="1"/>
    <col min="6" max="6" width="11.6640625" customWidth="1"/>
    <col min="7" max="8" width="11.33203125" customWidth="1"/>
    <col min="9" max="9" width="11.44140625" customWidth="1"/>
    <col min="11" max="11" width="11.109375" customWidth="1"/>
    <col min="12" max="12" width="10.33203125" customWidth="1"/>
    <col min="13" max="13" width="11.6640625" customWidth="1"/>
    <col min="14" max="14" width="12.6640625" customWidth="1"/>
    <col min="15" max="15" width="11" customWidth="1"/>
    <col min="16" max="16" width="10" customWidth="1"/>
    <col min="17" max="17" width="10.5546875" customWidth="1"/>
    <col min="18" max="18" width="11" customWidth="1"/>
    <col min="19" max="19" width="10.33203125" customWidth="1"/>
    <col min="21" max="21" width="10.33203125" customWidth="1"/>
    <col min="22" max="22" width="9.6640625" customWidth="1"/>
    <col min="23" max="23" width="10.33203125" customWidth="1"/>
    <col min="24" max="24" width="11.33203125" customWidth="1"/>
  </cols>
  <sheetData>
    <row r="1" spans="1:24" ht="15" thickBot="1" x14ac:dyDescent="0.35"/>
    <row r="2" spans="1:24" x14ac:dyDescent="0.3">
      <c r="A2" s="157">
        <v>45721</v>
      </c>
      <c r="B2" s="157">
        <v>45722</v>
      </c>
      <c r="C2" s="157">
        <v>45723</v>
      </c>
      <c r="D2" s="157">
        <v>45724</v>
      </c>
      <c r="E2" s="157">
        <v>45725</v>
      </c>
      <c r="F2" s="157">
        <v>45726</v>
      </c>
      <c r="G2" s="157">
        <v>45727</v>
      </c>
      <c r="H2" s="17"/>
      <c r="I2" s="13" t="s">
        <v>8</v>
      </c>
      <c r="K2" s="59">
        <v>45721</v>
      </c>
      <c r="L2" s="59"/>
      <c r="M2" s="59">
        <v>45722</v>
      </c>
      <c r="N2" s="59"/>
      <c r="O2" s="59">
        <v>45723</v>
      </c>
      <c r="P2" s="59"/>
      <c r="Q2" s="59">
        <v>45724</v>
      </c>
      <c r="R2" s="59"/>
      <c r="S2" s="59">
        <v>45725</v>
      </c>
      <c r="T2" s="59"/>
      <c r="U2" s="59">
        <v>45726</v>
      </c>
      <c r="V2" s="59"/>
      <c r="W2" s="59">
        <v>45727</v>
      </c>
      <c r="X2" s="59"/>
    </row>
    <row r="3" spans="1:24" ht="15" thickBot="1" x14ac:dyDescent="0.35">
      <c r="A3" s="22">
        <v>1919.62</v>
      </c>
      <c r="B3" s="22">
        <v>1015</v>
      </c>
      <c r="C3" s="22">
        <v>1070</v>
      </c>
      <c r="D3" s="22">
        <v>5609.17</v>
      </c>
      <c r="E3" s="22">
        <v>330</v>
      </c>
      <c r="F3" s="22">
        <v>1510.68</v>
      </c>
      <c r="G3" s="22"/>
      <c r="H3" s="37"/>
      <c r="I3" s="15">
        <v>2150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43" t="s">
        <v>11</v>
      </c>
    </row>
    <row r="4" spans="1:24" x14ac:dyDescent="0.3">
      <c r="A4" s="22">
        <v>2210</v>
      </c>
      <c r="B4" s="22">
        <v>2125</v>
      </c>
      <c r="C4" s="22">
        <v>2195</v>
      </c>
      <c r="D4" s="22">
        <v>1905</v>
      </c>
      <c r="E4" s="22">
        <v>360</v>
      </c>
      <c r="F4" s="22">
        <v>2270</v>
      </c>
      <c r="G4" s="22">
        <v>1300</v>
      </c>
      <c r="H4" s="37"/>
      <c r="I4" s="15">
        <v>6000</v>
      </c>
      <c r="K4" s="75">
        <v>660</v>
      </c>
      <c r="L4" s="76">
        <v>50</v>
      </c>
      <c r="M4" s="77">
        <v>28</v>
      </c>
      <c r="N4" s="77">
        <v>42.5</v>
      </c>
      <c r="O4" s="77">
        <v>24</v>
      </c>
      <c r="P4" s="77">
        <v>67.5</v>
      </c>
      <c r="Q4" s="77">
        <v>720</v>
      </c>
      <c r="R4" s="77">
        <v>60</v>
      </c>
      <c r="S4" s="63">
        <v>84</v>
      </c>
      <c r="T4" s="22">
        <v>15</v>
      </c>
      <c r="U4" s="63">
        <v>300</v>
      </c>
      <c r="V4" s="63">
        <v>60</v>
      </c>
      <c r="W4" s="63">
        <v>24</v>
      </c>
      <c r="X4" s="40">
        <v>57.5</v>
      </c>
    </row>
    <row r="5" spans="1:24" x14ac:dyDescent="0.3">
      <c r="A5" s="26">
        <v>1465</v>
      </c>
      <c r="B5" s="26">
        <v>1874.61</v>
      </c>
      <c r="C5" s="22">
        <v>1789.61</v>
      </c>
      <c r="D5" s="26">
        <v>1200</v>
      </c>
      <c r="E5" s="22"/>
      <c r="F5" s="22">
        <v>1120</v>
      </c>
      <c r="G5" s="22">
        <v>2485</v>
      </c>
      <c r="H5" s="37"/>
      <c r="I5" s="15">
        <v>760</v>
      </c>
      <c r="K5" s="21">
        <v>4830</v>
      </c>
      <c r="L5" s="79">
        <v>60</v>
      </c>
      <c r="M5" s="80">
        <v>240</v>
      </c>
      <c r="N5" s="43"/>
      <c r="O5" s="43">
        <v>270</v>
      </c>
      <c r="P5" s="43"/>
      <c r="Q5" s="43">
        <v>26</v>
      </c>
      <c r="R5" s="80">
        <v>200</v>
      </c>
      <c r="S5" s="22">
        <v>630</v>
      </c>
      <c r="T5" s="22"/>
      <c r="U5" s="22">
        <v>5430</v>
      </c>
      <c r="V5" s="22">
        <v>70</v>
      </c>
      <c r="W5" s="22">
        <v>210</v>
      </c>
      <c r="X5" s="27">
        <v>720</v>
      </c>
    </row>
    <row r="6" spans="1:24" x14ac:dyDescent="0.3">
      <c r="A6" s="25"/>
      <c r="B6" s="25"/>
      <c r="C6" s="22"/>
      <c r="D6" s="25"/>
      <c r="E6" s="22"/>
      <c r="F6" s="22"/>
      <c r="G6" s="22">
        <v>1919.62</v>
      </c>
      <c r="H6" s="37"/>
      <c r="I6" s="15">
        <v>6274.1</v>
      </c>
      <c r="K6" s="21">
        <v>240</v>
      </c>
      <c r="L6" s="79"/>
      <c r="M6" s="81">
        <v>190</v>
      </c>
      <c r="N6" s="43"/>
      <c r="O6" s="43">
        <v>448</v>
      </c>
      <c r="P6" s="43"/>
      <c r="Q6" s="43">
        <v>2690</v>
      </c>
      <c r="R6" s="81">
        <v>57.5</v>
      </c>
      <c r="S6" s="22"/>
      <c r="T6" s="22"/>
      <c r="U6" s="22">
        <v>528</v>
      </c>
      <c r="V6" s="22"/>
      <c r="W6" s="22">
        <v>312</v>
      </c>
      <c r="X6" s="27">
        <v>409.5</v>
      </c>
    </row>
    <row r="7" spans="1:24" x14ac:dyDescent="0.3">
      <c r="A7" s="22"/>
      <c r="B7" s="22"/>
      <c r="C7" s="22"/>
      <c r="D7" s="22"/>
      <c r="E7" s="22"/>
      <c r="F7" s="22"/>
      <c r="G7" s="22"/>
      <c r="H7" s="37"/>
      <c r="I7" s="15">
        <v>5377.76</v>
      </c>
      <c r="K7" s="21">
        <v>270</v>
      </c>
      <c r="L7" s="79"/>
      <c r="M7" s="43">
        <v>4320</v>
      </c>
      <c r="N7" s="43"/>
      <c r="O7" s="43">
        <v>5280</v>
      </c>
      <c r="P7" s="43"/>
      <c r="Q7" s="43">
        <v>316</v>
      </c>
      <c r="R7" s="43"/>
      <c r="S7" s="22"/>
      <c r="T7" s="22"/>
      <c r="U7" s="22">
        <v>210</v>
      </c>
      <c r="V7" s="22"/>
      <c r="W7" s="22">
        <v>4170</v>
      </c>
      <c r="X7" s="27"/>
    </row>
    <row r="8" spans="1:24" ht="15" thickBot="1" x14ac:dyDescent="0.35">
      <c r="A8" s="22"/>
      <c r="B8" s="22"/>
      <c r="C8" s="22"/>
      <c r="D8" s="22"/>
      <c r="E8" s="22"/>
      <c r="F8" s="22"/>
      <c r="G8" s="22"/>
      <c r="H8" s="37"/>
      <c r="I8" s="131">
        <v>578.94000000000005</v>
      </c>
      <c r="K8" s="128"/>
      <c r="L8" s="79"/>
      <c r="M8" s="43">
        <v>440</v>
      </c>
      <c r="N8" s="43"/>
      <c r="O8" s="43">
        <v>720</v>
      </c>
      <c r="P8" s="43"/>
      <c r="Q8" s="43">
        <v>240</v>
      </c>
      <c r="R8" s="43"/>
      <c r="S8" s="22"/>
      <c r="T8" s="22"/>
      <c r="U8" s="22"/>
      <c r="V8" s="22"/>
      <c r="W8" s="22">
        <v>420</v>
      </c>
      <c r="X8" s="27"/>
    </row>
    <row r="9" spans="1:24" ht="15.6" thickTop="1" thickBot="1" x14ac:dyDescent="0.35">
      <c r="A9" s="22"/>
      <c r="B9" s="22"/>
      <c r="C9" s="22"/>
      <c r="D9" s="22"/>
      <c r="E9" s="22"/>
      <c r="F9" s="22"/>
      <c r="G9" s="37"/>
      <c r="H9" s="37"/>
      <c r="I9" s="132">
        <f>SUM(I3:I8)</f>
        <v>21140.799999999999</v>
      </c>
      <c r="K9" s="21"/>
      <c r="L9" s="79"/>
      <c r="M9" s="43"/>
      <c r="N9" s="43"/>
      <c r="O9" s="43"/>
      <c r="P9" s="43"/>
      <c r="Q9" s="77">
        <v>28</v>
      </c>
      <c r="R9" s="43"/>
      <c r="S9" s="22"/>
      <c r="T9" s="22"/>
      <c r="U9" s="22"/>
      <c r="V9" s="22"/>
      <c r="W9" s="22"/>
      <c r="X9" s="27"/>
    </row>
    <row r="10" spans="1:24" ht="15" thickTop="1" x14ac:dyDescent="0.3">
      <c r="A10" s="22"/>
      <c r="B10" s="22"/>
      <c r="C10" s="22"/>
      <c r="D10" s="22"/>
      <c r="E10" s="22"/>
      <c r="F10" s="22"/>
      <c r="G10" s="22"/>
      <c r="H10" s="37"/>
      <c r="I10" s="40"/>
      <c r="K10" s="24"/>
      <c r="L10" s="56"/>
      <c r="M10" s="22"/>
      <c r="N10" s="22"/>
      <c r="O10" s="22"/>
      <c r="P10" s="22"/>
      <c r="Q10" s="43"/>
      <c r="R10" s="22"/>
      <c r="S10" s="22"/>
      <c r="T10" s="22"/>
      <c r="U10" s="22"/>
      <c r="V10" s="22"/>
      <c r="W10" s="22"/>
      <c r="X10" s="27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27"/>
      <c r="K11" s="24"/>
      <c r="L11" s="56"/>
      <c r="M11" s="22"/>
      <c r="N11" s="22"/>
      <c r="O11" s="22"/>
      <c r="P11" s="22"/>
      <c r="Q11" s="43"/>
      <c r="R11" s="22"/>
      <c r="S11" s="22"/>
      <c r="T11" s="22"/>
      <c r="U11" s="22"/>
      <c r="V11" s="22"/>
      <c r="W11" s="22"/>
      <c r="X11" s="27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27"/>
      <c r="K12" s="24"/>
      <c r="L12" s="56"/>
      <c r="M12" s="22"/>
      <c r="N12" s="22"/>
      <c r="O12" s="22"/>
      <c r="P12" s="22"/>
      <c r="Q12" s="43"/>
      <c r="R12" s="22"/>
      <c r="S12" s="22"/>
      <c r="T12" s="22"/>
      <c r="U12" s="22"/>
      <c r="V12" s="22"/>
      <c r="W12" s="22"/>
      <c r="X12" s="27"/>
    </row>
    <row r="13" spans="1:24" x14ac:dyDescent="0.3">
      <c r="A13" s="22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43"/>
      <c r="R13" s="22"/>
      <c r="S13" s="22"/>
      <c r="T13" s="22"/>
      <c r="U13" s="22"/>
      <c r="V13" s="22"/>
      <c r="W13" s="22"/>
      <c r="X13" s="27"/>
    </row>
    <row r="14" spans="1:24" ht="15" thickBot="1" x14ac:dyDescent="0.35">
      <c r="A14" s="22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35"/>
      <c r="O14" s="22"/>
      <c r="P14" s="22"/>
      <c r="Q14" s="22"/>
      <c r="R14" s="22"/>
      <c r="S14" s="22"/>
      <c r="T14" s="22"/>
      <c r="U14" s="22"/>
      <c r="V14" s="22"/>
      <c r="W14" s="22"/>
      <c r="X14" s="27"/>
    </row>
    <row r="15" spans="1:24" ht="15" thickTop="1" x14ac:dyDescent="0.3">
      <c r="A15" s="22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63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x14ac:dyDescent="0.3">
      <c r="A16" s="22"/>
      <c r="B16" s="22"/>
      <c r="C16" s="22"/>
      <c r="D16" s="22"/>
      <c r="E16" s="22"/>
      <c r="F16" s="22"/>
      <c r="G16" s="22"/>
      <c r="H16" s="22"/>
      <c r="I16" s="23"/>
      <c r="K16" s="24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7"/>
    </row>
    <row r="17" spans="1:24" ht="15" thickBot="1" x14ac:dyDescent="0.35">
      <c r="A17" s="133">
        <f t="shared" ref="A17" si="0">SUM(A3:A16)</f>
        <v>5594.62</v>
      </c>
      <c r="B17" s="133">
        <f t="shared" ref="B17:G17" si="1">SUM(B3:B16)</f>
        <v>5014.6099999999997</v>
      </c>
      <c r="C17" s="133">
        <f t="shared" si="1"/>
        <v>5054.6099999999997</v>
      </c>
      <c r="D17" s="133">
        <f t="shared" si="1"/>
        <v>8714.17</v>
      </c>
      <c r="E17" s="133">
        <f t="shared" si="1"/>
        <v>690</v>
      </c>
      <c r="F17" s="133">
        <f t="shared" si="1"/>
        <v>4900.68</v>
      </c>
      <c r="G17" s="133">
        <f t="shared" si="1"/>
        <v>5704.62</v>
      </c>
      <c r="H17" s="149">
        <f>SUM(A17:G17)+I9</f>
        <v>56814.11</v>
      </c>
      <c r="I17" s="150" t="s">
        <v>7</v>
      </c>
      <c r="K17" s="133">
        <f>SUM(K4:K16)</f>
        <v>6000</v>
      </c>
      <c r="L17" s="156">
        <f t="shared" ref="L17:X17" si="2">SUM(L4:L16)</f>
        <v>110</v>
      </c>
      <c r="M17" s="133">
        <f t="shared" si="2"/>
        <v>5218</v>
      </c>
      <c r="N17" s="133">
        <f t="shared" si="2"/>
        <v>42.5</v>
      </c>
      <c r="O17" s="133">
        <f t="shared" si="2"/>
        <v>6742</v>
      </c>
      <c r="P17" s="133">
        <f t="shared" si="2"/>
        <v>67.5</v>
      </c>
      <c r="Q17" s="133">
        <f t="shared" si="2"/>
        <v>4020</v>
      </c>
      <c r="R17" s="133">
        <f t="shared" si="2"/>
        <v>317.5</v>
      </c>
      <c r="S17" s="133">
        <f t="shared" si="2"/>
        <v>714</v>
      </c>
      <c r="T17" s="133">
        <v>0</v>
      </c>
      <c r="U17" s="133">
        <f t="shared" si="2"/>
        <v>6468</v>
      </c>
      <c r="V17" s="133">
        <f t="shared" si="2"/>
        <v>130</v>
      </c>
      <c r="W17" s="133">
        <f t="shared" si="2"/>
        <v>5136</v>
      </c>
      <c r="X17" s="83">
        <f t="shared" si="2"/>
        <v>1187</v>
      </c>
    </row>
    <row r="18" spans="1:24" ht="15" thickBot="1" x14ac:dyDescent="0.35">
      <c r="A18" s="152">
        <v>5594.62</v>
      </c>
      <c r="B18" s="152">
        <v>5014.6099999999997</v>
      </c>
      <c r="C18" s="152">
        <v>5054.6099999999997</v>
      </c>
      <c r="D18" s="152">
        <v>8714.17</v>
      </c>
      <c r="E18" s="152">
        <v>690</v>
      </c>
      <c r="F18" s="152">
        <v>4900.68</v>
      </c>
      <c r="G18" s="152">
        <v>5704.62</v>
      </c>
      <c r="H18" s="146">
        <f>SUM(H17)</f>
        <v>56814.11</v>
      </c>
      <c r="I18" s="151" t="s">
        <v>1</v>
      </c>
      <c r="K18" s="24">
        <v>6000</v>
      </c>
      <c r="L18" s="24">
        <v>110</v>
      </c>
      <c r="M18" s="24">
        <v>5218</v>
      </c>
      <c r="N18" s="24">
        <v>42.5</v>
      </c>
      <c r="O18" s="24">
        <v>6742</v>
      </c>
      <c r="P18" s="24">
        <v>67.5</v>
      </c>
      <c r="Q18" s="24">
        <v>4020</v>
      </c>
      <c r="R18" s="24">
        <v>317.5</v>
      </c>
      <c r="S18" s="24">
        <v>714</v>
      </c>
      <c r="T18" s="24">
        <v>15</v>
      </c>
      <c r="U18" s="24">
        <v>6468</v>
      </c>
      <c r="V18" s="24">
        <v>130</v>
      </c>
      <c r="W18" s="24">
        <v>5136</v>
      </c>
      <c r="X18" s="24">
        <v>1187</v>
      </c>
    </row>
    <row r="19" spans="1:24" ht="15" thickBot="1" x14ac:dyDescent="0.35">
      <c r="A19" s="63">
        <f t="shared" ref="A19" si="3">A17-A18</f>
        <v>0</v>
      </c>
      <c r="B19" s="63">
        <f t="shared" ref="B19:H19" si="4">B17-B18</f>
        <v>0</v>
      </c>
      <c r="C19" s="63">
        <f t="shared" si="4"/>
        <v>0</v>
      </c>
      <c r="D19" s="63">
        <f t="shared" si="4"/>
        <v>0</v>
      </c>
      <c r="E19" s="63">
        <f t="shared" si="4"/>
        <v>0</v>
      </c>
      <c r="F19" s="63">
        <f t="shared" si="4"/>
        <v>0</v>
      </c>
      <c r="G19" s="63">
        <f t="shared" si="4"/>
        <v>0</v>
      </c>
      <c r="H19" s="63">
        <f t="shared" si="4"/>
        <v>0</v>
      </c>
      <c r="I19" s="22">
        <f>SUM(I13:I18)</f>
        <v>0</v>
      </c>
      <c r="K19" s="144">
        <f>K17-K18</f>
        <v>0</v>
      </c>
      <c r="L19" s="144">
        <f t="shared" ref="L19:X19" si="5">L17-L18</f>
        <v>0</v>
      </c>
      <c r="M19" s="144">
        <f t="shared" si="5"/>
        <v>0</v>
      </c>
      <c r="N19" s="144">
        <f t="shared" si="5"/>
        <v>0</v>
      </c>
      <c r="O19" s="144">
        <f t="shared" si="5"/>
        <v>0</v>
      </c>
      <c r="P19" s="144">
        <f t="shared" si="5"/>
        <v>0</v>
      </c>
      <c r="Q19" s="144">
        <f t="shared" si="5"/>
        <v>0</v>
      </c>
      <c r="R19" s="144">
        <f t="shared" si="5"/>
        <v>0</v>
      </c>
      <c r="S19" s="144">
        <f t="shared" si="5"/>
        <v>0</v>
      </c>
      <c r="T19" s="144">
        <v>0</v>
      </c>
      <c r="U19" s="144">
        <f t="shared" si="5"/>
        <v>0</v>
      </c>
      <c r="V19" s="144">
        <f t="shared" si="5"/>
        <v>0</v>
      </c>
      <c r="W19" s="144">
        <f t="shared" si="5"/>
        <v>0</v>
      </c>
      <c r="X19" s="144">
        <f t="shared" si="5"/>
        <v>0</v>
      </c>
    </row>
    <row r="20" spans="1:24" ht="15" thickBot="1" x14ac:dyDescent="0.35"/>
    <row r="21" spans="1:24" x14ac:dyDescent="0.3">
      <c r="A21" s="157">
        <v>45728</v>
      </c>
      <c r="B21" s="157">
        <v>45729</v>
      </c>
      <c r="C21" s="157">
        <v>45730</v>
      </c>
      <c r="D21" s="157">
        <v>45731</v>
      </c>
      <c r="E21" s="157">
        <v>45732</v>
      </c>
      <c r="F21" s="157">
        <v>45733</v>
      </c>
      <c r="G21" s="157">
        <v>45734</v>
      </c>
      <c r="H21" s="17"/>
      <c r="I21" s="13" t="s">
        <v>8</v>
      </c>
      <c r="K21" s="59">
        <v>45728</v>
      </c>
      <c r="L21" s="59"/>
      <c r="M21" s="59">
        <v>45729</v>
      </c>
      <c r="N21" s="59"/>
      <c r="O21" s="59">
        <v>45730</v>
      </c>
      <c r="P21" s="59"/>
      <c r="Q21" s="59">
        <v>45731</v>
      </c>
      <c r="R21" s="59"/>
      <c r="S21" s="59">
        <v>45732</v>
      </c>
      <c r="T21" s="59"/>
      <c r="U21" s="59">
        <v>45733</v>
      </c>
      <c r="V21" s="59"/>
      <c r="W21" s="59">
        <v>45734</v>
      </c>
      <c r="X21" s="59"/>
    </row>
    <row r="22" spans="1:24" ht="15" thickBot="1" x14ac:dyDescent="0.35">
      <c r="A22" s="22">
        <v>1347.5</v>
      </c>
      <c r="B22" s="22">
        <v>1185</v>
      </c>
      <c r="C22" s="22">
        <v>2119.0700000000002</v>
      </c>
      <c r="D22" s="22">
        <v>823.4</v>
      </c>
      <c r="E22" s="22">
        <v>410</v>
      </c>
      <c r="F22" s="22">
        <v>2256.86</v>
      </c>
      <c r="G22" s="22">
        <v>1345</v>
      </c>
      <c r="H22" s="37"/>
      <c r="I22" s="15">
        <v>2042.5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2800</v>
      </c>
      <c r="B23" s="22">
        <v>2960</v>
      </c>
      <c r="C23" s="22">
        <v>2910</v>
      </c>
      <c r="D23" s="22">
        <v>1630</v>
      </c>
      <c r="E23" s="22">
        <v>490</v>
      </c>
      <c r="F23" s="22">
        <v>3015</v>
      </c>
      <c r="G23" s="22">
        <v>2915</v>
      </c>
      <c r="H23" s="37"/>
      <c r="I23" s="15">
        <v>5600</v>
      </c>
      <c r="K23" s="75">
        <v>57</v>
      </c>
      <c r="L23" s="76">
        <v>219.9</v>
      </c>
      <c r="M23" s="77">
        <v>300</v>
      </c>
      <c r="N23" s="77">
        <v>45</v>
      </c>
      <c r="O23" s="77">
        <v>420</v>
      </c>
      <c r="P23" s="77">
        <v>60</v>
      </c>
      <c r="Q23" s="77">
        <v>2310</v>
      </c>
      <c r="R23" s="77">
        <v>50</v>
      </c>
      <c r="S23" s="63">
        <v>630</v>
      </c>
      <c r="T23" s="22">
        <v>0</v>
      </c>
      <c r="U23" s="63">
        <v>360</v>
      </c>
      <c r="V23" s="63">
        <v>451</v>
      </c>
      <c r="W23" s="63">
        <v>28</v>
      </c>
      <c r="X23" s="40">
        <v>50</v>
      </c>
    </row>
    <row r="24" spans="1:24" x14ac:dyDescent="0.3">
      <c r="A24" s="26">
        <v>2004.62</v>
      </c>
      <c r="B24" s="26">
        <v>2179.64</v>
      </c>
      <c r="C24" s="22">
        <v>1055</v>
      </c>
      <c r="D24" s="26">
        <v>1035</v>
      </c>
      <c r="E24" s="22"/>
      <c r="F24" s="22">
        <v>1130</v>
      </c>
      <c r="G24" s="22">
        <v>1919.62</v>
      </c>
      <c r="H24" s="37"/>
      <c r="I24" s="15">
        <v>5518.84</v>
      </c>
      <c r="K24" s="21">
        <v>210</v>
      </c>
      <c r="L24" s="79"/>
      <c r="M24" s="80">
        <v>202</v>
      </c>
      <c r="N24" s="43">
        <v>2460</v>
      </c>
      <c r="O24" s="43">
        <v>4800</v>
      </c>
      <c r="P24" s="43">
        <v>105</v>
      </c>
      <c r="Q24" s="43">
        <v>126</v>
      </c>
      <c r="R24" s="80">
        <v>173</v>
      </c>
      <c r="S24" s="22">
        <v>72</v>
      </c>
      <c r="T24" s="22"/>
      <c r="U24" s="22">
        <v>5830</v>
      </c>
      <c r="V24" s="22"/>
      <c r="W24" s="22">
        <v>210</v>
      </c>
      <c r="X24" s="27">
        <v>60</v>
      </c>
    </row>
    <row r="25" spans="1:24" x14ac:dyDescent="0.3">
      <c r="A25" s="25"/>
      <c r="B25" s="25"/>
      <c r="C25" s="22"/>
      <c r="D25" s="25"/>
      <c r="E25" s="22"/>
      <c r="F25" s="22"/>
      <c r="G25" s="22"/>
      <c r="H25" s="37"/>
      <c r="I25" s="15">
        <v>5660.8</v>
      </c>
      <c r="K25" s="21">
        <v>322</v>
      </c>
      <c r="L25" s="79"/>
      <c r="M25" s="81">
        <v>3520</v>
      </c>
      <c r="N25" s="43"/>
      <c r="O25" s="43">
        <v>448</v>
      </c>
      <c r="P25" s="43"/>
      <c r="Q25" s="43">
        <v>270</v>
      </c>
      <c r="R25" s="81"/>
      <c r="S25" s="22"/>
      <c r="T25" s="22"/>
      <c r="U25" s="22">
        <v>358</v>
      </c>
      <c r="V25" s="22"/>
      <c r="W25" s="22">
        <v>286</v>
      </c>
      <c r="X25" s="27"/>
    </row>
    <row r="26" spans="1:24" x14ac:dyDescent="0.3">
      <c r="A26" s="22"/>
      <c r="B26" s="22"/>
      <c r="C26" s="22"/>
      <c r="D26" s="22"/>
      <c r="E26" s="22"/>
      <c r="F26" s="22"/>
      <c r="G26" s="22"/>
      <c r="H26" s="37"/>
      <c r="I26" s="15"/>
      <c r="K26" s="21">
        <v>4950</v>
      </c>
      <c r="L26" s="79"/>
      <c r="M26" s="43">
        <v>670</v>
      </c>
      <c r="N26" s="43"/>
      <c r="O26" s="43">
        <v>270</v>
      </c>
      <c r="P26" s="43"/>
      <c r="Q26" s="43"/>
      <c r="R26" s="43"/>
      <c r="S26" s="22"/>
      <c r="T26" s="22"/>
      <c r="U26" s="22">
        <v>270</v>
      </c>
      <c r="V26" s="22"/>
      <c r="W26" s="22">
        <v>4860</v>
      </c>
      <c r="X26" s="27"/>
    </row>
    <row r="27" spans="1:24" ht="15" thickBot="1" x14ac:dyDescent="0.35">
      <c r="A27" s="22"/>
      <c r="B27" s="22"/>
      <c r="C27" s="22"/>
      <c r="D27" s="22"/>
      <c r="E27" s="22"/>
      <c r="F27" s="22"/>
      <c r="G27" s="22"/>
      <c r="H27" s="37"/>
      <c r="I27" s="131"/>
      <c r="K27" s="128">
        <v>240</v>
      </c>
      <c r="L27" s="79"/>
      <c r="M27" s="43"/>
      <c r="N27" s="43"/>
      <c r="O27" s="43"/>
      <c r="P27" s="43"/>
      <c r="Q27" s="43"/>
      <c r="R27" s="43"/>
      <c r="S27" s="22"/>
      <c r="T27" s="22"/>
      <c r="U27" s="22"/>
      <c r="V27" s="22"/>
      <c r="W27" s="22">
        <v>180</v>
      </c>
      <c r="X27" s="27"/>
    </row>
    <row r="28" spans="1:24" ht="15.6" thickTop="1" thickBot="1" x14ac:dyDescent="0.35">
      <c r="A28" s="22"/>
      <c r="B28" s="22"/>
      <c r="C28" s="22"/>
      <c r="D28" s="22"/>
      <c r="E28" s="22"/>
      <c r="F28" s="22"/>
      <c r="G28" s="37"/>
      <c r="H28" s="37"/>
      <c r="I28" s="132">
        <f>SUM(I22:I27)</f>
        <v>18822.14</v>
      </c>
      <c r="K28" s="21"/>
      <c r="L28" s="79"/>
      <c r="M28" s="43"/>
      <c r="N28" s="43"/>
      <c r="O28" s="43"/>
      <c r="P28" s="43"/>
      <c r="Q28" s="77"/>
      <c r="R28" s="43"/>
      <c r="S28" s="22"/>
      <c r="T28" s="22"/>
      <c r="U28" s="22"/>
      <c r="V28" s="22"/>
      <c r="W28" s="22"/>
      <c r="X28" s="27"/>
    </row>
    <row r="29" spans="1:24" ht="15" thickTop="1" x14ac:dyDescent="0.3">
      <c r="A29" s="22"/>
      <c r="B29" s="22"/>
      <c r="C29" s="22"/>
      <c r="D29" s="22"/>
      <c r="E29" s="22"/>
      <c r="F29" s="22"/>
      <c r="G29" s="22"/>
      <c r="H29" s="37"/>
      <c r="I29" s="40"/>
      <c r="K29" s="24"/>
      <c r="L29" s="56"/>
      <c r="M29" s="22"/>
      <c r="N29" s="22"/>
      <c r="O29" s="22"/>
      <c r="P29" s="22"/>
      <c r="Q29" s="43"/>
      <c r="R29" s="22"/>
      <c r="S29" s="22"/>
      <c r="T29" s="22"/>
      <c r="U29" s="22"/>
      <c r="V29" s="22"/>
      <c r="W29" s="22"/>
      <c r="X29" s="27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27"/>
      <c r="K30" s="24"/>
      <c r="L30" s="56"/>
      <c r="M30" s="22"/>
      <c r="N30" s="22"/>
      <c r="O30" s="22"/>
      <c r="P30" s="22"/>
      <c r="Q30" s="43"/>
      <c r="R30" s="22"/>
      <c r="S30" s="22"/>
      <c r="T30" s="22"/>
      <c r="U30" s="22"/>
      <c r="V30" s="22"/>
      <c r="W30" s="22"/>
      <c r="X30" s="27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27"/>
      <c r="K31" s="24"/>
      <c r="L31" s="56"/>
      <c r="M31" s="22"/>
      <c r="N31" s="22"/>
      <c r="O31" s="22"/>
      <c r="P31" s="22"/>
      <c r="Q31" s="43"/>
      <c r="R31" s="22"/>
      <c r="S31" s="22"/>
      <c r="T31" s="22"/>
      <c r="U31" s="22"/>
      <c r="V31" s="22"/>
      <c r="W31" s="22"/>
      <c r="X31" s="27"/>
    </row>
    <row r="32" spans="1:24" x14ac:dyDescent="0.3">
      <c r="A32" s="22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43"/>
      <c r="R32" s="22"/>
      <c r="S32" s="22"/>
      <c r="T32" s="22"/>
      <c r="U32" s="22"/>
      <c r="V32" s="22"/>
      <c r="W32" s="22"/>
      <c r="X32" s="27"/>
    </row>
    <row r="33" spans="1:24" ht="15" thickBot="1" x14ac:dyDescent="0.35">
      <c r="A33" s="22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35"/>
      <c r="O33" s="22"/>
      <c r="P33" s="22"/>
      <c r="Q33" s="22"/>
      <c r="R33" s="22"/>
      <c r="S33" s="22"/>
      <c r="T33" s="22"/>
      <c r="U33" s="22"/>
      <c r="V33" s="22"/>
      <c r="W33" s="22"/>
      <c r="X33" s="27"/>
    </row>
    <row r="34" spans="1:24" ht="15" thickTop="1" x14ac:dyDescent="0.3">
      <c r="A34" s="22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63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x14ac:dyDescent="0.3">
      <c r="A35" s="22"/>
      <c r="B35" s="22"/>
      <c r="C35" s="22"/>
      <c r="D35" s="22"/>
      <c r="E35" s="22"/>
      <c r="F35" s="22"/>
      <c r="G35" s="22"/>
      <c r="H35" s="22"/>
      <c r="I35" s="23"/>
      <c r="K35" s="2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7"/>
    </row>
    <row r="36" spans="1:24" ht="15" thickBot="1" x14ac:dyDescent="0.35">
      <c r="A36" s="133">
        <f t="shared" ref="A36:G36" si="6">SUM(A22:A35)</f>
        <v>6152.12</v>
      </c>
      <c r="B36" s="133">
        <f t="shared" si="6"/>
        <v>6324.6399999999994</v>
      </c>
      <c r="C36" s="133">
        <f t="shared" si="6"/>
        <v>6084.07</v>
      </c>
      <c r="D36" s="133">
        <f t="shared" si="6"/>
        <v>3488.4</v>
      </c>
      <c r="E36" s="133">
        <f t="shared" si="6"/>
        <v>900</v>
      </c>
      <c r="F36" s="133">
        <f t="shared" si="6"/>
        <v>6401.8600000000006</v>
      </c>
      <c r="G36" s="133">
        <f t="shared" si="6"/>
        <v>6179.62</v>
      </c>
      <c r="H36" s="149">
        <f>SUM(A36:G36)+I28</f>
        <v>54352.85</v>
      </c>
      <c r="I36" s="150" t="s">
        <v>7</v>
      </c>
      <c r="K36" s="133">
        <f>SUM(K23:K35)</f>
        <v>5779</v>
      </c>
      <c r="L36" s="156">
        <f t="shared" ref="L36:S36" si="7">SUM(L23:L35)</f>
        <v>219.9</v>
      </c>
      <c r="M36" s="133">
        <f t="shared" si="7"/>
        <v>4692</v>
      </c>
      <c r="N36" s="133">
        <f t="shared" si="7"/>
        <v>2505</v>
      </c>
      <c r="O36" s="133">
        <f t="shared" si="7"/>
        <v>5938</v>
      </c>
      <c r="P36" s="133">
        <f t="shared" si="7"/>
        <v>165</v>
      </c>
      <c r="Q36" s="133">
        <f t="shared" si="7"/>
        <v>2706</v>
      </c>
      <c r="R36" s="133">
        <f t="shared" si="7"/>
        <v>223</v>
      </c>
      <c r="S36" s="133">
        <f t="shared" si="7"/>
        <v>702</v>
      </c>
      <c r="T36" s="133">
        <v>0</v>
      </c>
      <c r="U36" s="133">
        <f t="shared" ref="U36:X36" si="8">SUM(U23:U35)</f>
        <v>6818</v>
      </c>
      <c r="V36" s="133">
        <f t="shared" si="8"/>
        <v>451</v>
      </c>
      <c r="W36" s="133">
        <f t="shared" si="8"/>
        <v>5564</v>
      </c>
      <c r="X36" s="83">
        <f t="shared" si="8"/>
        <v>110</v>
      </c>
    </row>
    <row r="37" spans="1:24" ht="15" thickBot="1" x14ac:dyDescent="0.35">
      <c r="A37" s="152">
        <v>6152.12</v>
      </c>
      <c r="B37" s="152">
        <v>6324.64</v>
      </c>
      <c r="C37" s="152">
        <v>6084.07</v>
      </c>
      <c r="D37" s="152">
        <v>3488.4</v>
      </c>
      <c r="E37" s="152">
        <v>900</v>
      </c>
      <c r="F37" s="152">
        <v>6401.86</v>
      </c>
      <c r="G37" s="152">
        <v>6179.62</v>
      </c>
      <c r="H37" s="146">
        <f>SUM(H36)</f>
        <v>54352.85</v>
      </c>
      <c r="I37" s="151" t="s">
        <v>1</v>
      </c>
      <c r="K37" s="24">
        <v>5779</v>
      </c>
      <c r="L37" s="24">
        <v>219.9</v>
      </c>
      <c r="M37" s="24">
        <v>4692</v>
      </c>
      <c r="N37" s="24">
        <v>2505</v>
      </c>
      <c r="O37" s="24">
        <v>5938</v>
      </c>
      <c r="P37" s="24">
        <v>165</v>
      </c>
      <c r="Q37" s="24">
        <v>2706</v>
      </c>
      <c r="R37" s="24">
        <v>223</v>
      </c>
      <c r="S37" s="24">
        <v>702</v>
      </c>
      <c r="T37" s="24">
        <v>0</v>
      </c>
      <c r="U37" s="24">
        <v>6818</v>
      </c>
      <c r="V37" s="24">
        <v>451</v>
      </c>
      <c r="W37" s="24">
        <v>5564</v>
      </c>
      <c r="X37" s="24">
        <v>110</v>
      </c>
    </row>
    <row r="38" spans="1:24" ht="15" thickBot="1" x14ac:dyDescent="0.35">
      <c r="A38" s="63">
        <f t="shared" ref="A38:H38" si="9">A36-A37</f>
        <v>0</v>
      </c>
      <c r="B38" s="63">
        <f t="shared" si="9"/>
        <v>0</v>
      </c>
      <c r="C38" s="63">
        <f t="shared" si="9"/>
        <v>0</v>
      </c>
      <c r="D38" s="63">
        <f t="shared" si="9"/>
        <v>0</v>
      </c>
      <c r="E38" s="63">
        <f t="shared" si="9"/>
        <v>0</v>
      </c>
      <c r="F38" s="63">
        <f t="shared" si="9"/>
        <v>0</v>
      </c>
      <c r="G38" s="63">
        <f t="shared" si="9"/>
        <v>0</v>
      </c>
      <c r="H38" s="63">
        <f t="shared" si="9"/>
        <v>0</v>
      </c>
      <c r="I38" s="22">
        <f>SUM(I32:I37)</f>
        <v>0</v>
      </c>
      <c r="K38" s="144">
        <f>K36-K37</f>
        <v>0</v>
      </c>
      <c r="L38" s="144">
        <f t="shared" ref="L38:S38" si="10">L36-L37</f>
        <v>0</v>
      </c>
      <c r="M38" s="144">
        <f t="shared" si="10"/>
        <v>0</v>
      </c>
      <c r="N38" s="144">
        <f t="shared" si="10"/>
        <v>0</v>
      </c>
      <c r="O38" s="144">
        <f t="shared" si="10"/>
        <v>0</v>
      </c>
      <c r="P38" s="144">
        <f t="shared" si="10"/>
        <v>0</v>
      </c>
      <c r="Q38" s="144">
        <f t="shared" si="10"/>
        <v>0</v>
      </c>
      <c r="R38" s="144">
        <f t="shared" si="10"/>
        <v>0</v>
      </c>
      <c r="S38" s="144">
        <f t="shared" si="10"/>
        <v>0</v>
      </c>
      <c r="T38" s="144">
        <v>0</v>
      </c>
      <c r="U38" s="144">
        <f t="shared" ref="U38:X38" si="11">U36-U37</f>
        <v>0</v>
      </c>
      <c r="V38" s="144">
        <f t="shared" si="11"/>
        <v>0</v>
      </c>
      <c r="W38" s="144">
        <f t="shared" si="11"/>
        <v>0</v>
      </c>
      <c r="X38" s="144">
        <f t="shared" si="11"/>
        <v>0</v>
      </c>
    </row>
    <row r="39" spans="1:24" ht="15" thickBot="1" x14ac:dyDescent="0.35"/>
    <row r="40" spans="1:24" x14ac:dyDescent="0.3">
      <c r="A40" s="157">
        <v>45735</v>
      </c>
      <c r="B40" s="157">
        <v>45736</v>
      </c>
      <c r="C40" s="157">
        <v>45737</v>
      </c>
      <c r="D40" s="157">
        <v>45738</v>
      </c>
      <c r="E40" s="157">
        <v>45739</v>
      </c>
      <c r="F40" s="157">
        <v>45740</v>
      </c>
      <c r="G40" s="157">
        <v>45741</v>
      </c>
      <c r="H40" s="17"/>
      <c r="I40" s="13" t="s">
        <v>8</v>
      </c>
      <c r="K40" s="59">
        <v>45735</v>
      </c>
      <c r="L40" s="59"/>
      <c r="M40" s="59">
        <v>45736</v>
      </c>
      <c r="N40" s="59"/>
      <c r="O40" s="59">
        <v>45737</v>
      </c>
      <c r="P40" s="59"/>
      <c r="Q40" s="59">
        <v>45738</v>
      </c>
      <c r="R40" s="59"/>
      <c r="S40" s="59">
        <v>45739</v>
      </c>
      <c r="T40" s="59"/>
      <c r="U40" s="59">
        <v>45740</v>
      </c>
      <c r="V40" s="59"/>
      <c r="W40" s="59">
        <v>45741</v>
      </c>
      <c r="X40" s="59"/>
    </row>
    <row r="41" spans="1:24" ht="15" thickBot="1" x14ac:dyDescent="0.35">
      <c r="A41" s="22">
        <v>1255</v>
      </c>
      <c r="B41" s="22">
        <v>1335</v>
      </c>
      <c r="C41" s="22">
        <v>925</v>
      </c>
      <c r="D41" s="22">
        <v>1175</v>
      </c>
      <c r="E41" s="22">
        <v>360</v>
      </c>
      <c r="F41" s="22">
        <v>2029.05</v>
      </c>
      <c r="G41" s="22">
        <v>1210</v>
      </c>
      <c r="H41" s="37"/>
      <c r="I41" s="15">
        <v>5600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43" t="s">
        <v>11</v>
      </c>
    </row>
    <row r="42" spans="1:24" x14ac:dyDescent="0.3">
      <c r="A42" s="22">
        <v>2670</v>
      </c>
      <c r="B42" s="22">
        <v>3070</v>
      </c>
      <c r="C42" s="22">
        <v>3215</v>
      </c>
      <c r="D42" s="22">
        <v>1810</v>
      </c>
      <c r="E42" s="22">
        <v>330</v>
      </c>
      <c r="F42" s="22">
        <v>3380</v>
      </c>
      <c r="G42" s="22">
        <v>2740</v>
      </c>
      <c r="H42" s="37"/>
      <c r="I42" s="15">
        <v>1646.8</v>
      </c>
      <c r="K42" s="75">
        <v>239</v>
      </c>
      <c r="L42" s="76">
        <v>35</v>
      </c>
      <c r="M42" s="77">
        <v>270</v>
      </c>
      <c r="N42" s="77">
        <v>52.5</v>
      </c>
      <c r="O42" s="77">
        <v>240</v>
      </c>
      <c r="P42" s="77">
        <v>28</v>
      </c>
      <c r="Q42" s="77">
        <v>148</v>
      </c>
      <c r="R42" s="77">
        <v>50</v>
      </c>
      <c r="S42" s="63">
        <v>630</v>
      </c>
      <c r="T42" s="22">
        <v>15</v>
      </c>
      <c r="U42" s="63">
        <v>200</v>
      </c>
      <c r="V42" s="63">
        <v>37.5</v>
      </c>
      <c r="W42" s="63">
        <v>270</v>
      </c>
      <c r="X42" s="40">
        <v>60</v>
      </c>
    </row>
    <row r="43" spans="1:24" x14ac:dyDescent="0.3">
      <c r="A43" s="26">
        <v>2164.08</v>
      </c>
      <c r="B43" s="26">
        <v>2119.0700000000002</v>
      </c>
      <c r="C43" s="22"/>
      <c r="D43" s="26">
        <v>1004.13</v>
      </c>
      <c r="E43" s="22"/>
      <c r="F43" s="22">
        <v>1190</v>
      </c>
      <c r="G43" s="22">
        <v>2363.5300000000002</v>
      </c>
      <c r="H43" s="37"/>
      <c r="I43" s="15">
        <v>5660.8</v>
      </c>
      <c r="K43" s="21">
        <v>332</v>
      </c>
      <c r="L43" s="79"/>
      <c r="M43" s="80">
        <v>202</v>
      </c>
      <c r="N43" s="43"/>
      <c r="O43" s="43">
        <v>442</v>
      </c>
      <c r="P43" s="43">
        <v>70</v>
      </c>
      <c r="Q43" s="43">
        <v>540</v>
      </c>
      <c r="R43" s="80">
        <v>60</v>
      </c>
      <c r="S43" s="22">
        <v>84</v>
      </c>
      <c r="T43" s="22"/>
      <c r="U43" s="22">
        <v>6230</v>
      </c>
      <c r="V43" s="22">
        <v>250</v>
      </c>
      <c r="W43" s="22">
        <v>265</v>
      </c>
      <c r="X43" s="27">
        <v>141</v>
      </c>
    </row>
    <row r="44" spans="1:24" x14ac:dyDescent="0.3">
      <c r="A44" s="25"/>
      <c r="B44" s="25"/>
      <c r="C44" s="22"/>
      <c r="D44" s="25"/>
      <c r="E44" s="22"/>
      <c r="F44" s="22"/>
      <c r="G44" s="22"/>
      <c r="H44" s="37"/>
      <c r="I44" s="15">
        <v>5932.9</v>
      </c>
      <c r="K44" s="21">
        <v>5560</v>
      </c>
      <c r="L44" s="79"/>
      <c r="M44" s="81">
        <v>3980</v>
      </c>
      <c r="N44" s="43"/>
      <c r="O44" s="43">
        <v>5690</v>
      </c>
      <c r="P44" s="43">
        <v>60</v>
      </c>
      <c r="Q44" s="43">
        <v>2840</v>
      </c>
      <c r="R44" s="81"/>
      <c r="S44" s="22"/>
      <c r="T44" s="22"/>
      <c r="U44" s="22">
        <v>358</v>
      </c>
      <c r="V44" s="22"/>
      <c r="W44" s="22">
        <v>4680</v>
      </c>
      <c r="X44" s="27">
        <v>120</v>
      </c>
    </row>
    <row r="45" spans="1:24" x14ac:dyDescent="0.3">
      <c r="A45" s="22"/>
      <c r="B45" s="22"/>
      <c r="C45" s="22"/>
      <c r="D45" s="22"/>
      <c r="E45" s="22"/>
      <c r="F45" s="22"/>
      <c r="G45" s="22"/>
      <c r="H45" s="37"/>
      <c r="I45" s="15">
        <v>2507.5</v>
      </c>
      <c r="K45" s="21">
        <v>560</v>
      </c>
      <c r="L45" s="79"/>
      <c r="M45" s="43">
        <v>320</v>
      </c>
      <c r="N45" s="43"/>
      <c r="O45" s="43"/>
      <c r="P45" s="43"/>
      <c r="Q45" s="43"/>
      <c r="R45" s="43"/>
      <c r="S45" s="22"/>
      <c r="T45" s="22"/>
      <c r="U45" s="22">
        <v>360</v>
      </c>
      <c r="V45" s="22"/>
      <c r="W45" s="22">
        <v>310</v>
      </c>
      <c r="X45" s="27"/>
    </row>
    <row r="46" spans="1:24" ht="15" thickBot="1" x14ac:dyDescent="0.35">
      <c r="A46" s="22"/>
      <c r="B46" s="22"/>
      <c r="C46" s="22"/>
      <c r="D46" s="22"/>
      <c r="E46" s="22"/>
      <c r="F46" s="22"/>
      <c r="G46" s="22"/>
      <c r="H46" s="37"/>
      <c r="I46" s="131"/>
      <c r="K46" s="128"/>
      <c r="L46" s="79"/>
      <c r="M46" s="43"/>
      <c r="N46" s="43"/>
      <c r="O46" s="43"/>
      <c r="P46" s="43"/>
      <c r="Q46" s="43"/>
      <c r="R46" s="43"/>
      <c r="S46" s="22"/>
      <c r="T46" s="22"/>
      <c r="U46" s="22"/>
      <c r="V46" s="22"/>
      <c r="W46" s="22"/>
      <c r="X46" s="27"/>
    </row>
    <row r="47" spans="1:24" ht="15.6" thickTop="1" thickBot="1" x14ac:dyDescent="0.35">
      <c r="A47" s="22"/>
      <c r="B47" s="22"/>
      <c r="C47" s="22"/>
      <c r="D47" s="22"/>
      <c r="E47" s="22"/>
      <c r="F47" s="22"/>
      <c r="G47" s="37"/>
      <c r="H47" s="37"/>
      <c r="I47" s="132">
        <f>SUM(I41:I46)</f>
        <v>21348</v>
      </c>
      <c r="K47" s="21"/>
      <c r="L47" s="79"/>
      <c r="M47" s="43"/>
      <c r="N47" s="43"/>
      <c r="O47" s="43"/>
      <c r="P47" s="43"/>
      <c r="Q47" s="77"/>
      <c r="R47" s="43"/>
      <c r="S47" s="22"/>
      <c r="T47" s="22"/>
      <c r="U47" s="22"/>
      <c r="V47" s="22"/>
      <c r="W47" s="22"/>
      <c r="X47" s="27"/>
    </row>
    <row r="48" spans="1:24" ht="15" thickTop="1" x14ac:dyDescent="0.3">
      <c r="A48" s="22"/>
      <c r="B48" s="22"/>
      <c r="C48" s="22"/>
      <c r="D48" s="22"/>
      <c r="E48" s="22"/>
      <c r="F48" s="22"/>
      <c r="G48" s="22"/>
      <c r="H48" s="37"/>
      <c r="I48" s="40"/>
      <c r="K48" s="24"/>
      <c r="L48" s="56"/>
      <c r="M48" s="22"/>
      <c r="N48" s="22"/>
      <c r="O48" s="22"/>
      <c r="P48" s="22"/>
      <c r="Q48" s="43"/>
      <c r="R48" s="22"/>
      <c r="S48" s="22"/>
      <c r="T48" s="22"/>
      <c r="U48" s="22"/>
      <c r="V48" s="22"/>
      <c r="W48" s="22"/>
      <c r="X48" s="27"/>
    </row>
    <row r="49" spans="1:24" x14ac:dyDescent="0.3">
      <c r="A49" s="22"/>
      <c r="B49" s="22"/>
      <c r="C49" s="22"/>
      <c r="D49" s="22"/>
      <c r="E49" s="22"/>
      <c r="F49" s="22"/>
      <c r="G49" s="22"/>
      <c r="H49" s="37"/>
      <c r="I49" s="27"/>
      <c r="K49" s="24"/>
      <c r="L49" s="56"/>
      <c r="M49" s="22"/>
      <c r="N49" s="22"/>
      <c r="O49" s="22"/>
      <c r="P49" s="22"/>
      <c r="Q49" s="43"/>
      <c r="R49" s="22"/>
      <c r="S49" s="22"/>
      <c r="T49" s="22"/>
      <c r="U49" s="22"/>
      <c r="V49" s="22"/>
      <c r="W49" s="22"/>
      <c r="X49" s="27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27"/>
      <c r="K50" s="24"/>
      <c r="L50" s="56"/>
      <c r="M50" s="22"/>
      <c r="N50" s="22"/>
      <c r="O50" s="22"/>
      <c r="P50" s="22"/>
      <c r="Q50" s="43"/>
      <c r="R50" s="22"/>
      <c r="S50" s="22"/>
      <c r="T50" s="22"/>
      <c r="U50" s="22"/>
      <c r="V50" s="22"/>
      <c r="W50" s="22"/>
      <c r="X50" s="27"/>
    </row>
    <row r="51" spans="1:24" x14ac:dyDescent="0.3">
      <c r="A51" s="22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43"/>
      <c r="R51" s="22"/>
      <c r="S51" s="22"/>
      <c r="T51" s="22"/>
      <c r="U51" s="22"/>
      <c r="V51" s="22"/>
      <c r="W51" s="22"/>
      <c r="X51" s="27"/>
    </row>
    <row r="52" spans="1:24" ht="15" thickBot="1" x14ac:dyDescent="0.35">
      <c r="A52" s="22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35"/>
      <c r="O52" s="22"/>
      <c r="P52" s="22"/>
      <c r="Q52" s="22"/>
      <c r="R52" s="22"/>
      <c r="S52" s="22"/>
      <c r="T52" s="22"/>
      <c r="U52" s="22"/>
      <c r="V52" s="22"/>
      <c r="W52" s="22"/>
      <c r="X52" s="27"/>
    </row>
    <row r="53" spans="1:24" ht="15" thickTop="1" x14ac:dyDescent="0.3">
      <c r="A53" s="22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63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x14ac:dyDescent="0.3">
      <c r="A54" s="22"/>
      <c r="B54" s="22"/>
      <c r="C54" s="22"/>
      <c r="D54" s="22"/>
      <c r="E54" s="22"/>
      <c r="F54" s="22"/>
      <c r="G54" s="22"/>
      <c r="H54" s="22"/>
      <c r="I54" s="23"/>
      <c r="K54" s="2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7"/>
    </row>
    <row r="55" spans="1:24" ht="15" thickBot="1" x14ac:dyDescent="0.35">
      <c r="A55" s="133">
        <f t="shared" ref="A55:G55" si="12">SUM(A41:A54)</f>
        <v>6089.08</v>
      </c>
      <c r="B55" s="133">
        <f t="shared" si="12"/>
        <v>6524.07</v>
      </c>
      <c r="C55" s="133">
        <f t="shared" si="12"/>
        <v>4140</v>
      </c>
      <c r="D55" s="133">
        <f t="shared" si="12"/>
        <v>3989.13</v>
      </c>
      <c r="E55" s="133">
        <f t="shared" si="12"/>
        <v>690</v>
      </c>
      <c r="F55" s="133">
        <f t="shared" si="12"/>
        <v>6599.05</v>
      </c>
      <c r="G55" s="133">
        <f t="shared" si="12"/>
        <v>6313.5300000000007</v>
      </c>
      <c r="H55" s="149">
        <f>SUM(A55:G55)+I47</f>
        <v>55692.86</v>
      </c>
      <c r="I55" s="150" t="s">
        <v>7</v>
      </c>
      <c r="K55" s="133">
        <f>SUM(K42:K54)</f>
        <v>6691</v>
      </c>
      <c r="L55" s="156">
        <f t="shared" ref="L55:S55" si="13">SUM(L42:L54)</f>
        <v>35</v>
      </c>
      <c r="M55" s="133">
        <f t="shared" si="13"/>
        <v>4772</v>
      </c>
      <c r="N55" s="133">
        <f t="shared" si="13"/>
        <v>52.5</v>
      </c>
      <c r="O55" s="133">
        <f t="shared" si="13"/>
        <v>6372</v>
      </c>
      <c r="P55" s="133">
        <f t="shared" si="13"/>
        <v>158</v>
      </c>
      <c r="Q55" s="133">
        <f t="shared" si="13"/>
        <v>3528</v>
      </c>
      <c r="R55" s="133">
        <f t="shared" si="13"/>
        <v>110</v>
      </c>
      <c r="S55" s="133">
        <f t="shared" si="13"/>
        <v>714</v>
      </c>
      <c r="T55" s="133">
        <v>0</v>
      </c>
      <c r="U55" s="133">
        <f t="shared" ref="U55:X55" si="14">SUM(U42:U54)</f>
        <v>7148</v>
      </c>
      <c r="V55" s="133">
        <f t="shared" si="14"/>
        <v>287.5</v>
      </c>
      <c r="W55" s="133">
        <f t="shared" si="14"/>
        <v>5525</v>
      </c>
      <c r="X55" s="83">
        <f t="shared" si="14"/>
        <v>321</v>
      </c>
    </row>
    <row r="56" spans="1:24" ht="15" thickBot="1" x14ac:dyDescent="0.35">
      <c r="A56" s="152">
        <v>6089.08</v>
      </c>
      <c r="B56" s="152">
        <v>6524.07</v>
      </c>
      <c r="C56" s="152">
        <v>4140</v>
      </c>
      <c r="D56" s="152">
        <v>3989.13</v>
      </c>
      <c r="E56" s="152">
        <v>690</v>
      </c>
      <c r="F56" s="152">
        <v>6599.05</v>
      </c>
      <c r="G56" s="152">
        <v>6313.53</v>
      </c>
      <c r="H56" s="146">
        <f>SUM(H55)</f>
        <v>55692.86</v>
      </c>
      <c r="I56" s="151" t="s">
        <v>1</v>
      </c>
      <c r="K56" s="24">
        <v>6691</v>
      </c>
      <c r="L56" s="24">
        <v>35</v>
      </c>
      <c r="M56" s="24">
        <v>4772</v>
      </c>
      <c r="N56" s="24">
        <v>52.5</v>
      </c>
      <c r="O56" s="24">
        <v>6372</v>
      </c>
      <c r="P56" s="24">
        <v>158</v>
      </c>
      <c r="Q56" s="24">
        <v>3528</v>
      </c>
      <c r="R56" s="24">
        <v>110</v>
      </c>
      <c r="S56" s="24">
        <v>714</v>
      </c>
      <c r="T56" s="24">
        <v>15</v>
      </c>
      <c r="U56" s="24">
        <v>7148</v>
      </c>
      <c r="V56" s="24">
        <v>287.5</v>
      </c>
      <c r="W56" s="24">
        <v>5525</v>
      </c>
      <c r="X56" s="24">
        <v>321</v>
      </c>
    </row>
    <row r="57" spans="1:24" ht="15" thickBot="1" x14ac:dyDescent="0.35">
      <c r="A57" s="63">
        <f t="shared" ref="A57:H57" si="15">A55-A56</f>
        <v>0</v>
      </c>
      <c r="B57" s="63">
        <f t="shared" si="15"/>
        <v>0</v>
      </c>
      <c r="C57" s="63">
        <f t="shared" si="15"/>
        <v>0</v>
      </c>
      <c r="D57" s="63">
        <f t="shared" si="15"/>
        <v>0</v>
      </c>
      <c r="E57" s="63">
        <f t="shared" si="15"/>
        <v>0</v>
      </c>
      <c r="F57" s="63">
        <f t="shared" si="15"/>
        <v>0</v>
      </c>
      <c r="G57" s="63">
        <f t="shared" si="15"/>
        <v>0</v>
      </c>
      <c r="H57" s="63">
        <f t="shared" si="15"/>
        <v>0</v>
      </c>
      <c r="I57" s="22">
        <f>SUM(I51:I56)</f>
        <v>0</v>
      </c>
      <c r="K57" s="144">
        <f>K55-K56</f>
        <v>0</v>
      </c>
      <c r="L57" s="144">
        <f t="shared" ref="L57:S57" si="16">L55-L56</f>
        <v>0</v>
      </c>
      <c r="M57" s="144">
        <f t="shared" si="16"/>
        <v>0</v>
      </c>
      <c r="N57" s="144">
        <f t="shared" si="16"/>
        <v>0</v>
      </c>
      <c r="O57" s="144">
        <f t="shared" si="16"/>
        <v>0</v>
      </c>
      <c r="P57" s="144">
        <f t="shared" si="16"/>
        <v>0</v>
      </c>
      <c r="Q57" s="144">
        <f t="shared" si="16"/>
        <v>0</v>
      </c>
      <c r="R57" s="144">
        <f t="shared" si="16"/>
        <v>0</v>
      </c>
      <c r="S57" s="144">
        <f t="shared" si="16"/>
        <v>0</v>
      </c>
      <c r="T57" s="144">
        <v>0</v>
      </c>
      <c r="U57" s="144">
        <f t="shared" ref="U57:X57" si="17">U55-U56</f>
        <v>0</v>
      </c>
      <c r="V57" s="144">
        <f t="shared" si="17"/>
        <v>0</v>
      </c>
      <c r="W57" s="144">
        <f t="shared" si="17"/>
        <v>0</v>
      </c>
      <c r="X57" s="144">
        <f t="shared" si="17"/>
        <v>0</v>
      </c>
    </row>
    <row r="59" spans="1:24" ht="15" thickBot="1" x14ac:dyDescent="0.35"/>
    <row r="60" spans="1:24" x14ac:dyDescent="0.3">
      <c r="A60" s="157">
        <v>45742</v>
      </c>
      <c r="B60" s="157">
        <v>45743</v>
      </c>
      <c r="C60" s="157">
        <v>45744</v>
      </c>
      <c r="D60" s="157">
        <v>45745</v>
      </c>
      <c r="E60" s="157">
        <v>45746</v>
      </c>
      <c r="F60" s="157">
        <v>45747</v>
      </c>
      <c r="G60" s="157">
        <v>45748</v>
      </c>
      <c r="H60" s="17"/>
      <c r="I60" s="13" t="s">
        <v>8</v>
      </c>
      <c r="K60" s="59">
        <v>45742</v>
      </c>
      <c r="L60" s="59"/>
      <c r="M60" s="59">
        <v>45743</v>
      </c>
      <c r="N60" s="59"/>
      <c r="O60" s="59">
        <v>45744</v>
      </c>
      <c r="P60" s="59"/>
      <c r="Q60" s="59">
        <v>45745</v>
      </c>
      <c r="R60" s="59"/>
      <c r="S60" s="59">
        <v>45746</v>
      </c>
      <c r="T60" s="59"/>
      <c r="U60" s="59">
        <v>45747</v>
      </c>
      <c r="V60" s="59"/>
      <c r="W60" s="59">
        <v>45748</v>
      </c>
      <c r="X60" s="59"/>
    </row>
    <row r="61" spans="1:24" ht="15" thickBot="1" x14ac:dyDescent="0.35">
      <c r="A61" s="22">
        <v>2273.5100000000002</v>
      </c>
      <c r="B61" s="22">
        <v>2151.2800000000002</v>
      </c>
      <c r="C61" s="22">
        <v>2151.2800000000002</v>
      </c>
      <c r="D61" s="22">
        <v>1035</v>
      </c>
      <c r="E61" s="22">
        <v>530</v>
      </c>
      <c r="F61" s="22">
        <v>1085</v>
      </c>
      <c r="G61" s="22">
        <v>1784.59</v>
      </c>
      <c r="H61" s="37"/>
      <c r="I61" s="15">
        <v>2437.5</v>
      </c>
      <c r="K61" s="124" t="s">
        <v>10</v>
      </c>
      <c r="L61" s="125" t="s">
        <v>11</v>
      </c>
      <c r="M61" s="126" t="s">
        <v>10</v>
      </c>
      <c r="N61" s="126" t="s">
        <v>11</v>
      </c>
      <c r="O61" s="126" t="s">
        <v>10</v>
      </c>
      <c r="P61" s="126" t="s">
        <v>11</v>
      </c>
      <c r="Q61" s="126" t="s">
        <v>10</v>
      </c>
      <c r="R61" s="126" t="s">
        <v>11</v>
      </c>
      <c r="S61" s="126" t="s">
        <v>10</v>
      </c>
      <c r="T61" s="126" t="s">
        <v>11</v>
      </c>
      <c r="U61" s="126" t="s">
        <v>10</v>
      </c>
      <c r="V61" s="126" t="s">
        <v>11</v>
      </c>
      <c r="W61" s="126" t="s">
        <v>10</v>
      </c>
      <c r="X61" s="143" t="s">
        <v>11</v>
      </c>
    </row>
    <row r="62" spans="1:24" x14ac:dyDescent="0.3">
      <c r="A62" s="22">
        <v>2695</v>
      </c>
      <c r="B62" s="22">
        <v>2540</v>
      </c>
      <c r="C62" s="22">
        <v>2900</v>
      </c>
      <c r="D62" s="22">
        <v>1205</v>
      </c>
      <c r="E62" s="22">
        <v>405</v>
      </c>
      <c r="F62" s="22">
        <v>2590</v>
      </c>
      <c r="G62" s="22">
        <v>2570</v>
      </c>
      <c r="H62" s="37"/>
      <c r="I62" s="15">
        <v>6000</v>
      </c>
      <c r="K62" s="75">
        <v>60</v>
      </c>
      <c r="L62" s="76">
        <v>120</v>
      </c>
      <c r="M62" s="77">
        <v>330</v>
      </c>
      <c r="N62" s="77">
        <v>52.5</v>
      </c>
      <c r="O62" s="77">
        <v>120</v>
      </c>
      <c r="P62" s="77">
        <v>10</v>
      </c>
      <c r="Q62" s="77">
        <v>2070</v>
      </c>
      <c r="R62" s="77">
        <v>780</v>
      </c>
      <c r="S62" s="63">
        <v>530</v>
      </c>
      <c r="T62" s="22">
        <v>15</v>
      </c>
      <c r="U62" s="63">
        <v>300</v>
      </c>
      <c r="V62" s="63">
        <v>60</v>
      </c>
      <c r="W62" s="63">
        <v>180</v>
      </c>
      <c r="X62" s="40">
        <v>50</v>
      </c>
    </row>
    <row r="63" spans="1:24" x14ac:dyDescent="0.3">
      <c r="A63" s="26">
        <v>1345</v>
      </c>
      <c r="B63" s="26">
        <v>1325</v>
      </c>
      <c r="C63" s="22">
        <v>1020</v>
      </c>
      <c r="D63" s="26">
        <v>823.4</v>
      </c>
      <c r="E63" s="22"/>
      <c r="F63" s="22">
        <v>1874.61</v>
      </c>
      <c r="G63" s="22">
        <v>1310</v>
      </c>
      <c r="H63" s="37"/>
      <c r="I63" s="15">
        <v>5094.72</v>
      </c>
      <c r="K63" s="21">
        <v>4410</v>
      </c>
      <c r="L63" s="79">
        <v>409.5</v>
      </c>
      <c r="M63" s="80">
        <v>202</v>
      </c>
      <c r="N63" s="43">
        <v>139.9</v>
      </c>
      <c r="O63" s="43">
        <v>4650</v>
      </c>
      <c r="P63" s="43">
        <v>92.5</v>
      </c>
      <c r="Q63" s="43">
        <v>189</v>
      </c>
      <c r="R63" s="80">
        <v>52.5</v>
      </c>
      <c r="S63" s="22">
        <v>83</v>
      </c>
      <c r="T63" s="22"/>
      <c r="U63" s="22">
        <v>358</v>
      </c>
      <c r="V63" s="22"/>
      <c r="W63" s="22">
        <v>2830</v>
      </c>
      <c r="X63" s="27">
        <v>95</v>
      </c>
    </row>
    <row r="64" spans="1:24" x14ac:dyDescent="0.3">
      <c r="A64" s="25"/>
      <c r="B64" s="25"/>
      <c r="C64" s="22"/>
      <c r="D64" s="25"/>
      <c r="E64" s="22"/>
      <c r="F64" s="22"/>
      <c r="G64" s="22"/>
      <c r="H64" s="37"/>
      <c r="I64" s="15">
        <v>6267.38</v>
      </c>
      <c r="K64" s="21">
        <v>318</v>
      </c>
      <c r="L64" s="79">
        <v>120</v>
      </c>
      <c r="M64" s="81">
        <v>4270</v>
      </c>
      <c r="N64" s="43">
        <v>960</v>
      </c>
      <c r="O64" s="43">
        <v>442</v>
      </c>
      <c r="P64" s="43"/>
      <c r="Q64" s="43">
        <v>210</v>
      </c>
      <c r="R64" s="81">
        <v>115</v>
      </c>
      <c r="S64" s="22"/>
      <c r="T64" s="22"/>
      <c r="U64" s="22">
        <v>3460</v>
      </c>
      <c r="V64" s="22"/>
      <c r="W64" s="22">
        <v>286</v>
      </c>
      <c r="X64" s="27"/>
    </row>
    <row r="65" spans="1:24" x14ac:dyDescent="0.3">
      <c r="A65" s="22"/>
      <c r="B65" s="22"/>
      <c r="C65" s="22"/>
      <c r="D65" s="22"/>
      <c r="E65" s="22"/>
      <c r="F65" s="22"/>
      <c r="G65" s="22"/>
      <c r="H65" s="37"/>
      <c r="I65" s="15">
        <v>122.23</v>
      </c>
      <c r="K65" s="21">
        <v>390</v>
      </c>
      <c r="L65" s="79">
        <v>116</v>
      </c>
      <c r="M65" s="43">
        <v>120</v>
      </c>
      <c r="N65" s="43"/>
      <c r="O65" s="43">
        <v>240</v>
      </c>
      <c r="P65" s="43"/>
      <c r="Q65" s="43">
        <v>28</v>
      </c>
      <c r="R65" s="43"/>
      <c r="S65" s="22"/>
      <c r="T65" s="22"/>
      <c r="U65" s="22">
        <v>560</v>
      </c>
      <c r="V65" s="22"/>
      <c r="W65" s="22">
        <v>150</v>
      </c>
      <c r="X65" s="27"/>
    </row>
    <row r="66" spans="1:24" ht="15" thickBot="1" x14ac:dyDescent="0.35">
      <c r="A66" s="22"/>
      <c r="B66" s="22"/>
      <c r="C66" s="22"/>
      <c r="D66" s="22"/>
      <c r="E66" s="22"/>
      <c r="F66" s="22"/>
      <c r="G66" s="22"/>
      <c r="H66" s="37"/>
      <c r="I66" s="131"/>
      <c r="K66" s="128">
        <v>57</v>
      </c>
      <c r="L66" s="79"/>
      <c r="M66" s="43"/>
      <c r="N66" s="43"/>
      <c r="O66" s="43">
        <v>26</v>
      </c>
      <c r="P66" s="43"/>
      <c r="Q66" s="43"/>
      <c r="R66" s="43"/>
      <c r="S66" s="22"/>
      <c r="T66" s="22"/>
      <c r="U66" s="22"/>
      <c r="V66" s="22"/>
      <c r="W66" s="22">
        <v>28</v>
      </c>
      <c r="X66" s="27"/>
    </row>
    <row r="67" spans="1:24" ht="15.6" thickTop="1" thickBot="1" x14ac:dyDescent="0.35">
      <c r="A67" s="22"/>
      <c r="B67" s="22"/>
      <c r="C67" s="22"/>
      <c r="D67" s="22"/>
      <c r="E67" s="22"/>
      <c r="F67" s="22"/>
      <c r="G67" s="37"/>
      <c r="H67" s="37"/>
      <c r="I67" s="132">
        <f>SUM(I61:I66)</f>
        <v>19921.830000000002</v>
      </c>
      <c r="K67" s="21"/>
      <c r="L67" s="79"/>
      <c r="M67" s="43"/>
      <c r="N67" s="43"/>
      <c r="O67" s="43"/>
      <c r="P67" s="43"/>
      <c r="Q67" s="77"/>
      <c r="R67" s="43"/>
      <c r="S67" s="22"/>
      <c r="T67" s="22"/>
      <c r="U67" s="22"/>
      <c r="V67" s="22"/>
      <c r="W67" s="22"/>
      <c r="X67" s="27"/>
    </row>
    <row r="68" spans="1:24" ht="15" thickTop="1" x14ac:dyDescent="0.3">
      <c r="A68" s="22"/>
      <c r="B68" s="22"/>
      <c r="C68" s="22"/>
      <c r="D68" s="22"/>
      <c r="E68" s="22"/>
      <c r="F68" s="22"/>
      <c r="G68" s="22"/>
      <c r="H68" s="37"/>
      <c r="I68" s="40"/>
      <c r="K68" s="24"/>
      <c r="L68" s="56"/>
      <c r="M68" s="22"/>
      <c r="N68" s="22"/>
      <c r="O68" s="22"/>
      <c r="P68" s="22"/>
      <c r="Q68" s="43"/>
      <c r="R68" s="22"/>
      <c r="S68" s="22"/>
      <c r="T68" s="22"/>
      <c r="U68" s="22"/>
      <c r="V68" s="22"/>
      <c r="W68" s="22"/>
      <c r="X68" s="27"/>
    </row>
    <row r="69" spans="1:24" x14ac:dyDescent="0.3">
      <c r="A69" s="22"/>
      <c r="B69" s="22"/>
      <c r="C69" s="22"/>
      <c r="D69" s="22"/>
      <c r="E69" s="22"/>
      <c r="F69" s="22"/>
      <c r="G69" s="22"/>
      <c r="H69" s="37"/>
      <c r="I69" s="27"/>
      <c r="K69" s="24"/>
      <c r="L69" s="56"/>
      <c r="M69" s="22"/>
      <c r="N69" s="22"/>
      <c r="O69" s="22"/>
      <c r="P69" s="22"/>
      <c r="Q69" s="43"/>
      <c r="R69" s="22"/>
      <c r="S69" s="22"/>
      <c r="T69" s="22"/>
      <c r="U69" s="22"/>
      <c r="V69" s="22"/>
      <c r="W69" s="22"/>
      <c r="X69" s="27"/>
    </row>
    <row r="70" spans="1:24" x14ac:dyDescent="0.3">
      <c r="A70" s="22"/>
      <c r="B70" s="22"/>
      <c r="C70" s="22"/>
      <c r="D70" s="22"/>
      <c r="E70" s="22"/>
      <c r="F70" s="22"/>
      <c r="G70" s="22"/>
      <c r="H70" s="37"/>
      <c r="I70" s="27"/>
      <c r="K70" s="24"/>
      <c r="L70" s="56"/>
      <c r="M70" s="22"/>
      <c r="N70" s="22"/>
      <c r="O70" s="22"/>
      <c r="P70" s="22"/>
      <c r="Q70" s="43"/>
      <c r="R70" s="22"/>
      <c r="S70" s="22"/>
      <c r="T70" s="22"/>
      <c r="U70" s="22"/>
      <c r="V70" s="22"/>
      <c r="W70" s="22"/>
      <c r="X70" s="27"/>
    </row>
    <row r="71" spans="1:24" x14ac:dyDescent="0.3">
      <c r="A71" s="22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22"/>
      <c r="O71" s="22"/>
      <c r="P71" s="22"/>
      <c r="Q71" s="43"/>
      <c r="R71" s="22"/>
      <c r="S71" s="22"/>
      <c r="T71" s="22"/>
      <c r="U71" s="22"/>
      <c r="V71" s="22"/>
      <c r="W71" s="22"/>
      <c r="X71" s="27"/>
    </row>
    <row r="72" spans="1:24" ht="15" thickBot="1" x14ac:dyDescent="0.35">
      <c r="A72" s="22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35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ht="15" thickTop="1" x14ac:dyDescent="0.3">
      <c r="A73" s="22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63"/>
      <c r="O73" s="22"/>
      <c r="P73" s="22"/>
      <c r="Q73" s="22"/>
      <c r="R73" s="22"/>
      <c r="S73" s="22"/>
      <c r="T73" s="22"/>
      <c r="U73" s="22"/>
      <c r="V73" s="22"/>
      <c r="W73" s="22"/>
      <c r="X73" s="27"/>
    </row>
    <row r="74" spans="1:24" x14ac:dyDescent="0.3">
      <c r="A74" s="22"/>
      <c r="B74" s="22"/>
      <c r="C74" s="22"/>
      <c r="D74" s="22"/>
      <c r="E74" s="22"/>
      <c r="F74" s="22"/>
      <c r="G74" s="22"/>
      <c r="H74" s="22"/>
      <c r="I74" s="23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7"/>
    </row>
    <row r="75" spans="1:24" ht="15" thickBot="1" x14ac:dyDescent="0.35">
      <c r="A75" s="133">
        <f t="shared" ref="A75:G75" si="18">SUM(A61:A74)</f>
        <v>6313.51</v>
      </c>
      <c r="B75" s="133">
        <f t="shared" si="18"/>
        <v>6016.2800000000007</v>
      </c>
      <c r="C75" s="133">
        <f t="shared" si="18"/>
        <v>6071.2800000000007</v>
      </c>
      <c r="D75" s="133">
        <f t="shared" si="18"/>
        <v>3063.4</v>
      </c>
      <c r="E75" s="133">
        <f t="shared" si="18"/>
        <v>935</v>
      </c>
      <c r="F75" s="133">
        <f t="shared" si="18"/>
        <v>5549.61</v>
      </c>
      <c r="G75" s="133">
        <f t="shared" si="18"/>
        <v>5664.59</v>
      </c>
      <c r="H75" s="149">
        <f>SUM(A75:G75)+I67</f>
        <v>53535.5</v>
      </c>
      <c r="I75" s="150" t="s">
        <v>7</v>
      </c>
      <c r="K75" s="133">
        <f>SUM(K62:K74)</f>
        <v>5235</v>
      </c>
      <c r="L75" s="156">
        <f t="shared" ref="L75:S75" si="19">SUM(L62:L74)</f>
        <v>765.5</v>
      </c>
      <c r="M75" s="133">
        <f t="shared" si="19"/>
        <v>4922</v>
      </c>
      <c r="N75" s="133">
        <f t="shared" si="19"/>
        <v>1152.4000000000001</v>
      </c>
      <c r="O75" s="133">
        <f t="shared" si="19"/>
        <v>5478</v>
      </c>
      <c r="P75" s="133">
        <f t="shared" si="19"/>
        <v>102.5</v>
      </c>
      <c r="Q75" s="133">
        <f t="shared" si="19"/>
        <v>2497</v>
      </c>
      <c r="R75" s="133">
        <f t="shared" si="19"/>
        <v>947.5</v>
      </c>
      <c r="S75" s="133">
        <f t="shared" si="19"/>
        <v>613</v>
      </c>
      <c r="T75" s="133">
        <v>0</v>
      </c>
      <c r="U75" s="133">
        <f t="shared" ref="U75:X75" si="20">SUM(U62:U74)</f>
        <v>4678</v>
      </c>
      <c r="V75" s="133">
        <f t="shared" si="20"/>
        <v>60</v>
      </c>
      <c r="W75" s="133">
        <f t="shared" si="20"/>
        <v>3474</v>
      </c>
      <c r="X75" s="83">
        <f t="shared" si="20"/>
        <v>145</v>
      </c>
    </row>
    <row r="76" spans="1:24" ht="15" thickBot="1" x14ac:dyDescent="0.35">
      <c r="A76" s="152">
        <v>6313.51</v>
      </c>
      <c r="B76" s="152">
        <v>6016.28</v>
      </c>
      <c r="C76" s="152">
        <v>6071.28</v>
      </c>
      <c r="D76" s="152">
        <v>3063.4</v>
      </c>
      <c r="E76" s="152">
        <v>935</v>
      </c>
      <c r="F76" s="152">
        <v>5549.61</v>
      </c>
      <c r="G76" s="152">
        <v>5664.59</v>
      </c>
      <c r="H76" s="146">
        <f>SUM(H75)</f>
        <v>53535.5</v>
      </c>
      <c r="I76" s="151" t="s">
        <v>1</v>
      </c>
      <c r="K76" s="24">
        <v>5235</v>
      </c>
      <c r="L76" s="24">
        <v>765.5</v>
      </c>
      <c r="M76" s="24">
        <v>4922</v>
      </c>
      <c r="N76" s="24">
        <v>1152.4000000000001</v>
      </c>
      <c r="O76" s="24">
        <v>5478</v>
      </c>
      <c r="P76" s="24">
        <v>102.5</v>
      </c>
      <c r="Q76" s="24">
        <v>2497</v>
      </c>
      <c r="R76" s="24">
        <v>947.5</v>
      </c>
      <c r="S76" s="24">
        <v>613</v>
      </c>
      <c r="T76" s="24">
        <v>15</v>
      </c>
      <c r="U76" s="24">
        <v>4678</v>
      </c>
      <c r="V76" s="24">
        <v>60</v>
      </c>
      <c r="W76" s="24">
        <v>3474</v>
      </c>
      <c r="X76" s="24">
        <v>145</v>
      </c>
    </row>
    <row r="77" spans="1:24" ht="15" thickBot="1" x14ac:dyDescent="0.35">
      <c r="A77" s="63">
        <f t="shared" ref="A77:H77" si="21">A75-A76</f>
        <v>0</v>
      </c>
      <c r="B77" s="63">
        <f t="shared" si="21"/>
        <v>0</v>
      </c>
      <c r="C77" s="63">
        <f t="shared" si="21"/>
        <v>0</v>
      </c>
      <c r="D77" s="63">
        <f t="shared" si="21"/>
        <v>0</v>
      </c>
      <c r="E77" s="63">
        <f t="shared" si="21"/>
        <v>0</v>
      </c>
      <c r="F77" s="63">
        <f t="shared" si="21"/>
        <v>0</v>
      </c>
      <c r="G77" s="63">
        <f t="shared" si="21"/>
        <v>0</v>
      </c>
      <c r="H77" s="63">
        <f t="shared" si="21"/>
        <v>0</v>
      </c>
      <c r="I77" s="22">
        <f>SUM(I71:I76)</f>
        <v>0</v>
      </c>
      <c r="K77" s="144">
        <f>K75-K76</f>
        <v>0</v>
      </c>
      <c r="L77" s="144">
        <f t="shared" ref="L77:S77" si="22">L75-L76</f>
        <v>0</v>
      </c>
      <c r="M77" s="144">
        <f t="shared" si="22"/>
        <v>0</v>
      </c>
      <c r="N77" s="144">
        <f t="shared" si="22"/>
        <v>0</v>
      </c>
      <c r="O77" s="144">
        <f t="shared" si="22"/>
        <v>0</v>
      </c>
      <c r="P77" s="144">
        <f t="shared" si="22"/>
        <v>0</v>
      </c>
      <c r="Q77" s="144">
        <f t="shared" si="22"/>
        <v>0</v>
      </c>
      <c r="R77" s="144">
        <f t="shared" si="22"/>
        <v>0</v>
      </c>
      <c r="S77" s="144">
        <f t="shared" si="22"/>
        <v>0</v>
      </c>
      <c r="T77" s="144">
        <v>0</v>
      </c>
      <c r="U77" s="144">
        <f t="shared" ref="U77:X77" si="23">U75-U76</f>
        <v>0</v>
      </c>
      <c r="V77" s="144">
        <f t="shared" si="23"/>
        <v>0</v>
      </c>
      <c r="W77" s="144">
        <f t="shared" si="23"/>
        <v>0</v>
      </c>
      <c r="X77" s="144">
        <f t="shared" si="23"/>
        <v>0</v>
      </c>
    </row>
    <row r="78" spans="1:24" ht="15" thickBot="1" x14ac:dyDescent="0.35"/>
    <row r="79" spans="1:24" x14ac:dyDescent="0.3">
      <c r="A79" s="157">
        <v>45749</v>
      </c>
      <c r="B79" s="157">
        <v>45750</v>
      </c>
      <c r="C79" s="157">
        <v>45751</v>
      </c>
      <c r="D79" s="157">
        <v>45752</v>
      </c>
      <c r="E79" s="157">
        <v>45753</v>
      </c>
      <c r="F79" s="157">
        <v>45754</v>
      </c>
      <c r="G79" s="157">
        <v>45755</v>
      </c>
      <c r="H79" s="17"/>
      <c r="I79" s="13" t="s">
        <v>8</v>
      </c>
      <c r="K79" s="59">
        <v>45749</v>
      </c>
      <c r="L79" s="59"/>
      <c r="M79" s="59">
        <v>45750</v>
      </c>
      <c r="N79" s="59"/>
      <c r="O79" s="59">
        <v>45751</v>
      </c>
      <c r="P79" s="59"/>
      <c r="Q79" s="59">
        <v>45752</v>
      </c>
      <c r="R79" s="59"/>
      <c r="S79" s="59">
        <v>45753</v>
      </c>
      <c r="T79" s="59"/>
      <c r="U79" s="59">
        <v>45754</v>
      </c>
      <c r="V79" s="59"/>
      <c r="W79" s="59">
        <v>45755</v>
      </c>
      <c r="X79" s="59"/>
    </row>
    <row r="80" spans="1:24" ht="15" thickBot="1" x14ac:dyDescent="0.35">
      <c r="A80" s="22">
        <v>1370</v>
      </c>
      <c r="B80" s="22"/>
      <c r="C80" s="22"/>
      <c r="D80" s="22"/>
      <c r="E80" s="22"/>
      <c r="F80" s="22"/>
      <c r="G80" s="22"/>
      <c r="H80" s="37"/>
      <c r="I80" s="15"/>
      <c r="K80" s="124" t="s">
        <v>10</v>
      </c>
      <c r="L80" s="125" t="s">
        <v>11</v>
      </c>
      <c r="M80" s="126" t="s">
        <v>10</v>
      </c>
      <c r="N80" s="126" t="s">
        <v>11</v>
      </c>
      <c r="O80" s="126" t="s">
        <v>10</v>
      </c>
      <c r="P80" s="126" t="s">
        <v>11</v>
      </c>
      <c r="Q80" s="126" t="s">
        <v>10</v>
      </c>
      <c r="R80" s="126" t="s">
        <v>11</v>
      </c>
      <c r="S80" s="126" t="s">
        <v>10</v>
      </c>
      <c r="T80" s="126" t="s">
        <v>11</v>
      </c>
      <c r="U80" s="126" t="s">
        <v>10</v>
      </c>
      <c r="V80" s="126" t="s">
        <v>11</v>
      </c>
      <c r="W80" s="126" t="s">
        <v>10</v>
      </c>
      <c r="X80" s="143" t="s">
        <v>11</v>
      </c>
    </row>
    <row r="81" spans="1:24" x14ac:dyDescent="0.3">
      <c r="A81" s="22">
        <v>2000</v>
      </c>
      <c r="B81" s="22"/>
      <c r="C81" s="22"/>
      <c r="D81" s="22"/>
      <c r="E81" s="22"/>
      <c r="F81" s="22"/>
      <c r="G81" s="22"/>
      <c r="H81" s="37"/>
      <c r="I81" s="15"/>
      <c r="K81" s="75">
        <v>29</v>
      </c>
      <c r="L81" s="76">
        <v>251</v>
      </c>
      <c r="M81" s="77"/>
      <c r="N81" s="77"/>
      <c r="O81" s="77"/>
      <c r="P81" s="77"/>
      <c r="Q81" s="77"/>
      <c r="R81" s="77"/>
      <c r="S81" s="63"/>
      <c r="T81" s="22"/>
      <c r="U81" s="63"/>
      <c r="V81" s="63"/>
      <c r="W81" s="63"/>
      <c r="X81" s="40"/>
    </row>
    <row r="82" spans="1:24" x14ac:dyDescent="0.3">
      <c r="A82" s="26">
        <v>1922.38</v>
      </c>
      <c r="B82" s="26"/>
      <c r="C82" s="22"/>
      <c r="D82" s="26"/>
      <c r="E82" s="22"/>
      <c r="F82" s="22"/>
      <c r="G82" s="22"/>
      <c r="H82" s="37"/>
      <c r="I82" s="15"/>
      <c r="K82" s="21">
        <v>150</v>
      </c>
      <c r="L82" s="79">
        <v>1760</v>
      </c>
      <c r="M82" s="80"/>
      <c r="N82" s="43"/>
      <c r="O82" s="43"/>
      <c r="P82" s="43"/>
      <c r="Q82" s="43"/>
      <c r="R82" s="80"/>
      <c r="S82" s="22"/>
      <c r="T82" s="22"/>
      <c r="U82" s="22"/>
      <c r="V82" s="22"/>
      <c r="W82" s="22"/>
      <c r="X82" s="27"/>
    </row>
    <row r="83" spans="1:24" x14ac:dyDescent="0.3">
      <c r="A83" s="25"/>
      <c r="B83" s="25"/>
      <c r="C83" s="22"/>
      <c r="D83" s="25"/>
      <c r="E83" s="22"/>
      <c r="F83" s="22"/>
      <c r="G83" s="22"/>
      <c r="H83" s="37"/>
      <c r="I83" s="15"/>
      <c r="K83" s="21">
        <v>318</v>
      </c>
      <c r="L83" s="79">
        <v>1860</v>
      </c>
      <c r="M83" s="81"/>
      <c r="N83" s="43"/>
      <c r="O83" s="43"/>
      <c r="P83" s="43"/>
      <c r="Q83" s="43"/>
      <c r="R83" s="81"/>
      <c r="S83" s="22"/>
      <c r="T83" s="22"/>
      <c r="U83" s="22"/>
      <c r="V83" s="22"/>
      <c r="W83" s="22"/>
      <c r="X83" s="27"/>
    </row>
    <row r="84" spans="1:24" x14ac:dyDescent="0.3">
      <c r="A84" s="22"/>
      <c r="B84" s="22"/>
      <c r="C84" s="22"/>
      <c r="D84" s="22"/>
      <c r="E84" s="22"/>
      <c r="F84" s="22"/>
      <c r="G84" s="22"/>
      <c r="H84" s="37"/>
      <c r="I84" s="15"/>
      <c r="K84" s="21">
        <v>3710</v>
      </c>
      <c r="M84" s="43"/>
      <c r="N84" s="43"/>
      <c r="O84" s="43"/>
      <c r="P84" s="43"/>
      <c r="Q84" s="43"/>
      <c r="R84" s="43"/>
      <c r="S84" s="22"/>
      <c r="T84" s="22"/>
      <c r="U84" s="22"/>
      <c r="V84" s="22"/>
      <c r="W84" s="22"/>
      <c r="X84" s="27"/>
    </row>
    <row r="85" spans="1:24" ht="15" thickBot="1" x14ac:dyDescent="0.35">
      <c r="A85" s="22"/>
      <c r="B85" s="22"/>
      <c r="C85" s="22"/>
      <c r="D85" s="22"/>
      <c r="E85" s="22"/>
      <c r="F85" s="22"/>
      <c r="G85" s="22"/>
      <c r="H85" s="37"/>
      <c r="I85" s="131"/>
      <c r="K85" s="128">
        <v>240</v>
      </c>
      <c r="L85" s="79"/>
      <c r="M85" s="43"/>
      <c r="N85" s="43"/>
      <c r="O85" s="43"/>
      <c r="P85" s="43"/>
      <c r="Q85" s="43"/>
      <c r="R85" s="43"/>
      <c r="S85" s="22"/>
      <c r="T85" s="22"/>
      <c r="U85" s="22"/>
      <c r="V85" s="22"/>
      <c r="W85" s="22"/>
      <c r="X85" s="27"/>
    </row>
    <row r="86" spans="1:24" ht="15.6" thickTop="1" thickBot="1" x14ac:dyDescent="0.35">
      <c r="A86" s="22"/>
      <c r="B86" s="22"/>
      <c r="C86" s="22"/>
      <c r="D86" s="22"/>
      <c r="E86" s="22"/>
      <c r="F86" s="22"/>
      <c r="G86" s="37"/>
      <c r="H86" s="37"/>
      <c r="I86" s="132">
        <f>SUM(I80:I85)</f>
        <v>0</v>
      </c>
      <c r="K86" s="21"/>
      <c r="L86" s="79"/>
      <c r="M86" s="43"/>
      <c r="N86" s="43"/>
      <c r="O86" s="43"/>
      <c r="P86" s="43"/>
      <c r="Q86" s="77"/>
      <c r="R86" s="43"/>
      <c r="S86" s="22"/>
      <c r="T86" s="22"/>
      <c r="U86" s="22"/>
      <c r="V86" s="22"/>
      <c r="W86" s="22"/>
      <c r="X86" s="27"/>
    </row>
    <row r="87" spans="1:24" ht="15" thickTop="1" x14ac:dyDescent="0.3">
      <c r="A87" s="22"/>
      <c r="B87" s="22"/>
      <c r="C87" s="22"/>
      <c r="D87" s="22"/>
      <c r="E87" s="22"/>
      <c r="F87" s="22"/>
      <c r="G87" s="22"/>
      <c r="H87" s="37"/>
      <c r="I87" s="40"/>
      <c r="K87" s="24"/>
      <c r="L87" s="56"/>
      <c r="M87" s="22"/>
      <c r="N87" s="22"/>
      <c r="O87" s="22"/>
      <c r="P87" s="22"/>
      <c r="Q87" s="43"/>
      <c r="R87" s="22"/>
      <c r="S87" s="22"/>
      <c r="T87" s="22"/>
      <c r="U87" s="22"/>
      <c r="V87" s="22"/>
      <c r="W87" s="22"/>
      <c r="X87" s="27"/>
    </row>
    <row r="88" spans="1:24" x14ac:dyDescent="0.3">
      <c r="A88" s="22"/>
      <c r="B88" s="22"/>
      <c r="C88" s="22"/>
      <c r="D88" s="22"/>
      <c r="E88" s="22"/>
      <c r="F88" s="22"/>
      <c r="G88" s="22"/>
      <c r="H88" s="37"/>
      <c r="I88" s="27"/>
      <c r="K88" s="24"/>
      <c r="L88" s="56"/>
      <c r="M88" s="22"/>
      <c r="N88" s="22"/>
      <c r="O88" s="22"/>
      <c r="P88" s="22"/>
      <c r="Q88" s="43"/>
      <c r="R88" s="22"/>
      <c r="S88" s="22"/>
      <c r="T88" s="22"/>
      <c r="U88" s="22"/>
      <c r="V88" s="22"/>
      <c r="W88" s="22"/>
      <c r="X88" s="27"/>
    </row>
    <row r="89" spans="1:24" x14ac:dyDescent="0.3">
      <c r="A89" s="22"/>
      <c r="B89" s="22"/>
      <c r="C89" s="22"/>
      <c r="D89" s="22"/>
      <c r="E89" s="22"/>
      <c r="F89" s="22"/>
      <c r="G89" s="22"/>
      <c r="H89" s="37"/>
      <c r="I89" s="27"/>
      <c r="K89" s="24"/>
      <c r="L89" s="56"/>
      <c r="M89" s="22"/>
      <c r="N89" s="22"/>
      <c r="O89" s="22"/>
      <c r="P89" s="22"/>
      <c r="Q89" s="43"/>
      <c r="R89" s="22"/>
      <c r="S89" s="22"/>
      <c r="T89" s="22"/>
      <c r="U89" s="22"/>
      <c r="V89" s="22"/>
      <c r="W89" s="22"/>
      <c r="X89" s="27"/>
    </row>
    <row r="90" spans="1:24" x14ac:dyDescent="0.3">
      <c r="A90" s="22"/>
      <c r="B90" s="22"/>
      <c r="C90" s="22"/>
      <c r="D90" s="22"/>
      <c r="E90" s="22"/>
      <c r="F90" s="22"/>
      <c r="G90" s="22"/>
      <c r="H90" s="22"/>
      <c r="I90" s="23"/>
      <c r="K90" s="24"/>
      <c r="L90" s="56"/>
      <c r="M90" s="22"/>
      <c r="N90" s="22"/>
      <c r="O90" s="22"/>
      <c r="P90" s="22"/>
      <c r="Q90" s="43"/>
      <c r="R90" s="22"/>
      <c r="S90" s="22"/>
      <c r="T90" s="22"/>
      <c r="U90" s="22"/>
      <c r="V90" s="22"/>
      <c r="W90" s="22"/>
      <c r="X90" s="27"/>
    </row>
    <row r="91" spans="1:24" ht="15" thickBot="1" x14ac:dyDescent="0.35">
      <c r="A91" s="22"/>
      <c r="B91" s="22"/>
      <c r="C91" s="22"/>
      <c r="D91" s="22"/>
      <c r="E91" s="22"/>
      <c r="F91" s="22"/>
      <c r="G91" s="22"/>
      <c r="H91" s="22"/>
      <c r="I91" s="23"/>
      <c r="K91" s="24"/>
      <c r="L91" s="56"/>
      <c r="M91" s="22"/>
      <c r="N91" s="35"/>
      <c r="O91" s="22"/>
      <c r="P91" s="22"/>
      <c r="Q91" s="22"/>
      <c r="R91" s="22"/>
      <c r="S91" s="22"/>
      <c r="T91" s="22"/>
      <c r="U91" s="22"/>
      <c r="V91" s="22"/>
      <c r="W91" s="22"/>
      <c r="X91" s="27"/>
    </row>
    <row r="92" spans="1:24" ht="15" thickTop="1" x14ac:dyDescent="0.3">
      <c r="A92" s="22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63"/>
      <c r="O92" s="22"/>
      <c r="P92" s="22"/>
      <c r="Q92" s="22"/>
      <c r="R92" s="22"/>
      <c r="S92" s="22"/>
      <c r="T92" s="22"/>
      <c r="U92" s="22"/>
      <c r="V92" s="22"/>
      <c r="W92" s="22"/>
      <c r="X92" s="27"/>
    </row>
    <row r="93" spans="1:24" x14ac:dyDescent="0.3">
      <c r="A93" s="22"/>
      <c r="B93" s="22"/>
      <c r="C93" s="22"/>
      <c r="D93" s="22"/>
      <c r="E93" s="22"/>
      <c r="F93" s="22"/>
      <c r="G93" s="22"/>
      <c r="H93" s="22"/>
      <c r="I93" s="23"/>
      <c r="K93" s="2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7"/>
    </row>
    <row r="94" spans="1:24" x14ac:dyDescent="0.3">
      <c r="A94" s="133">
        <f t="shared" ref="A94:G95" si="24">SUM(A80:A93)</f>
        <v>5292.38</v>
      </c>
      <c r="B94" s="133">
        <f t="shared" si="24"/>
        <v>0</v>
      </c>
      <c r="C94" s="133">
        <f t="shared" si="24"/>
        <v>0</v>
      </c>
      <c r="D94" s="133">
        <f t="shared" si="24"/>
        <v>0</v>
      </c>
      <c r="E94" s="133">
        <f t="shared" si="24"/>
        <v>0</v>
      </c>
      <c r="F94" s="133">
        <f t="shared" si="24"/>
        <v>0</v>
      </c>
      <c r="G94" s="133">
        <f t="shared" si="24"/>
        <v>0</v>
      </c>
      <c r="H94" s="149">
        <f>SUM(A94:G94)+I86</f>
        <v>5292.38</v>
      </c>
      <c r="I94" s="150" t="s">
        <v>7</v>
      </c>
      <c r="K94" s="133">
        <f>SUM(K81:K93)</f>
        <v>4447</v>
      </c>
      <c r="L94" s="156">
        <f t="shared" ref="L94:S95" si="25">SUM(L81:L93)</f>
        <v>3871</v>
      </c>
      <c r="M94" s="133">
        <f t="shared" si="25"/>
        <v>0</v>
      </c>
      <c r="N94" s="133">
        <f t="shared" si="25"/>
        <v>0</v>
      </c>
      <c r="O94" s="133">
        <f t="shared" si="25"/>
        <v>0</v>
      </c>
      <c r="P94" s="133">
        <f t="shared" si="25"/>
        <v>0</v>
      </c>
      <c r="Q94" s="133">
        <f t="shared" si="25"/>
        <v>0</v>
      </c>
      <c r="R94" s="133">
        <f t="shared" si="25"/>
        <v>0</v>
      </c>
      <c r="S94" s="133">
        <f t="shared" si="25"/>
        <v>0</v>
      </c>
      <c r="T94" s="133">
        <v>0</v>
      </c>
      <c r="U94" s="133">
        <f t="shared" ref="U94:X95" si="26">SUM(U81:U93)</f>
        <v>0</v>
      </c>
      <c r="V94" s="133">
        <f t="shared" si="26"/>
        <v>0</v>
      </c>
      <c r="W94" s="133">
        <f t="shared" si="26"/>
        <v>0</v>
      </c>
      <c r="X94" s="83">
        <f t="shared" si="26"/>
        <v>0</v>
      </c>
    </row>
    <row r="95" spans="1:24" x14ac:dyDescent="0.3">
      <c r="A95" s="133">
        <v>5292.38</v>
      </c>
      <c r="B95" s="133">
        <f t="shared" si="24"/>
        <v>0</v>
      </c>
      <c r="C95" s="133">
        <f t="shared" si="24"/>
        <v>0</v>
      </c>
      <c r="D95" s="133">
        <f t="shared" si="24"/>
        <v>0</v>
      </c>
      <c r="E95" s="133">
        <f t="shared" si="24"/>
        <v>0</v>
      </c>
      <c r="F95" s="133">
        <f t="shared" si="24"/>
        <v>0</v>
      </c>
      <c r="G95" s="133">
        <f t="shared" si="24"/>
        <v>0</v>
      </c>
      <c r="H95" s="149">
        <f>SUM(A95:G95)+I87</f>
        <v>5292.38</v>
      </c>
      <c r="I95" s="151" t="s">
        <v>1</v>
      </c>
      <c r="K95" s="133">
        <v>4447</v>
      </c>
      <c r="L95" s="156">
        <v>3871</v>
      </c>
      <c r="M95" s="133">
        <f t="shared" si="25"/>
        <v>0</v>
      </c>
      <c r="N95" s="133">
        <f t="shared" si="25"/>
        <v>0</v>
      </c>
      <c r="O95" s="133">
        <f t="shared" si="25"/>
        <v>0</v>
      </c>
      <c r="P95" s="133">
        <f t="shared" si="25"/>
        <v>0</v>
      </c>
      <c r="Q95" s="133">
        <f t="shared" si="25"/>
        <v>0</v>
      </c>
      <c r="R95" s="133">
        <f t="shared" si="25"/>
        <v>0</v>
      </c>
      <c r="S95" s="133">
        <f t="shared" si="25"/>
        <v>0</v>
      </c>
      <c r="T95" s="133">
        <v>0</v>
      </c>
      <c r="U95" s="133">
        <f t="shared" si="26"/>
        <v>0</v>
      </c>
      <c r="V95" s="133">
        <f t="shared" si="26"/>
        <v>0</v>
      </c>
      <c r="W95" s="133">
        <f t="shared" si="26"/>
        <v>0</v>
      </c>
      <c r="X95" s="83">
        <f t="shared" si="26"/>
        <v>0</v>
      </c>
    </row>
    <row r="96" spans="1:24" ht="15" thickBot="1" x14ac:dyDescent="0.35">
      <c r="A96" s="63">
        <f t="shared" ref="A96:H96" si="27">A94-A95</f>
        <v>0</v>
      </c>
      <c r="B96" s="63">
        <f t="shared" si="27"/>
        <v>0</v>
      </c>
      <c r="C96" s="63">
        <f t="shared" si="27"/>
        <v>0</v>
      </c>
      <c r="D96" s="63">
        <f t="shared" si="27"/>
        <v>0</v>
      </c>
      <c r="E96" s="63">
        <f t="shared" si="27"/>
        <v>0</v>
      </c>
      <c r="F96" s="63">
        <f t="shared" si="27"/>
        <v>0</v>
      </c>
      <c r="G96" s="63">
        <f t="shared" si="27"/>
        <v>0</v>
      </c>
      <c r="H96" s="63">
        <f t="shared" si="27"/>
        <v>0</v>
      </c>
      <c r="I96" s="22">
        <f>SUM(I90:I95)</f>
        <v>0</v>
      </c>
      <c r="K96" s="144">
        <f>K94-K95</f>
        <v>0</v>
      </c>
      <c r="L96" s="144">
        <f t="shared" ref="L96:S96" si="28">L94-L95</f>
        <v>0</v>
      </c>
      <c r="M96" s="144">
        <f t="shared" si="28"/>
        <v>0</v>
      </c>
      <c r="N96" s="144">
        <f t="shared" si="28"/>
        <v>0</v>
      </c>
      <c r="O96" s="144">
        <f t="shared" si="28"/>
        <v>0</v>
      </c>
      <c r="P96" s="144">
        <f t="shared" si="28"/>
        <v>0</v>
      </c>
      <c r="Q96" s="144">
        <f t="shared" si="28"/>
        <v>0</v>
      </c>
      <c r="R96" s="144">
        <f t="shared" si="28"/>
        <v>0</v>
      </c>
      <c r="S96" s="144">
        <f t="shared" si="28"/>
        <v>0</v>
      </c>
      <c r="T96" s="144">
        <v>0</v>
      </c>
      <c r="U96" s="144">
        <f t="shared" ref="U96:X96" si="29">U94-U95</f>
        <v>0</v>
      </c>
      <c r="V96" s="144">
        <f t="shared" si="29"/>
        <v>0</v>
      </c>
      <c r="W96" s="144">
        <f t="shared" si="29"/>
        <v>0</v>
      </c>
      <c r="X96" s="144">
        <f t="shared" si="29"/>
        <v>0</v>
      </c>
    </row>
    <row r="97" spans="1:12" ht="15" thickBot="1" x14ac:dyDescent="0.35"/>
    <row r="98" spans="1:12" x14ac:dyDescent="0.3">
      <c r="A98" s="157" t="s">
        <v>56</v>
      </c>
      <c r="K98" s="59" t="s">
        <v>57</v>
      </c>
      <c r="L98" s="59"/>
    </row>
    <row r="99" spans="1:12" ht="15" thickBot="1" x14ac:dyDescent="0.35">
      <c r="A99" s="22">
        <v>735</v>
      </c>
      <c r="K99" s="124" t="s">
        <v>10</v>
      </c>
      <c r="L99" s="125" t="s">
        <v>11</v>
      </c>
    </row>
    <row r="100" spans="1:12" x14ac:dyDescent="0.3">
      <c r="A100" s="22">
        <v>680</v>
      </c>
      <c r="K100" s="75">
        <v>60</v>
      </c>
      <c r="L100" s="76"/>
    </row>
    <row r="101" spans="1:12" x14ac:dyDescent="0.3">
      <c r="A101" s="26"/>
      <c r="K101" s="21">
        <v>1390</v>
      </c>
      <c r="L101" s="79"/>
    </row>
    <row r="102" spans="1:12" x14ac:dyDescent="0.3">
      <c r="A102" s="25"/>
      <c r="K102" s="21">
        <v>72</v>
      </c>
      <c r="L102" s="79"/>
    </row>
    <row r="103" spans="1:12" x14ac:dyDescent="0.3">
      <c r="A103" s="22"/>
      <c r="K103" s="21">
        <v>90</v>
      </c>
      <c r="L103" s="79"/>
    </row>
    <row r="104" spans="1:12" x14ac:dyDescent="0.3">
      <c r="A104" s="22"/>
      <c r="K104" s="128"/>
      <c r="L104" s="79"/>
    </row>
    <row r="105" spans="1:12" x14ac:dyDescent="0.3">
      <c r="A105" s="22"/>
      <c r="K105" s="21"/>
      <c r="L105" s="79"/>
    </row>
    <row r="106" spans="1:12" x14ac:dyDescent="0.3">
      <c r="A106" s="22"/>
      <c r="K106" s="24"/>
      <c r="L106" s="56"/>
    </row>
    <row r="107" spans="1:12" x14ac:dyDescent="0.3">
      <c r="A107" s="22"/>
      <c r="K107" s="24"/>
      <c r="L107" s="56"/>
    </row>
    <row r="108" spans="1:12" x14ac:dyDescent="0.3">
      <c r="A108" s="22"/>
      <c r="K108" s="24"/>
      <c r="L108" s="56"/>
    </row>
    <row r="109" spans="1:12" x14ac:dyDescent="0.3">
      <c r="A109" s="22"/>
      <c r="K109" s="24"/>
      <c r="L109" s="56"/>
    </row>
    <row r="110" spans="1:12" x14ac:dyDescent="0.3">
      <c r="A110" s="22"/>
      <c r="K110" s="24"/>
      <c r="L110" s="56"/>
    </row>
    <row r="111" spans="1:12" x14ac:dyDescent="0.3">
      <c r="A111" s="22"/>
      <c r="K111" s="24"/>
      <c r="L111" s="56"/>
    </row>
    <row r="112" spans="1:12" x14ac:dyDescent="0.3">
      <c r="A112" s="22"/>
      <c r="K112" s="24"/>
      <c r="L112" s="22"/>
    </row>
    <row r="113" spans="1:12" ht="15" thickBot="1" x14ac:dyDescent="0.35">
      <c r="A113" s="133">
        <f>SUM(A99:A112)</f>
        <v>1415</v>
      </c>
      <c r="K113" s="133">
        <f>SUM(K100:K112)</f>
        <v>1612</v>
      </c>
      <c r="L113" s="156">
        <f t="shared" ref="L113" si="30">SUM(L100:L112)</f>
        <v>0</v>
      </c>
    </row>
    <row r="114" spans="1:12" ht="15" thickBot="1" x14ac:dyDescent="0.35">
      <c r="A114" s="152">
        <v>1415</v>
      </c>
      <c r="K114" s="24">
        <v>1612</v>
      </c>
      <c r="L114" s="24"/>
    </row>
    <row r="115" spans="1:12" ht="15" thickBot="1" x14ac:dyDescent="0.35">
      <c r="A115" s="63">
        <f>A113-A114</f>
        <v>0</v>
      </c>
      <c r="K115" s="144">
        <f>K113-K114</f>
        <v>0</v>
      </c>
      <c r="L115" s="144">
        <f t="shared" ref="L115" si="31">L113-L114</f>
        <v>0</v>
      </c>
    </row>
    <row r="116" spans="1:12" x14ac:dyDescent="0.3">
      <c r="A116" s="63">
        <f>A114-A115</f>
        <v>1415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D9E5-4738-4987-AA37-385518EDA580}">
  <dimension ref="A2:X78"/>
  <sheetViews>
    <sheetView topLeftCell="A10" zoomScaleNormal="100" workbookViewId="0">
      <selection activeCell="F80" sqref="F80"/>
    </sheetView>
  </sheetViews>
  <sheetFormatPr defaultRowHeight="14.4" x14ac:dyDescent="0.3"/>
  <cols>
    <col min="1" max="1" width="10.33203125" customWidth="1"/>
    <col min="2" max="2" width="10.88671875" customWidth="1"/>
    <col min="3" max="3" width="12" customWidth="1"/>
    <col min="4" max="4" width="10.44140625" customWidth="1"/>
    <col min="5" max="5" width="11.6640625" customWidth="1"/>
    <col min="6" max="7" width="12.5546875" customWidth="1"/>
    <col min="8" max="8" width="12.88671875" customWidth="1"/>
    <col min="9" max="9" width="12.6640625" customWidth="1"/>
    <col min="11" max="11" width="12.5546875" customWidth="1"/>
    <col min="12" max="12" width="11.5546875" customWidth="1"/>
    <col min="13" max="13" width="10.5546875" customWidth="1"/>
    <col min="14" max="14" width="10.88671875" customWidth="1"/>
    <col min="15" max="15" width="11" customWidth="1"/>
    <col min="16" max="16" width="12.33203125" customWidth="1"/>
    <col min="17" max="17" width="10.6640625" customWidth="1"/>
    <col min="18" max="19" width="11" customWidth="1"/>
    <col min="21" max="21" width="11.88671875" customWidth="1"/>
    <col min="22" max="22" width="11" customWidth="1"/>
    <col min="23" max="23" width="12.6640625" customWidth="1"/>
    <col min="24" max="24" width="10.6640625" bestFit="1" customWidth="1"/>
  </cols>
  <sheetData>
    <row r="2" spans="1:24" ht="15" thickBot="1" x14ac:dyDescent="0.35"/>
    <row r="3" spans="1:24" x14ac:dyDescent="0.3">
      <c r="A3" s="157">
        <v>45749</v>
      </c>
      <c r="B3" s="157">
        <v>45750</v>
      </c>
      <c r="C3" s="157">
        <v>45751</v>
      </c>
      <c r="D3" s="157">
        <v>45752</v>
      </c>
      <c r="E3" s="157">
        <v>45753</v>
      </c>
      <c r="F3" s="157">
        <v>45754</v>
      </c>
      <c r="G3" s="157">
        <v>45755</v>
      </c>
      <c r="H3" s="17"/>
      <c r="I3" s="13" t="s">
        <v>8</v>
      </c>
      <c r="K3" s="59">
        <v>45749</v>
      </c>
      <c r="L3" s="59"/>
      <c r="M3" s="59">
        <v>45750</v>
      </c>
      <c r="N3" s="59"/>
      <c r="O3" s="59">
        <v>45751</v>
      </c>
      <c r="P3" s="59"/>
      <c r="Q3" s="59">
        <v>45752</v>
      </c>
      <c r="R3" s="59"/>
      <c r="S3" s="59">
        <v>45753</v>
      </c>
      <c r="T3" s="59"/>
      <c r="U3" s="59">
        <v>45754</v>
      </c>
      <c r="V3" s="59"/>
      <c r="W3" s="59">
        <v>45755</v>
      </c>
      <c r="X3" s="59"/>
    </row>
    <row r="4" spans="1:24" ht="15" thickBot="1" x14ac:dyDescent="0.35">
      <c r="A4" s="22">
        <v>1370</v>
      </c>
      <c r="B4" s="22">
        <v>1874.61</v>
      </c>
      <c r="C4" s="22">
        <v>1165</v>
      </c>
      <c r="D4" s="22">
        <v>1240</v>
      </c>
      <c r="E4" s="22">
        <v>410</v>
      </c>
      <c r="F4" s="22">
        <v>2148.52</v>
      </c>
      <c r="G4" s="22">
        <v>1200</v>
      </c>
      <c r="H4" s="37"/>
      <c r="I4" s="15">
        <v>2537.5</v>
      </c>
      <c r="K4" s="124" t="s">
        <v>10</v>
      </c>
      <c r="L4" s="125" t="s">
        <v>11</v>
      </c>
      <c r="M4" s="126" t="s">
        <v>10</v>
      </c>
      <c r="N4" s="126" t="s">
        <v>11</v>
      </c>
      <c r="O4" s="126" t="s">
        <v>10</v>
      </c>
      <c r="P4" s="126" t="s">
        <v>11</v>
      </c>
      <c r="Q4" s="126" t="s">
        <v>10</v>
      </c>
      <c r="R4" s="126" t="s">
        <v>11</v>
      </c>
      <c r="S4" s="126" t="s">
        <v>10</v>
      </c>
      <c r="T4" s="126" t="s">
        <v>11</v>
      </c>
      <c r="U4" s="126" t="s">
        <v>10</v>
      </c>
      <c r="V4" s="126" t="s">
        <v>11</v>
      </c>
      <c r="W4" s="126" t="s">
        <v>10</v>
      </c>
      <c r="X4" s="143" t="s">
        <v>11</v>
      </c>
    </row>
    <row r="5" spans="1:24" x14ac:dyDescent="0.3">
      <c r="A5" s="22">
        <v>2000</v>
      </c>
      <c r="B5" s="22">
        <v>1760</v>
      </c>
      <c r="C5" s="22">
        <v>2505</v>
      </c>
      <c r="D5" s="22">
        <v>1460</v>
      </c>
      <c r="E5" s="22">
        <v>455</v>
      </c>
      <c r="F5" s="22">
        <v>2500</v>
      </c>
      <c r="G5" s="22">
        <v>1990</v>
      </c>
      <c r="H5" s="37"/>
      <c r="I5" s="15">
        <v>6000</v>
      </c>
      <c r="K5" s="75">
        <v>29</v>
      </c>
      <c r="L5" s="76">
        <v>251</v>
      </c>
      <c r="M5" s="77">
        <v>560</v>
      </c>
      <c r="N5" s="77">
        <v>1380</v>
      </c>
      <c r="O5" s="77">
        <v>26</v>
      </c>
      <c r="P5" s="77">
        <v>67.5</v>
      </c>
      <c r="Q5" s="77">
        <v>67.5</v>
      </c>
      <c r="R5" s="77">
        <v>54</v>
      </c>
      <c r="S5" s="63">
        <v>620</v>
      </c>
      <c r="T5" s="22">
        <v>91</v>
      </c>
      <c r="U5" s="63">
        <v>330</v>
      </c>
      <c r="V5" s="63">
        <v>52.5</v>
      </c>
      <c r="W5" s="63">
        <v>300</v>
      </c>
      <c r="X5" s="40">
        <v>67.5</v>
      </c>
    </row>
    <row r="6" spans="1:24" x14ac:dyDescent="0.3">
      <c r="A6" s="26">
        <v>1922.38</v>
      </c>
      <c r="B6" s="26">
        <v>1285</v>
      </c>
      <c r="C6" s="22">
        <v>1874.61</v>
      </c>
      <c r="D6" s="26">
        <v>1174.1300000000001</v>
      </c>
      <c r="E6" s="22"/>
      <c r="F6" s="22">
        <v>1115</v>
      </c>
      <c r="G6" s="22">
        <v>1994.08</v>
      </c>
      <c r="H6" s="37"/>
      <c r="I6" s="15">
        <v>6929.62</v>
      </c>
      <c r="K6" s="21">
        <v>150</v>
      </c>
      <c r="L6" s="79">
        <v>1760</v>
      </c>
      <c r="M6" s="80">
        <v>2900</v>
      </c>
      <c r="N6" s="43">
        <v>92.5</v>
      </c>
      <c r="O6" s="43">
        <v>270</v>
      </c>
      <c r="P6" s="43">
        <v>1260</v>
      </c>
      <c r="Q6" s="43">
        <v>120</v>
      </c>
      <c r="R6" s="80">
        <v>120</v>
      </c>
      <c r="S6" s="22">
        <v>84</v>
      </c>
      <c r="T6" s="22"/>
      <c r="U6" s="22">
        <v>3720</v>
      </c>
      <c r="V6" s="22">
        <v>229.5</v>
      </c>
      <c r="W6" s="22">
        <v>202</v>
      </c>
      <c r="X6" s="27"/>
    </row>
    <row r="7" spans="1:24" x14ac:dyDescent="0.3">
      <c r="A7" s="25"/>
      <c r="B7" s="25"/>
      <c r="C7" s="22"/>
      <c r="D7" s="25"/>
      <c r="E7" s="22"/>
      <c r="F7" s="22"/>
      <c r="G7" s="22"/>
      <c r="H7" s="37"/>
      <c r="I7" s="15">
        <v>5377.76</v>
      </c>
      <c r="K7" s="21">
        <v>318</v>
      </c>
      <c r="L7" s="79">
        <v>1860</v>
      </c>
      <c r="M7" s="81">
        <v>202</v>
      </c>
      <c r="N7" s="43"/>
      <c r="O7" s="43">
        <v>448</v>
      </c>
      <c r="P7" s="43">
        <v>120</v>
      </c>
      <c r="Q7" s="43">
        <v>1260</v>
      </c>
      <c r="R7" s="81">
        <v>364</v>
      </c>
      <c r="S7" s="22"/>
      <c r="T7" s="22"/>
      <c r="U7" s="22">
        <v>437</v>
      </c>
      <c r="V7" s="22"/>
      <c r="W7" s="22">
        <v>2860</v>
      </c>
      <c r="X7" s="27"/>
    </row>
    <row r="8" spans="1:24" x14ac:dyDescent="0.3">
      <c r="A8" s="22"/>
      <c r="B8" s="22"/>
      <c r="C8" s="22"/>
      <c r="D8" s="22"/>
      <c r="E8" s="22"/>
      <c r="F8" s="22"/>
      <c r="G8" s="22"/>
      <c r="H8" s="37"/>
      <c r="I8" s="15"/>
      <c r="K8" s="21">
        <v>3710</v>
      </c>
      <c r="M8" s="43">
        <v>180</v>
      </c>
      <c r="N8" s="43"/>
      <c r="O8" s="43">
        <v>3840</v>
      </c>
      <c r="P8" s="43"/>
      <c r="Q8" s="43"/>
      <c r="R8" s="43">
        <v>2160</v>
      </c>
      <c r="S8" s="22"/>
      <c r="T8" s="22"/>
      <c r="U8" s="22">
        <v>220</v>
      </c>
      <c r="V8" s="22"/>
      <c r="W8" s="22">
        <v>180</v>
      </c>
      <c r="X8" s="27"/>
    </row>
    <row r="9" spans="1:24" ht="15" thickBot="1" x14ac:dyDescent="0.35">
      <c r="A9" s="22"/>
      <c r="B9" s="22"/>
      <c r="C9" s="22"/>
      <c r="D9" s="22"/>
      <c r="E9" s="22"/>
      <c r="F9" s="22"/>
      <c r="G9" s="22"/>
      <c r="H9" s="37"/>
      <c r="I9" s="131"/>
      <c r="K9" s="128">
        <v>240</v>
      </c>
      <c r="L9" s="79"/>
      <c r="M9" s="43"/>
      <c r="N9" s="43"/>
      <c r="O9" s="43">
        <v>320</v>
      </c>
      <c r="P9" s="43"/>
      <c r="Q9" s="43"/>
      <c r="R9" s="43"/>
      <c r="S9" s="22"/>
      <c r="T9" s="22"/>
      <c r="U9" s="22"/>
      <c r="V9" s="22"/>
      <c r="W9" s="22"/>
      <c r="X9" s="27"/>
    </row>
    <row r="10" spans="1:24" ht="15.6" thickTop="1" thickBot="1" x14ac:dyDescent="0.35">
      <c r="A10" s="22"/>
      <c r="B10" s="22"/>
      <c r="C10" s="22"/>
      <c r="D10" s="22"/>
      <c r="E10" s="22"/>
      <c r="F10" s="22"/>
      <c r="G10" s="37"/>
      <c r="H10" s="37"/>
      <c r="I10" s="132">
        <f>SUM(I4:I9)</f>
        <v>20844.879999999997</v>
      </c>
      <c r="K10" s="21"/>
      <c r="L10" s="79"/>
      <c r="M10" s="43"/>
      <c r="N10" s="43"/>
      <c r="O10" s="43"/>
      <c r="P10" s="43"/>
      <c r="Q10" s="77"/>
      <c r="R10" s="43"/>
      <c r="S10" s="22"/>
      <c r="T10" s="22"/>
      <c r="U10" s="22"/>
      <c r="V10" s="22"/>
      <c r="W10" s="22"/>
      <c r="X10" s="27"/>
    </row>
    <row r="11" spans="1:24" ht="15" thickTop="1" x14ac:dyDescent="0.3">
      <c r="A11" s="22"/>
      <c r="B11" s="22"/>
      <c r="C11" s="22"/>
      <c r="D11" s="22"/>
      <c r="E11" s="22"/>
      <c r="F11" s="22"/>
      <c r="G11" s="22"/>
      <c r="H11" s="37"/>
      <c r="I11" s="40"/>
      <c r="K11" s="24"/>
      <c r="L11" s="56"/>
      <c r="M11" s="22"/>
      <c r="N11" s="22"/>
      <c r="O11" s="22"/>
      <c r="P11" s="22"/>
      <c r="Q11" s="43"/>
      <c r="R11" s="22"/>
      <c r="S11" s="22"/>
      <c r="T11" s="22"/>
      <c r="U11" s="22"/>
      <c r="V11" s="22"/>
      <c r="W11" s="22"/>
      <c r="X11" s="27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27"/>
      <c r="K12" s="24"/>
      <c r="L12" s="56"/>
      <c r="M12" s="22"/>
      <c r="N12" s="22"/>
      <c r="O12" s="22"/>
      <c r="P12" s="22"/>
      <c r="Q12" s="43"/>
      <c r="R12" s="22"/>
      <c r="S12" s="22"/>
      <c r="T12" s="22"/>
      <c r="U12" s="22"/>
      <c r="V12" s="22"/>
      <c r="W12" s="22"/>
      <c r="X12" s="27"/>
    </row>
    <row r="13" spans="1:24" x14ac:dyDescent="0.3">
      <c r="A13" s="22"/>
      <c r="B13" s="22"/>
      <c r="C13" s="22"/>
      <c r="D13" s="22"/>
      <c r="E13" s="22"/>
      <c r="F13" s="22"/>
      <c r="G13" s="22"/>
      <c r="H13" s="37"/>
      <c r="I13" s="27"/>
      <c r="K13" s="24"/>
      <c r="L13" s="56"/>
      <c r="M13" s="22"/>
      <c r="N13" s="22"/>
      <c r="O13" s="22"/>
      <c r="P13" s="22"/>
      <c r="Q13" s="43"/>
      <c r="R13" s="22"/>
      <c r="S13" s="22"/>
      <c r="T13" s="22"/>
      <c r="U13" s="22"/>
      <c r="V13" s="22"/>
      <c r="W13" s="22"/>
      <c r="X13" s="27"/>
    </row>
    <row r="14" spans="1:24" x14ac:dyDescent="0.3">
      <c r="A14" s="22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43"/>
      <c r="R14" s="22"/>
      <c r="S14" s="22"/>
      <c r="T14" s="22"/>
      <c r="U14" s="22"/>
      <c r="V14" s="22"/>
      <c r="W14" s="22"/>
      <c r="X14" s="27"/>
    </row>
    <row r="15" spans="1:24" ht="15" thickBot="1" x14ac:dyDescent="0.35">
      <c r="A15" s="22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35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ht="15" thickTop="1" x14ac:dyDescent="0.3">
      <c r="A16" s="22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63"/>
      <c r="O16" s="22"/>
      <c r="P16" s="22"/>
      <c r="Q16" s="22"/>
      <c r="R16" s="22"/>
      <c r="S16" s="22"/>
      <c r="T16" s="22"/>
      <c r="U16" s="22"/>
      <c r="V16" s="22"/>
      <c r="W16" s="22"/>
      <c r="X16" s="27"/>
    </row>
    <row r="17" spans="1:24" x14ac:dyDescent="0.3">
      <c r="A17" s="22"/>
      <c r="B17" s="22"/>
      <c r="C17" s="22"/>
      <c r="D17" s="22"/>
      <c r="E17" s="22"/>
      <c r="F17" s="22"/>
      <c r="G17" s="22"/>
      <c r="H17" s="22"/>
      <c r="I17" s="23"/>
      <c r="K17" s="24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7"/>
    </row>
    <row r="18" spans="1:24" ht="15" thickBot="1" x14ac:dyDescent="0.35">
      <c r="A18" s="133">
        <f t="shared" ref="A18:G18" si="0">SUM(A4:A17)</f>
        <v>5292.38</v>
      </c>
      <c r="B18" s="133">
        <f t="shared" si="0"/>
        <v>4919.6099999999997</v>
      </c>
      <c r="C18" s="133">
        <f t="shared" si="0"/>
        <v>5544.61</v>
      </c>
      <c r="D18" s="133">
        <f t="shared" si="0"/>
        <v>3874.13</v>
      </c>
      <c r="E18" s="133">
        <f t="shared" si="0"/>
        <v>865</v>
      </c>
      <c r="F18" s="133">
        <f t="shared" si="0"/>
        <v>5763.52</v>
      </c>
      <c r="G18" s="133">
        <f t="shared" si="0"/>
        <v>5184.08</v>
      </c>
      <c r="H18" s="149">
        <f>SUM(A18:G18)+I10</f>
        <v>52288.21</v>
      </c>
      <c r="I18" s="150" t="s">
        <v>7</v>
      </c>
      <c r="K18" s="34">
        <f>SUM(K5:K17)</f>
        <v>4447</v>
      </c>
      <c r="L18" s="16">
        <f t="shared" ref="L18:S18" si="1">SUM(L5:L17)</f>
        <v>3871</v>
      </c>
      <c r="M18" s="34">
        <f t="shared" si="1"/>
        <v>3842</v>
      </c>
      <c r="N18" s="34">
        <f t="shared" si="1"/>
        <v>1472.5</v>
      </c>
      <c r="O18" s="34">
        <f t="shared" si="1"/>
        <v>4904</v>
      </c>
      <c r="P18" s="34">
        <f t="shared" si="1"/>
        <v>1447.5</v>
      </c>
      <c r="Q18" s="34">
        <f t="shared" si="1"/>
        <v>1447.5</v>
      </c>
      <c r="R18" s="34">
        <f t="shared" si="1"/>
        <v>2698</v>
      </c>
      <c r="S18" s="34">
        <f t="shared" si="1"/>
        <v>704</v>
      </c>
      <c r="T18" s="34">
        <v>0</v>
      </c>
      <c r="U18" s="34">
        <f t="shared" ref="U18:X19" si="2">SUM(U5:U17)</f>
        <v>4707</v>
      </c>
      <c r="V18" s="34">
        <f t="shared" si="2"/>
        <v>282</v>
      </c>
      <c r="W18" s="34">
        <f t="shared" si="2"/>
        <v>3542</v>
      </c>
      <c r="X18" s="16">
        <f t="shared" si="2"/>
        <v>67.5</v>
      </c>
    </row>
    <row r="19" spans="1:24" ht="15.6" thickTop="1" thickBot="1" x14ac:dyDescent="0.35">
      <c r="A19" s="22">
        <v>5292.38</v>
      </c>
      <c r="B19" s="22">
        <v>4919.6099999999997</v>
      </c>
      <c r="C19" s="22">
        <v>5544.61</v>
      </c>
      <c r="D19" s="22">
        <v>3874.13</v>
      </c>
      <c r="E19" s="22">
        <v>865</v>
      </c>
      <c r="F19" s="22">
        <v>5763.52</v>
      </c>
      <c r="G19" s="22">
        <v>5184.08</v>
      </c>
      <c r="H19" s="149">
        <f>SUM(A19:G19)+I10</f>
        <v>52288.21</v>
      </c>
      <c r="I19" s="151" t="s">
        <v>1</v>
      </c>
      <c r="K19" s="158">
        <v>4447</v>
      </c>
      <c r="L19" s="156">
        <v>3871</v>
      </c>
      <c r="M19" s="158">
        <v>3842</v>
      </c>
      <c r="N19" s="158">
        <v>1472.5</v>
      </c>
      <c r="O19" s="158">
        <v>4904</v>
      </c>
      <c r="P19" s="158">
        <v>1447.5</v>
      </c>
      <c r="Q19" s="158">
        <v>1447.5</v>
      </c>
      <c r="R19" s="158">
        <v>2698</v>
      </c>
      <c r="S19" s="158">
        <v>704</v>
      </c>
      <c r="T19" s="158">
        <v>91</v>
      </c>
      <c r="U19" s="158">
        <f>1716+2991</f>
        <v>4707</v>
      </c>
      <c r="V19" s="158">
        <v>282</v>
      </c>
      <c r="W19" s="158">
        <v>3542</v>
      </c>
      <c r="X19" s="156">
        <f t="shared" si="2"/>
        <v>67.5</v>
      </c>
    </row>
    <row r="20" spans="1:24" ht="15" thickBot="1" x14ac:dyDescent="0.35">
      <c r="A20" s="63">
        <f t="shared" ref="A20:G20" si="3">A18-A19</f>
        <v>0</v>
      </c>
      <c r="B20" s="63">
        <f t="shared" si="3"/>
        <v>0</v>
      </c>
      <c r="C20" s="63">
        <f t="shared" si="3"/>
        <v>0</v>
      </c>
      <c r="D20" s="63">
        <f t="shared" si="3"/>
        <v>0</v>
      </c>
      <c r="E20" s="63">
        <f t="shared" si="3"/>
        <v>0</v>
      </c>
      <c r="F20" s="63">
        <f t="shared" si="3"/>
        <v>0</v>
      </c>
      <c r="G20" s="63">
        <f t="shared" si="3"/>
        <v>0</v>
      </c>
      <c r="H20" s="63">
        <f>H18-H19</f>
        <v>0</v>
      </c>
      <c r="I20" s="22">
        <f>SUM(I14:I19)</f>
        <v>0</v>
      </c>
      <c r="K20" s="152">
        <f>K18-K19</f>
        <v>0</v>
      </c>
      <c r="L20" s="152">
        <f t="shared" ref="L20:S20" si="4">L18-L19</f>
        <v>0</v>
      </c>
      <c r="M20" s="152">
        <f t="shared" si="4"/>
        <v>0</v>
      </c>
      <c r="N20" s="152">
        <f t="shared" si="4"/>
        <v>0</v>
      </c>
      <c r="O20" s="152">
        <f t="shared" si="4"/>
        <v>0</v>
      </c>
      <c r="P20" s="152">
        <f t="shared" si="4"/>
        <v>0</v>
      </c>
      <c r="Q20" s="152">
        <f t="shared" si="4"/>
        <v>0</v>
      </c>
      <c r="R20" s="152">
        <f t="shared" si="4"/>
        <v>0</v>
      </c>
      <c r="S20" s="152">
        <f t="shared" si="4"/>
        <v>0</v>
      </c>
      <c r="T20" s="152">
        <v>0</v>
      </c>
      <c r="U20" s="152">
        <f t="shared" ref="U20:X20" si="5">U18-U19</f>
        <v>0</v>
      </c>
      <c r="V20" s="152">
        <f t="shared" si="5"/>
        <v>0</v>
      </c>
      <c r="W20" s="152">
        <f t="shared" si="5"/>
        <v>0</v>
      </c>
      <c r="X20" s="146">
        <f t="shared" si="5"/>
        <v>0</v>
      </c>
    </row>
    <row r="21" spans="1:24" ht="15" thickBot="1" x14ac:dyDescent="0.35"/>
    <row r="22" spans="1:24" x14ac:dyDescent="0.3">
      <c r="A22" s="157">
        <v>45756</v>
      </c>
      <c r="B22" s="157">
        <v>45757</v>
      </c>
      <c r="C22" s="157">
        <v>45758</v>
      </c>
      <c r="D22" s="157">
        <v>45759</v>
      </c>
      <c r="E22" s="157">
        <v>350</v>
      </c>
      <c r="F22" s="157">
        <v>45761</v>
      </c>
      <c r="G22" s="157">
        <v>45762</v>
      </c>
      <c r="H22" s="17"/>
      <c r="I22" s="13" t="s">
        <v>8</v>
      </c>
      <c r="K22" s="59">
        <v>45756</v>
      </c>
      <c r="L22" s="59"/>
      <c r="M22" s="59">
        <v>45757</v>
      </c>
      <c r="N22" s="59"/>
      <c r="O22" s="59">
        <v>45758</v>
      </c>
      <c r="P22" s="59"/>
      <c r="Q22" s="59">
        <v>45759</v>
      </c>
      <c r="R22" s="59"/>
      <c r="S22" s="59">
        <v>45760</v>
      </c>
      <c r="T22" s="59"/>
      <c r="U22" s="59">
        <v>45761</v>
      </c>
      <c r="V22" s="59"/>
      <c r="W22" s="59">
        <v>45762</v>
      </c>
      <c r="X22" s="59"/>
    </row>
    <row r="23" spans="1:24" ht="15" thickBot="1" x14ac:dyDescent="0.35">
      <c r="A23" s="22">
        <v>1252.5</v>
      </c>
      <c r="B23" s="22">
        <v>1270</v>
      </c>
      <c r="C23" s="22">
        <v>1040</v>
      </c>
      <c r="D23" s="22">
        <v>1155</v>
      </c>
      <c r="E23" s="22">
        <v>350</v>
      </c>
      <c r="F23" s="22">
        <v>835</v>
      </c>
      <c r="G23" s="22">
        <v>1015</v>
      </c>
      <c r="H23" s="37"/>
      <c r="I23" s="15">
        <v>1927.5</v>
      </c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43" t="s">
        <v>11</v>
      </c>
    </row>
    <row r="24" spans="1:24" x14ac:dyDescent="0.3">
      <c r="A24" s="22">
        <v>2600</v>
      </c>
      <c r="B24" s="22">
        <v>2220</v>
      </c>
      <c r="C24" s="22">
        <v>2385</v>
      </c>
      <c r="D24" s="22">
        <v>1265</v>
      </c>
      <c r="E24" s="22">
        <v>505</v>
      </c>
      <c r="F24" s="22">
        <v>2425</v>
      </c>
      <c r="G24" s="22">
        <v>2420</v>
      </c>
      <c r="H24" s="37"/>
      <c r="I24" s="15">
        <v>8000</v>
      </c>
      <c r="K24" s="75">
        <v>29</v>
      </c>
      <c r="L24" s="76">
        <v>57.5</v>
      </c>
      <c r="M24" s="77">
        <v>300</v>
      </c>
      <c r="N24" s="77">
        <v>52.5</v>
      </c>
      <c r="O24" s="77">
        <v>26</v>
      </c>
      <c r="P24" s="77">
        <v>75</v>
      </c>
      <c r="Q24" s="77">
        <v>28</v>
      </c>
      <c r="R24" s="77">
        <v>50</v>
      </c>
      <c r="S24" s="63">
        <v>84</v>
      </c>
      <c r="T24" s="22">
        <v>15</v>
      </c>
      <c r="U24" s="63">
        <v>330</v>
      </c>
      <c r="V24" s="63">
        <v>47.5</v>
      </c>
      <c r="W24" s="63">
        <v>52</v>
      </c>
      <c r="X24" s="40">
        <v>60</v>
      </c>
    </row>
    <row r="25" spans="1:24" x14ac:dyDescent="0.3">
      <c r="A25" s="26">
        <v>1994.08</v>
      </c>
      <c r="B25" s="26">
        <v>2084.1</v>
      </c>
      <c r="C25" s="22">
        <v>1949.07</v>
      </c>
      <c r="D25" s="26">
        <v>823.4</v>
      </c>
      <c r="E25" s="22"/>
      <c r="F25" s="22">
        <v>1659.6</v>
      </c>
      <c r="G25" s="22">
        <v>1994.08</v>
      </c>
      <c r="H25" s="37"/>
      <c r="I25" s="15">
        <v>5605.14</v>
      </c>
      <c r="K25" s="21">
        <v>300</v>
      </c>
      <c r="L25" s="79">
        <v>245</v>
      </c>
      <c r="M25" s="80">
        <v>202</v>
      </c>
      <c r="N25" s="43">
        <v>330</v>
      </c>
      <c r="O25" s="43">
        <v>360</v>
      </c>
      <c r="P25" s="43">
        <v>50</v>
      </c>
      <c r="Q25" s="43">
        <v>210</v>
      </c>
      <c r="R25" s="80">
        <v>120</v>
      </c>
      <c r="S25" s="22">
        <v>530</v>
      </c>
      <c r="T25" s="22"/>
      <c r="U25" s="22">
        <v>362</v>
      </c>
      <c r="V25" s="22">
        <v>60</v>
      </c>
      <c r="W25" s="22">
        <v>240</v>
      </c>
      <c r="X25" s="27">
        <v>925</v>
      </c>
    </row>
    <row r="26" spans="1:24" x14ac:dyDescent="0.3">
      <c r="A26" s="25"/>
      <c r="B26" s="25"/>
      <c r="C26" s="22"/>
      <c r="D26" s="25"/>
      <c r="E26" s="22"/>
      <c r="F26" s="22"/>
      <c r="G26" s="22"/>
      <c r="H26" s="37"/>
      <c r="I26" s="15">
        <v>5660.8</v>
      </c>
      <c r="K26" s="21">
        <v>418</v>
      </c>
      <c r="L26" s="79"/>
      <c r="M26" s="81">
        <v>3440</v>
      </c>
      <c r="N26" s="43"/>
      <c r="O26" s="43">
        <v>486</v>
      </c>
      <c r="P26" s="43"/>
      <c r="Q26" s="43">
        <v>224</v>
      </c>
      <c r="R26" s="81"/>
      <c r="S26" s="22"/>
      <c r="T26" s="22"/>
      <c r="U26" s="22">
        <v>3905</v>
      </c>
      <c r="V26" s="22"/>
      <c r="W26" s="22">
        <v>286</v>
      </c>
      <c r="X26" s="27">
        <v>409.5</v>
      </c>
    </row>
    <row r="27" spans="1:24" x14ac:dyDescent="0.3">
      <c r="A27" s="22"/>
      <c r="B27" s="22"/>
      <c r="C27" s="22"/>
      <c r="D27" s="22"/>
      <c r="E27" s="22"/>
      <c r="F27" s="22"/>
      <c r="G27" s="22"/>
      <c r="H27" s="37"/>
      <c r="I27" s="15">
        <v>1980</v>
      </c>
      <c r="K27" s="21">
        <v>4710</v>
      </c>
      <c r="M27" s="43">
        <v>420</v>
      </c>
      <c r="N27" s="43"/>
      <c r="O27" s="43">
        <v>3780</v>
      </c>
      <c r="P27" s="43"/>
      <c r="Q27" s="43">
        <v>1470</v>
      </c>
      <c r="R27" s="43"/>
      <c r="S27" s="22"/>
      <c r="T27" s="22"/>
      <c r="U27" s="22">
        <v>420</v>
      </c>
      <c r="V27" s="22"/>
      <c r="W27" s="22">
        <v>2930</v>
      </c>
      <c r="X27" s="27"/>
    </row>
    <row r="28" spans="1:24" ht="15" thickBot="1" x14ac:dyDescent="0.35">
      <c r="A28" s="22"/>
      <c r="B28" s="22"/>
      <c r="C28" s="22"/>
      <c r="D28" s="22"/>
      <c r="E28" s="22"/>
      <c r="F28" s="22"/>
      <c r="G28" s="22"/>
      <c r="H28" s="37"/>
      <c r="I28" s="131">
        <v>244.46</v>
      </c>
      <c r="K28" s="128">
        <v>180</v>
      </c>
      <c r="L28" s="79"/>
      <c r="M28" s="43"/>
      <c r="N28" s="43"/>
      <c r="O28" s="43">
        <v>540</v>
      </c>
      <c r="P28" s="43"/>
      <c r="Q28" s="43"/>
      <c r="R28" s="43"/>
      <c r="S28" s="22"/>
      <c r="T28" s="22"/>
      <c r="U28" s="22"/>
      <c r="V28" s="22"/>
      <c r="W28" s="22">
        <v>300</v>
      </c>
      <c r="X28" s="27"/>
    </row>
    <row r="29" spans="1:24" ht="15.6" thickTop="1" thickBot="1" x14ac:dyDescent="0.35">
      <c r="A29" s="22"/>
      <c r="B29" s="22"/>
      <c r="C29" s="22"/>
      <c r="D29" s="22"/>
      <c r="E29" s="22"/>
      <c r="F29" s="22"/>
      <c r="G29" s="37"/>
      <c r="H29" s="37"/>
      <c r="I29" s="132">
        <f>SUM(I23:I28)</f>
        <v>23417.899999999998</v>
      </c>
      <c r="K29" s="21"/>
      <c r="L29" s="79"/>
      <c r="M29" s="43"/>
      <c r="N29" s="43"/>
      <c r="O29" s="43"/>
      <c r="P29" s="43"/>
      <c r="Q29" s="77"/>
      <c r="R29" s="43"/>
      <c r="S29" s="22"/>
      <c r="T29" s="22"/>
      <c r="U29" s="22"/>
      <c r="V29" s="22"/>
      <c r="W29" s="22"/>
      <c r="X29" s="27"/>
    </row>
    <row r="30" spans="1:24" ht="15" thickTop="1" x14ac:dyDescent="0.3">
      <c r="A30" s="22"/>
      <c r="B30" s="22"/>
      <c r="C30" s="22"/>
      <c r="D30" s="22"/>
      <c r="E30" s="22"/>
      <c r="F30" s="22"/>
      <c r="G30" s="22"/>
      <c r="H30" s="37"/>
      <c r="I30" s="40"/>
      <c r="K30" s="24"/>
      <c r="L30" s="56"/>
      <c r="M30" s="22"/>
      <c r="N30" s="22"/>
      <c r="O30" s="22"/>
      <c r="P30" s="22"/>
      <c r="Q30" s="43"/>
      <c r="R30" s="22"/>
      <c r="S30" s="22"/>
      <c r="T30" s="22"/>
      <c r="U30" s="22"/>
      <c r="V30" s="22"/>
      <c r="W30" s="22"/>
      <c r="X30" s="27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27"/>
      <c r="K31" s="24"/>
      <c r="L31" s="56"/>
      <c r="M31" s="22"/>
      <c r="N31" s="22"/>
      <c r="O31" s="22"/>
      <c r="P31" s="22"/>
      <c r="Q31" s="43"/>
      <c r="R31" s="22"/>
      <c r="S31" s="22"/>
      <c r="T31" s="22"/>
      <c r="U31" s="22"/>
      <c r="V31" s="22"/>
      <c r="W31" s="22"/>
      <c r="X31" s="27"/>
    </row>
    <row r="32" spans="1:24" x14ac:dyDescent="0.3">
      <c r="A32" s="22"/>
      <c r="B32" s="22"/>
      <c r="C32" s="22"/>
      <c r="D32" s="22"/>
      <c r="E32" s="22"/>
      <c r="F32" s="22"/>
      <c r="G32" s="22"/>
      <c r="H32" s="37"/>
      <c r="I32" s="27"/>
      <c r="K32" s="24"/>
      <c r="L32" s="56"/>
      <c r="M32" s="22"/>
      <c r="N32" s="22"/>
      <c r="O32" s="22"/>
      <c r="P32" s="22"/>
      <c r="Q32" s="43"/>
      <c r="R32" s="22"/>
      <c r="S32" s="22"/>
      <c r="T32" s="22"/>
      <c r="U32" s="22"/>
      <c r="V32" s="22"/>
      <c r="W32" s="22"/>
      <c r="X32" s="27"/>
    </row>
    <row r="33" spans="1:24" x14ac:dyDescent="0.3">
      <c r="A33" s="22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22"/>
      <c r="O33" s="22"/>
      <c r="P33" s="22"/>
      <c r="Q33" s="43"/>
      <c r="R33" s="22"/>
      <c r="S33" s="22"/>
      <c r="T33" s="22"/>
      <c r="U33" s="22"/>
      <c r="V33" s="22"/>
      <c r="W33" s="22"/>
      <c r="X33" s="27"/>
    </row>
    <row r="34" spans="1:24" ht="15" thickBot="1" x14ac:dyDescent="0.35">
      <c r="A34" s="22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35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ht="15" thickTop="1" x14ac:dyDescent="0.3">
      <c r="A35" s="22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63"/>
      <c r="O35" s="22"/>
      <c r="P35" s="22"/>
      <c r="Q35" s="22"/>
      <c r="R35" s="22"/>
      <c r="S35" s="22"/>
      <c r="T35" s="22"/>
      <c r="U35" s="22"/>
      <c r="V35" s="22"/>
      <c r="W35" s="22"/>
      <c r="X35" s="27"/>
    </row>
    <row r="36" spans="1:24" x14ac:dyDescent="0.3">
      <c r="A36" s="22"/>
      <c r="B36" s="22"/>
      <c r="C36" s="22"/>
      <c r="D36" s="22"/>
      <c r="E36" s="22"/>
      <c r="F36" s="22"/>
      <c r="G36" s="22"/>
      <c r="H36" s="22"/>
      <c r="I36" s="23"/>
      <c r="K36" s="2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7"/>
    </row>
    <row r="37" spans="1:24" ht="15" thickBot="1" x14ac:dyDescent="0.35">
      <c r="A37" s="133">
        <f t="shared" ref="A37" si="6">SUM(A23:A36)</f>
        <v>5846.58</v>
      </c>
      <c r="B37" s="133">
        <f t="shared" ref="B37:C37" si="7">SUM(B23:B36)</f>
        <v>5574.1</v>
      </c>
      <c r="C37" s="133">
        <f t="shared" si="7"/>
        <v>5374.07</v>
      </c>
      <c r="D37" s="133">
        <f t="shared" ref="D37:G37" si="8">SUM(D23:D36)</f>
        <v>3243.4</v>
      </c>
      <c r="E37" s="133">
        <f t="shared" si="8"/>
        <v>855</v>
      </c>
      <c r="F37" s="133">
        <f t="shared" si="8"/>
        <v>4919.6000000000004</v>
      </c>
      <c r="G37" s="133">
        <f t="shared" si="8"/>
        <v>5429.08</v>
      </c>
      <c r="H37" s="149">
        <f>SUM(A37:G37)+I29</f>
        <v>54659.729999999996</v>
      </c>
      <c r="I37" s="150" t="s">
        <v>7</v>
      </c>
      <c r="K37" s="34">
        <f>SUM(K24:K36)</f>
        <v>5637</v>
      </c>
      <c r="L37" s="16">
        <f t="shared" ref="L37:S37" si="9">SUM(L24:L36)</f>
        <v>302.5</v>
      </c>
      <c r="M37" s="34">
        <f t="shared" si="9"/>
        <v>4362</v>
      </c>
      <c r="N37" s="34">
        <f t="shared" si="9"/>
        <v>382.5</v>
      </c>
      <c r="O37" s="34">
        <f t="shared" si="9"/>
        <v>5192</v>
      </c>
      <c r="P37" s="34">
        <f t="shared" si="9"/>
        <v>125</v>
      </c>
      <c r="Q37" s="34">
        <f t="shared" si="9"/>
        <v>1932</v>
      </c>
      <c r="R37" s="34">
        <f t="shared" si="9"/>
        <v>170</v>
      </c>
      <c r="S37" s="34">
        <f t="shared" si="9"/>
        <v>614</v>
      </c>
      <c r="T37" s="34">
        <v>0</v>
      </c>
      <c r="U37" s="34">
        <f t="shared" ref="U37:X37" si="10">SUM(U24:U36)</f>
        <v>5017</v>
      </c>
      <c r="V37" s="34">
        <f t="shared" si="10"/>
        <v>107.5</v>
      </c>
      <c r="W37" s="34">
        <f t="shared" si="10"/>
        <v>3808</v>
      </c>
      <c r="X37" s="16">
        <f t="shared" si="10"/>
        <v>1394.5</v>
      </c>
    </row>
    <row r="38" spans="1:24" ht="15.6" thickTop="1" thickBot="1" x14ac:dyDescent="0.35">
      <c r="A38" s="133">
        <v>5846.58</v>
      </c>
      <c r="B38" s="133">
        <v>5574.1</v>
      </c>
      <c r="C38" s="133">
        <v>5374.07</v>
      </c>
      <c r="D38" s="133">
        <v>3243.4</v>
      </c>
      <c r="E38" s="133">
        <v>855</v>
      </c>
      <c r="F38" s="133">
        <v>4919.6000000000004</v>
      </c>
      <c r="G38" s="133">
        <v>5429.08</v>
      </c>
      <c r="H38" s="149">
        <f>SUM(A38:G38)+I29</f>
        <v>54659.729999999996</v>
      </c>
      <c r="I38" s="151" t="s">
        <v>1</v>
      </c>
      <c r="K38" s="34">
        <v>5637</v>
      </c>
      <c r="L38" s="34">
        <v>302.5</v>
      </c>
      <c r="M38" s="34">
        <v>4362</v>
      </c>
      <c r="N38" s="34">
        <v>382.5</v>
      </c>
      <c r="O38" s="34">
        <v>5192</v>
      </c>
      <c r="P38" s="34">
        <v>125</v>
      </c>
      <c r="Q38" s="34">
        <v>1932</v>
      </c>
      <c r="R38" s="34">
        <v>170</v>
      </c>
      <c r="S38" s="34">
        <v>614</v>
      </c>
      <c r="T38" s="34">
        <v>15</v>
      </c>
      <c r="U38" s="34">
        <v>5017</v>
      </c>
      <c r="V38" s="34">
        <v>107.5</v>
      </c>
      <c r="W38" s="34">
        <v>3808</v>
      </c>
      <c r="X38" s="156">
        <v>1394.5</v>
      </c>
    </row>
    <row r="39" spans="1:24" ht="15.6" thickTop="1" thickBot="1" x14ac:dyDescent="0.35">
      <c r="A39" s="63">
        <f t="shared" ref="A39:G39" si="11">A37-A38</f>
        <v>0</v>
      </c>
      <c r="B39" s="63">
        <f t="shared" si="11"/>
        <v>0</v>
      </c>
      <c r="C39" s="63">
        <f t="shared" si="11"/>
        <v>0</v>
      </c>
      <c r="D39" s="63">
        <f t="shared" si="11"/>
        <v>0</v>
      </c>
      <c r="E39" s="63">
        <f t="shared" si="11"/>
        <v>0</v>
      </c>
      <c r="F39" s="63">
        <f t="shared" si="11"/>
        <v>0</v>
      </c>
      <c r="G39" s="63">
        <f t="shared" si="11"/>
        <v>0</v>
      </c>
      <c r="H39" s="63">
        <f>H37-H38</f>
        <v>0</v>
      </c>
      <c r="I39" s="22">
        <f>SUM(I33:I38)</f>
        <v>0</v>
      </c>
      <c r="K39" s="152">
        <f>K37-K38</f>
        <v>0</v>
      </c>
      <c r="L39" s="152">
        <f t="shared" ref="L39:S39" si="12">L37-L38</f>
        <v>0</v>
      </c>
      <c r="M39" s="152">
        <f t="shared" si="12"/>
        <v>0</v>
      </c>
      <c r="N39" s="152">
        <f t="shared" si="12"/>
        <v>0</v>
      </c>
      <c r="O39" s="152">
        <f t="shared" si="12"/>
        <v>0</v>
      </c>
      <c r="P39" s="152">
        <f t="shared" si="12"/>
        <v>0</v>
      </c>
      <c r="Q39" s="152">
        <f t="shared" si="12"/>
        <v>0</v>
      </c>
      <c r="R39" s="152">
        <f t="shared" si="12"/>
        <v>0</v>
      </c>
      <c r="S39" s="152">
        <f t="shared" si="12"/>
        <v>0</v>
      </c>
      <c r="T39" s="152">
        <v>0</v>
      </c>
      <c r="U39" s="152">
        <f t="shared" ref="U39:X39" si="13">U37-U38</f>
        <v>0</v>
      </c>
      <c r="V39" s="152">
        <f t="shared" si="13"/>
        <v>0</v>
      </c>
      <c r="W39" s="152">
        <f t="shared" si="13"/>
        <v>0</v>
      </c>
      <c r="X39" s="146">
        <f t="shared" si="13"/>
        <v>0</v>
      </c>
    </row>
    <row r="40" spans="1:24" ht="15" thickBot="1" x14ac:dyDescent="0.35"/>
    <row r="41" spans="1:24" x14ac:dyDescent="0.3">
      <c r="A41" s="157" t="s">
        <v>58</v>
      </c>
      <c r="B41" s="157">
        <v>45764</v>
      </c>
      <c r="C41" s="157">
        <v>45765</v>
      </c>
      <c r="D41" s="157">
        <v>45766</v>
      </c>
      <c r="E41" s="157">
        <v>355</v>
      </c>
      <c r="F41" s="157">
        <v>45768</v>
      </c>
      <c r="G41" s="157">
        <v>45769</v>
      </c>
      <c r="H41" s="17"/>
      <c r="I41" s="13" t="s">
        <v>8</v>
      </c>
      <c r="K41" s="59">
        <v>45763</v>
      </c>
      <c r="L41" s="59"/>
      <c r="M41" s="59">
        <v>45764</v>
      </c>
      <c r="N41" s="59"/>
      <c r="O41" s="59">
        <v>45765</v>
      </c>
      <c r="P41" s="59"/>
      <c r="Q41" s="59">
        <v>45766</v>
      </c>
      <c r="R41" s="59"/>
      <c r="S41" s="59">
        <v>45767</v>
      </c>
      <c r="T41" s="59"/>
      <c r="U41" s="59">
        <v>45768</v>
      </c>
      <c r="V41" s="59"/>
      <c r="W41" s="59">
        <v>45769</v>
      </c>
      <c r="X41" s="59"/>
    </row>
    <row r="42" spans="1:24" ht="15" thickBot="1" x14ac:dyDescent="0.35">
      <c r="A42" s="22">
        <v>1270</v>
      </c>
      <c r="B42" s="22">
        <v>710</v>
      </c>
      <c r="C42" s="22">
        <v>2370</v>
      </c>
      <c r="D42" s="22">
        <v>1035</v>
      </c>
      <c r="E42" s="22">
        <v>570</v>
      </c>
      <c r="F42" s="22">
        <v>1210</v>
      </c>
      <c r="G42" s="22">
        <v>1105</v>
      </c>
      <c r="H42" s="37"/>
      <c r="I42" s="15">
        <v>6400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2">
        <v>2025</v>
      </c>
      <c r="B43" s="22">
        <v>1335</v>
      </c>
      <c r="C43" s="22">
        <v>990</v>
      </c>
      <c r="D43" s="22">
        <v>925</v>
      </c>
      <c r="E43" s="22"/>
      <c r="F43" s="22">
        <v>2365</v>
      </c>
      <c r="G43" s="22">
        <v>2085</v>
      </c>
      <c r="H43" s="37"/>
      <c r="I43" s="15">
        <v>1200</v>
      </c>
      <c r="K43" s="75">
        <v>28</v>
      </c>
      <c r="L43" s="76">
        <v>50</v>
      </c>
      <c r="M43" s="77">
        <v>600</v>
      </c>
      <c r="N43" s="77">
        <v>40</v>
      </c>
      <c r="O43" s="77">
        <v>3650</v>
      </c>
      <c r="P43" s="77">
        <v>60</v>
      </c>
      <c r="Q43" s="77">
        <v>28</v>
      </c>
      <c r="R43" s="77">
        <v>57.5</v>
      </c>
      <c r="S43" s="63">
        <v>84</v>
      </c>
      <c r="T43" s="22">
        <v>15</v>
      </c>
      <c r="U43" s="63">
        <v>270</v>
      </c>
      <c r="V43" s="63">
        <v>107.5</v>
      </c>
      <c r="W43" s="63">
        <v>27</v>
      </c>
      <c r="X43" s="40">
        <v>57.5</v>
      </c>
    </row>
    <row r="44" spans="1:24" x14ac:dyDescent="0.3">
      <c r="A44" s="26">
        <v>2209.09</v>
      </c>
      <c r="B44" s="26">
        <v>2071.3000000000002</v>
      </c>
      <c r="C44" s="22"/>
      <c r="D44" s="26">
        <v>1248.5899999999999</v>
      </c>
      <c r="E44" s="22"/>
      <c r="F44" s="22"/>
      <c r="G44" s="22">
        <v>2363.5300000000002</v>
      </c>
      <c r="H44" s="37"/>
      <c r="I44" s="15">
        <v>2527.5</v>
      </c>
      <c r="K44" s="21">
        <v>330</v>
      </c>
      <c r="L44" s="79">
        <v>221.2</v>
      </c>
      <c r="M44" s="80">
        <v>3650</v>
      </c>
      <c r="N44" s="43"/>
      <c r="O44" s="43">
        <v>442</v>
      </c>
      <c r="P44" s="43">
        <v>360</v>
      </c>
      <c r="Q44" s="43">
        <v>240</v>
      </c>
      <c r="R44" s="80">
        <v>148</v>
      </c>
      <c r="S44" s="22">
        <v>710</v>
      </c>
      <c r="T44" s="22"/>
      <c r="U44" s="22">
        <v>367</v>
      </c>
      <c r="V44" s="22">
        <v>28</v>
      </c>
      <c r="W44" s="22">
        <v>390</v>
      </c>
      <c r="X44" s="27">
        <v>1260</v>
      </c>
    </row>
    <row r="45" spans="1:24" x14ac:dyDescent="0.3">
      <c r="A45" s="25"/>
      <c r="B45" s="25"/>
      <c r="C45" s="22"/>
      <c r="D45" s="25"/>
      <c r="E45" s="22"/>
      <c r="F45" s="22"/>
      <c r="G45" s="22"/>
      <c r="H45" s="37"/>
      <c r="I45" s="15">
        <v>6260.9</v>
      </c>
      <c r="K45" s="21">
        <v>347</v>
      </c>
      <c r="L45" s="79"/>
      <c r="M45" s="81">
        <v>202</v>
      </c>
      <c r="N45" s="43"/>
      <c r="O45" s="43">
        <v>270</v>
      </c>
      <c r="P45" s="43">
        <v>60</v>
      </c>
      <c r="Q45" s="43">
        <v>168</v>
      </c>
      <c r="R45" s="81">
        <v>1993.8</v>
      </c>
      <c r="S45" s="22"/>
      <c r="T45" s="22"/>
      <c r="U45" s="22">
        <v>3440</v>
      </c>
      <c r="V45" s="22" t="s">
        <v>59</v>
      </c>
      <c r="W45" s="22">
        <v>286</v>
      </c>
      <c r="X45" s="27"/>
    </row>
    <row r="46" spans="1:24" x14ac:dyDescent="0.3">
      <c r="A46" s="22"/>
      <c r="B46" s="22"/>
      <c r="C46" s="22"/>
      <c r="D46" s="22"/>
      <c r="E46" s="22"/>
      <c r="F46" s="22"/>
      <c r="G46" s="22"/>
      <c r="H46" s="37"/>
      <c r="I46" s="15">
        <v>5660.8</v>
      </c>
      <c r="K46" s="21">
        <v>3840</v>
      </c>
      <c r="M46" s="43">
        <v>270</v>
      </c>
      <c r="N46" s="43"/>
      <c r="O46" s="43"/>
      <c r="P46" s="43"/>
      <c r="Q46" s="43">
        <v>2100</v>
      </c>
      <c r="R46" s="43">
        <v>900</v>
      </c>
      <c r="S46" s="22"/>
      <c r="T46" s="22"/>
      <c r="U46" s="22"/>
      <c r="V46" s="22"/>
      <c r="W46" s="22">
        <v>3590</v>
      </c>
      <c r="X46" s="27"/>
    </row>
    <row r="47" spans="1:24" ht="15" thickBot="1" x14ac:dyDescent="0.35">
      <c r="A47" s="22"/>
      <c r="B47" s="22"/>
      <c r="C47" s="22"/>
      <c r="D47" s="22"/>
      <c r="E47" s="22"/>
      <c r="F47" s="22"/>
      <c r="G47" s="22"/>
      <c r="H47" s="37"/>
      <c r="I47" s="131">
        <v>3293.6</v>
      </c>
      <c r="K47" s="128">
        <v>440</v>
      </c>
      <c r="L47" s="79"/>
      <c r="M47" s="43"/>
      <c r="N47" s="43"/>
      <c r="O47" s="43"/>
      <c r="P47" s="43"/>
      <c r="Q47" s="43"/>
      <c r="R47" s="43"/>
      <c r="S47" s="22"/>
      <c r="T47" s="22"/>
      <c r="U47" s="22"/>
      <c r="V47" s="22"/>
      <c r="W47" s="22">
        <v>420</v>
      </c>
      <c r="X47" s="27"/>
    </row>
    <row r="48" spans="1:24" ht="15.6" thickTop="1" thickBot="1" x14ac:dyDescent="0.35">
      <c r="A48" s="22"/>
      <c r="B48" s="22"/>
      <c r="C48" s="22"/>
      <c r="D48" s="22"/>
      <c r="E48" s="22"/>
      <c r="F48" s="22"/>
      <c r="G48" s="37"/>
      <c r="H48" s="37"/>
      <c r="I48" s="132">
        <f>SUM(I42:I47)</f>
        <v>25342.799999999999</v>
      </c>
      <c r="K48" s="21"/>
      <c r="L48" s="79"/>
      <c r="M48" s="43"/>
      <c r="N48" s="43"/>
      <c r="O48" s="43"/>
      <c r="P48" s="43"/>
      <c r="Q48" s="77"/>
      <c r="R48" s="43"/>
      <c r="S48" s="22"/>
      <c r="T48" s="22"/>
      <c r="U48" s="22"/>
      <c r="V48" s="22"/>
      <c r="W48" s="22"/>
      <c r="X48" s="27"/>
    </row>
    <row r="49" spans="1:24" ht="15" thickTop="1" x14ac:dyDescent="0.3">
      <c r="A49" s="22"/>
      <c r="B49" s="22"/>
      <c r="C49" s="22"/>
      <c r="D49" s="22"/>
      <c r="E49" s="22"/>
      <c r="F49" s="22"/>
      <c r="G49" s="22"/>
      <c r="H49" s="37"/>
      <c r="I49" s="40"/>
      <c r="K49" s="24"/>
      <c r="L49" s="56"/>
      <c r="M49" s="22"/>
      <c r="N49" s="22"/>
      <c r="O49" s="22"/>
      <c r="P49" s="22"/>
      <c r="Q49" s="43"/>
      <c r="R49" s="22"/>
      <c r="S49" s="22"/>
      <c r="T49" s="22"/>
      <c r="U49" s="22"/>
      <c r="V49" s="22"/>
      <c r="W49" s="22"/>
      <c r="X49" s="27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27"/>
      <c r="K50" s="24"/>
      <c r="L50" s="56"/>
      <c r="M50" s="22"/>
      <c r="N50" s="22"/>
      <c r="O50" s="22"/>
      <c r="P50" s="22"/>
      <c r="Q50" s="43"/>
      <c r="R50" s="22"/>
      <c r="S50" s="22"/>
      <c r="T50" s="22"/>
      <c r="U50" s="22"/>
      <c r="V50" s="22"/>
      <c r="W50" s="22"/>
      <c r="X50" s="27"/>
    </row>
    <row r="51" spans="1:24" x14ac:dyDescent="0.3">
      <c r="A51" s="22"/>
      <c r="B51" s="22"/>
      <c r="C51" s="22"/>
      <c r="D51" s="22"/>
      <c r="E51" s="22"/>
      <c r="F51" s="22"/>
      <c r="G51" s="22"/>
      <c r="H51" s="37"/>
      <c r="I51" s="27"/>
      <c r="K51" s="24"/>
      <c r="L51" s="56"/>
      <c r="M51" s="22"/>
      <c r="N51" s="22"/>
      <c r="O51" s="22"/>
      <c r="P51" s="22"/>
      <c r="Q51" s="43"/>
      <c r="R51" s="22"/>
      <c r="S51" s="22"/>
      <c r="T51" s="22"/>
      <c r="U51" s="22"/>
      <c r="V51" s="22"/>
      <c r="W51" s="22"/>
      <c r="X51" s="27"/>
    </row>
    <row r="52" spans="1:24" x14ac:dyDescent="0.3">
      <c r="A52" s="22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22"/>
      <c r="O52" s="22"/>
      <c r="P52" s="22"/>
      <c r="Q52" s="43"/>
      <c r="R52" s="22"/>
      <c r="S52" s="22"/>
      <c r="T52" s="22"/>
      <c r="U52" s="22"/>
      <c r="V52" s="22"/>
      <c r="W52" s="22"/>
      <c r="X52" s="27"/>
    </row>
    <row r="53" spans="1:24" ht="15" thickBot="1" x14ac:dyDescent="0.35">
      <c r="A53" s="22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35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ht="15" thickTop="1" x14ac:dyDescent="0.3">
      <c r="A54" s="22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63"/>
      <c r="O54" s="22"/>
      <c r="P54" s="22"/>
      <c r="Q54" s="22"/>
      <c r="R54" s="22"/>
      <c r="S54" s="22"/>
      <c r="T54" s="22"/>
      <c r="U54" s="22"/>
      <c r="V54" s="22"/>
      <c r="W54" s="22"/>
      <c r="X54" s="27"/>
    </row>
    <row r="55" spans="1:24" x14ac:dyDescent="0.3">
      <c r="A55" s="22"/>
      <c r="B55" s="22"/>
      <c r="C55" s="22"/>
      <c r="D55" s="22"/>
      <c r="E55" s="22"/>
      <c r="F55" s="22"/>
      <c r="G55" s="22"/>
      <c r="H55" s="22"/>
      <c r="I55" s="23"/>
      <c r="K55" s="2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7"/>
    </row>
    <row r="56" spans="1:24" ht="15" thickBot="1" x14ac:dyDescent="0.35">
      <c r="A56" s="133">
        <f t="shared" ref="A56:G56" si="14">SUM(A42:A55)</f>
        <v>5504.09</v>
      </c>
      <c r="B56" s="133">
        <f t="shared" si="14"/>
        <v>4116.3</v>
      </c>
      <c r="C56" s="133">
        <f t="shared" si="14"/>
        <v>3360</v>
      </c>
      <c r="D56" s="133">
        <f t="shared" si="14"/>
        <v>3208.59</v>
      </c>
      <c r="E56" s="133">
        <f t="shared" si="14"/>
        <v>570</v>
      </c>
      <c r="F56" s="133">
        <f t="shared" si="14"/>
        <v>3575</v>
      </c>
      <c r="G56" s="133">
        <f t="shared" si="14"/>
        <v>5553.5300000000007</v>
      </c>
      <c r="H56" s="149">
        <f>SUM(A56:G56)+I48</f>
        <v>51230.31</v>
      </c>
      <c r="I56" s="150" t="s">
        <v>7</v>
      </c>
      <c r="K56" s="34">
        <f>SUM(K43:K55)</f>
        <v>4985</v>
      </c>
      <c r="L56" s="16">
        <f t="shared" ref="L56:S56" si="15">SUM(L43:L55)</f>
        <v>271.2</v>
      </c>
      <c r="M56" s="34">
        <f t="shared" si="15"/>
        <v>4722</v>
      </c>
      <c r="N56" s="34">
        <f t="shared" si="15"/>
        <v>40</v>
      </c>
      <c r="O56" s="34">
        <f t="shared" si="15"/>
        <v>4362</v>
      </c>
      <c r="P56" s="34">
        <f t="shared" si="15"/>
        <v>480</v>
      </c>
      <c r="Q56" s="34">
        <f t="shared" si="15"/>
        <v>2536</v>
      </c>
      <c r="R56" s="34">
        <f t="shared" si="15"/>
        <v>3099.3</v>
      </c>
      <c r="S56" s="34">
        <f t="shared" si="15"/>
        <v>794</v>
      </c>
      <c r="T56" s="34">
        <v>0</v>
      </c>
      <c r="U56" s="34">
        <f t="shared" ref="U56:X56" si="16">SUM(U43:U55)</f>
        <v>4077</v>
      </c>
      <c r="V56" s="34">
        <f t="shared" si="16"/>
        <v>135.5</v>
      </c>
      <c r="W56" s="34">
        <f t="shared" si="16"/>
        <v>4713</v>
      </c>
      <c r="X56" s="16">
        <f t="shared" si="16"/>
        <v>1317.5</v>
      </c>
    </row>
    <row r="57" spans="1:24" ht="15.6" thickTop="1" thickBot="1" x14ac:dyDescent="0.35">
      <c r="A57" s="133">
        <v>5504.09</v>
      </c>
      <c r="B57" s="133">
        <v>4116.3</v>
      </c>
      <c r="C57" s="133">
        <v>3360</v>
      </c>
      <c r="D57" s="133">
        <v>3208.59</v>
      </c>
      <c r="E57" s="133">
        <v>570</v>
      </c>
      <c r="F57" s="133">
        <v>3575</v>
      </c>
      <c r="G57" s="133">
        <v>5553.53</v>
      </c>
      <c r="H57" s="149">
        <f>SUM(A57:G57)+I48</f>
        <v>51230.31</v>
      </c>
      <c r="I57" s="151" t="s">
        <v>1</v>
      </c>
      <c r="K57" s="34">
        <v>4985</v>
      </c>
      <c r="L57" s="34">
        <v>271.2</v>
      </c>
      <c r="M57" s="34">
        <v>4722</v>
      </c>
      <c r="N57" s="34">
        <v>40</v>
      </c>
      <c r="O57" s="34">
        <v>4362</v>
      </c>
      <c r="P57" s="34">
        <v>480</v>
      </c>
      <c r="Q57" s="34">
        <v>2536</v>
      </c>
      <c r="R57" s="34">
        <v>3099.3</v>
      </c>
      <c r="S57" s="34">
        <v>794</v>
      </c>
      <c r="T57" s="34">
        <v>15</v>
      </c>
      <c r="U57" s="34">
        <v>4077</v>
      </c>
      <c r="V57" s="34">
        <v>135.5</v>
      </c>
      <c r="W57" s="34">
        <v>4713</v>
      </c>
      <c r="X57" s="34">
        <v>1317.5</v>
      </c>
    </row>
    <row r="58" spans="1:24" ht="15.6" thickTop="1" thickBot="1" x14ac:dyDescent="0.35">
      <c r="A58" s="63">
        <f t="shared" ref="A58:G58" si="17">A56-A57</f>
        <v>0</v>
      </c>
      <c r="B58" s="63">
        <f t="shared" si="17"/>
        <v>0</v>
      </c>
      <c r="C58" s="63">
        <f t="shared" si="17"/>
        <v>0</v>
      </c>
      <c r="D58" s="63">
        <f t="shared" si="17"/>
        <v>0</v>
      </c>
      <c r="E58" s="63">
        <f t="shared" si="17"/>
        <v>0</v>
      </c>
      <c r="F58" s="63">
        <f t="shared" si="17"/>
        <v>0</v>
      </c>
      <c r="G58" s="63">
        <f t="shared" si="17"/>
        <v>0</v>
      </c>
      <c r="H58" s="63">
        <f>H56-H57</f>
        <v>0</v>
      </c>
      <c r="I58" s="22">
        <f>SUM(I52:I57)</f>
        <v>0</v>
      </c>
      <c r="K58" s="152">
        <f>K56-K57</f>
        <v>0</v>
      </c>
      <c r="L58" s="152">
        <f t="shared" ref="L58:S58" si="18">L56-L57</f>
        <v>0</v>
      </c>
      <c r="M58" s="152">
        <f t="shared" si="18"/>
        <v>0</v>
      </c>
      <c r="N58" s="152">
        <f t="shared" si="18"/>
        <v>0</v>
      </c>
      <c r="O58" s="152">
        <f t="shared" si="18"/>
        <v>0</v>
      </c>
      <c r="P58" s="152">
        <f t="shared" si="18"/>
        <v>0</v>
      </c>
      <c r="Q58" s="152">
        <f t="shared" si="18"/>
        <v>0</v>
      </c>
      <c r="R58" s="152">
        <f t="shared" si="18"/>
        <v>0</v>
      </c>
      <c r="S58" s="152">
        <f t="shared" si="18"/>
        <v>0</v>
      </c>
      <c r="T58" s="152">
        <v>0</v>
      </c>
      <c r="U58" s="152">
        <f t="shared" ref="U58:X58" si="19">U56-U57</f>
        <v>0</v>
      </c>
      <c r="V58" s="152">
        <f t="shared" si="19"/>
        <v>0</v>
      </c>
      <c r="W58" s="152">
        <f t="shared" si="19"/>
        <v>0</v>
      </c>
      <c r="X58" s="146">
        <f t="shared" si="19"/>
        <v>0</v>
      </c>
    </row>
    <row r="59" spans="1:24" x14ac:dyDescent="0.3">
      <c r="A59" t="s">
        <v>9</v>
      </c>
    </row>
    <row r="60" spans="1:24" ht="15" thickBot="1" x14ac:dyDescent="0.35"/>
    <row r="61" spans="1:24" x14ac:dyDescent="0.3">
      <c r="A61" s="157">
        <v>45770</v>
      </c>
      <c r="B61" s="157">
        <v>45771</v>
      </c>
      <c r="C61" s="157">
        <v>45772</v>
      </c>
      <c r="D61" s="157">
        <v>45773</v>
      </c>
      <c r="E61" s="157">
        <v>45774</v>
      </c>
      <c r="F61" s="157">
        <v>45775</v>
      </c>
      <c r="G61" s="157">
        <v>45776</v>
      </c>
      <c r="H61" s="17"/>
      <c r="I61" s="13" t="s">
        <v>8</v>
      </c>
      <c r="K61" s="59">
        <v>45770</v>
      </c>
      <c r="L61" s="59"/>
      <c r="M61" s="59">
        <v>45771</v>
      </c>
      <c r="N61" s="59"/>
      <c r="O61" s="59">
        <v>45772</v>
      </c>
      <c r="P61" s="59"/>
      <c r="Q61" s="59">
        <v>45773</v>
      </c>
      <c r="R61" s="59"/>
      <c r="S61" s="59">
        <v>45774</v>
      </c>
      <c r="T61" s="59"/>
      <c r="U61" s="59">
        <v>45775</v>
      </c>
      <c r="V61" s="59"/>
      <c r="W61" s="59">
        <v>45776</v>
      </c>
      <c r="X61" s="59"/>
    </row>
    <row r="62" spans="1:24" ht="15" thickBot="1" x14ac:dyDescent="0.35">
      <c r="A62" s="22">
        <v>1904.06</v>
      </c>
      <c r="B62" s="22">
        <v>1904.06</v>
      </c>
      <c r="C62" s="22">
        <v>990</v>
      </c>
      <c r="D62" s="22">
        <v>823.4</v>
      </c>
      <c r="E62" s="22">
        <v>505</v>
      </c>
      <c r="F62" s="22">
        <v>2570</v>
      </c>
      <c r="G62" s="22">
        <v>1614.59</v>
      </c>
      <c r="H62" s="37"/>
      <c r="I62" s="15">
        <v>2702.5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1795</v>
      </c>
      <c r="B63" s="22">
        <v>3272.5</v>
      </c>
      <c r="C63" s="22">
        <v>3027.5</v>
      </c>
      <c r="D63" s="22">
        <v>2162.5</v>
      </c>
      <c r="E63" s="22">
        <v>435</v>
      </c>
      <c r="F63" s="22">
        <v>1150</v>
      </c>
      <c r="G63" s="22">
        <v>2015</v>
      </c>
      <c r="H63" s="37"/>
      <c r="I63" s="15">
        <v>6800</v>
      </c>
      <c r="K63" s="75">
        <v>540</v>
      </c>
      <c r="L63" s="76">
        <v>150</v>
      </c>
      <c r="M63" s="77">
        <v>420</v>
      </c>
      <c r="N63" s="77">
        <v>276</v>
      </c>
      <c r="O63" s="77">
        <v>180</v>
      </c>
      <c r="P63" s="77">
        <v>85.4</v>
      </c>
      <c r="Q63" s="63">
        <v>2690</v>
      </c>
      <c r="R63" s="77">
        <v>1320</v>
      </c>
      <c r="S63" s="63">
        <v>520</v>
      </c>
      <c r="T63" s="22">
        <v>0</v>
      </c>
      <c r="U63" s="63">
        <v>3280</v>
      </c>
      <c r="V63" s="63">
        <v>52.5</v>
      </c>
      <c r="W63" s="63">
        <v>420</v>
      </c>
      <c r="X63" s="40">
        <v>185</v>
      </c>
    </row>
    <row r="64" spans="1:24" x14ac:dyDescent="0.3">
      <c r="A64" s="22">
        <v>1395</v>
      </c>
      <c r="B64" s="26">
        <v>1232.5</v>
      </c>
      <c r="C64" s="22">
        <v>1614.59</v>
      </c>
      <c r="D64" s="26">
        <v>1135</v>
      </c>
      <c r="E64" s="22"/>
      <c r="F64" s="22"/>
      <c r="G64" s="22">
        <v>1150</v>
      </c>
      <c r="H64" s="37"/>
      <c r="I64" s="15">
        <v>2290.16</v>
      </c>
      <c r="K64" s="21">
        <v>3640</v>
      </c>
      <c r="L64" s="79"/>
      <c r="M64" s="80">
        <v>4640</v>
      </c>
      <c r="N64" s="43">
        <v>324.39999999999998</v>
      </c>
      <c r="O64" s="43">
        <v>5110</v>
      </c>
      <c r="P64" s="43"/>
      <c r="Q64" s="22">
        <v>168</v>
      </c>
      <c r="R64" s="80">
        <v>409.5</v>
      </c>
      <c r="S64" s="22">
        <v>84</v>
      </c>
      <c r="T64" s="22"/>
      <c r="U64" s="22">
        <v>369</v>
      </c>
      <c r="V64" s="22"/>
      <c r="W64" s="22">
        <v>2850</v>
      </c>
      <c r="X64" s="27">
        <v>60</v>
      </c>
    </row>
    <row r="65" spans="1:24" x14ac:dyDescent="0.3">
      <c r="A65" s="22"/>
      <c r="B65" s="25"/>
      <c r="C65" s="22"/>
      <c r="D65" s="25"/>
      <c r="E65" s="22"/>
      <c r="F65" s="22"/>
      <c r="G65" s="22"/>
      <c r="H65" s="37"/>
      <c r="I65" s="15">
        <v>5660.8</v>
      </c>
      <c r="K65" s="21">
        <v>363</v>
      </c>
      <c r="L65" s="79"/>
      <c r="M65" s="81">
        <v>202</v>
      </c>
      <c r="N65" s="43"/>
      <c r="O65" s="43">
        <v>442</v>
      </c>
      <c r="P65" s="43"/>
      <c r="Q65" s="22">
        <v>270</v>
      </c>
      <c r="R65" s="81">
        <v>50</v>
      </c>
      <c r="S65" s="22"/>
      <c r="T65" s="22"/>
      <c r="U65" s="22">
        <v>330</v>
      </c>
      <c r="V65" s="22"/>
      <c r="W65" s="22">
        <v>285</v>
      </c>
      <c r="X65" s="27"/>
    </row>
    <row r="66" spans="1:24" x14ac:dyDescent="0.3">
      <c r="A66" s="22"/>
      <c r="B66" s="22"/>
      <c r="C66" s="22"/>
      <c r="D66" s="22"/>
      <c r="E66" s="22"/>
      <c r="F66" s="22"/>
      <c r="G66" s="22"/>
      <c r="H66" s="37"/>
      <c r="I66" s="15">
        <v>4185.3999999999996</v>
      </c>
      <c r="K66" s="21">
        <v>270</v>
      </c>
      <c r="M66" s="43">
        <v>240</v>
      </c>
      <c r="N66" s="43"/>
      <c r="O66" s="43">
        <v>300</v>
      </c>
      <c r="P66" s="43"/>
      <c r="Q66" s="22">
        <v>28</v>
      </c>
      <c r="R66" s="43"/>
      <c r="S66" s="22"/>
      <c r="T66" s="22"/>
      <c r="U66" s="22">
        <v>28</v>
      </c>
      <c r="V66" s="22"/>
      <c r="W66" s="22">
        <v>270</v>
      </c>
      <c r="X66" s="27"/>
    </row>
    <row r="67" spans="1:24" ht="15" thickBot="1" x14ac:dyDescent="0.35">
      <c r="A67" s="22"/>
      <c r="B67" s="22"/>
      <c r="C67" s="22"/>
      <c r="D67" s="22"/>
      <c r="E67" s="22"/>
      <c r="F67" s="22"/>
      <c r="G67" s="22"/>
      <c r="H67" s="37"/>
      <c r="I67" s="131">
        <v>2414.2199999999998</v>
      </c>
      <c r="K67" s="128"/>
      <c r="L67" s="79"/>
      <c r="M67" s="43"/>
      <c r="N67" s="43"/>
      <c r="O67" s="43"/>
      <c r="P67" s="43"/>
      <c r="Q67" s="22"/>
      <c r="R67" s="43"/>
      <c r="S67" s="22"/>
      <c r="T67" s="22"/>
      <c r="U67" s="22"/>
      <c r="V67" s="22"/>
      <c r="W67" s="22"/>
      <c r="X67" s="27"/>
    </row>
    <row r="68" spans="1:24" ht="15.6" thickTop="1" thickBot="1" x14ac:dyDescent="0.35">
      <c r="A68" s="22"/>
      <c r="B68" s="22"/>
      <c r="C68" s="22"/>
      <c r="D68" s="22"/>
      <c r="E68" s="22"/>
      <c r="F68" s="22"/>
      <c r="G68" s="22"/>
      <c r="H68" s="37"/>
      <c r="I68" s="132">
        <f>SUM(I62:I67)</f>
        <v>24053.08</v>
      </c>
      <c r="K68" s="21"/>
      <c r="L68" s="79"/>
      <c r="M68" s="43"/>
      <c r="N68" s="43"/>
      <c r="O68" s="43"/>
      <c r="P68" s="43"/>
      <c r="Q68" s="22"/>
      <c r="R68" s="43"/>
      <c r="S68" s="22"/>
      <c r="T68" s="22"/>
      <c r="U68" s="22"/>
      <c r="V68" s="22"/>
      <c r="W68" s="22"/>
      <c r="X68" s="27"/>
    </row>
    <row r="69" spans="1:24" ht="15" thickTop="1" x14ac:dyDescent="0.3">
      <c r="A69" s="22"/>
      <c r="B69" s="22"/>
      <c r="C69" s="22"/>
      <c r="D69" s="22"/>
      <c r="E69" s="22"/>
      <c r="F69" s="22"/>
      <c r="G69" s="22"/>
      <c r="H69" s="37"/>
      <c r="I69" s="40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7"/>
    </row>
    <row r="70" spans="1:24" x14ac:dyDescent="0.3">
      <c r="A70" s="22"/>
      <c r="B70" s="22"/>
      <c r="C70" s="22"/>
      <c r="D70" s="22"/>
      <c r="E70" s="22"/>
      <c r="F70" s="22"/>
      <c r="G70" s="22"/>
      <c r="H70" s="37"/>
      <c r="I70" s="27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7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27"/>
      <c r="K71" s="24"/>
      <c r="L71" s="56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7"/>
    </row>
    <row r="72" spans="1:24" x14ac:dyDescent="0.3">
      <c r="A72" s="22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ht="15" thickBot="1" x14ac:dyDescent="0.35">
      <c r="A73" s="22"/>
      <c r="B73" s="22"/>
      <c r="C73" s="22"/>
      <c r="D73" s="22"/>
      <c r="E73" s="22"/>
      <c r="F73" s="22"/>
      <c r="G73" s="22"/>
      <c r="H73" s="22"/>
      <c r="I73" s="23"/>
      <c r="K73" s="24"/>
      <c r="L73" s="56"/>
      <c r="M73" s="22"/>
      <c r="N73" s="35"/>
      <c r="O73" s="22"/>
      <c r="P73" s="22"/>
      <c r="Q73" s="22"/>
      <c r="R73" s="22"/>
      <c r="S73" s="22"/>
      <c r="T73" s="22"/>
      <c r="U73" s="22"/>
      <c r="V73" s="22"/>
      <c r="W73" s="22"/>
      <c r="X73" s="27"/>
    </row>
    <row r="74" spans="1:24" ht="15" thickTop="1" x14ac:dyDescent="0.3">
      <c r="A74" s="22"/>
      <c r="B74" s="22"/>
      <c r="C74" s="22"/>
      <c r="D74" s="22"/>
      <c r="E74" s="22"/>
      <c r="F74" s="22"/>
      <c r="G74" s="22"/>
      <c r="H74" s="22"/>
      <c r="I74" s="23"/>
      <c r="K74" s="24"/>
      <c r="L74" s="56"/>
      <c r="M74" s="22"/>
      <c r="N74" s="63"/>
      <c r="O74" s="22"/>
      <c r="P74" s="22"/>
      <c r="Q74" s="22"/>
      <c r="R74" s="22"/>
      <c r="S74" s="22"/>
      <c r="T74" s="22"/>
      <c r="U74" s="22"/>
      <c r="V74" s="22"/>
      <c r="W74" s="22"/>
      <c r="X74" s="27"/>
    </row>
    <row r="75" spans="1:24" x14ac:dyDescent="0.3">
      <c r="A75" s="22"/>
      <c r="B75" s="22"/>
      <c r="C75" s="22"/>
      <c r="D75" s="22"/>
      <c r="E75" s="22"/>
      <c r="F75" s="22"/>
      <c r="G75" s="22"/>
      <c r="H75" s="22"/>
      <c r="I75" s="23"/>
      <c r="K75" s="24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7"/>
    </row>
    <row r="76" spans="1:24" ht="15" thickBot="1" x14ac:dyDescent="0.35">
      <c r="A76" s="133">
        <f t="shared" ref="A76" si="20">SUM(A62:A75)</f>
        <v>5094.0599999999995</v>
      </c>
      <c r="B76" s="133">
        <f t="shared" ref="B76:F76" si="21">SUM(B62:B75)</f>
        <v>6409.0599999999995</v>
      </c>
      <c r="C76" s="133">
        <f t="shared" si="21"/>
        <v>5632.09</v>
      </c>
      <c r="D76" s="133">
        <f t="shared" si="21"/>
        <v>4120.8999999999996</v>
      </c>
      <c r="E76" s="133">
        <f t="shared" si="21"/>
        <v>940</v>
      </c>
      <c r="F76" s="133">
        <f t="shared" si="21"/>
        <v>3720</v>
      </c>
      <c r="G76" s="133">
        <f t="shared" ref="G76" si="22">SUM(G62:G75)</f>
        <v>4779.59</v>
      </c>
      <c r="H76" s="149">
        <f>SUM(A76:G76)+I68</f>
        <v>54748.78</v>
      </c>
      <c r="I76" s="150" t="s">
        <v>7</v>
      </c>
      <c r="K76" s="34">
        <f>SUM(K63:K75)</f>
        <v>4813</v>
      </c>
      <c r="L76" s="16">
        <f t="shared" ref="L76:S76" si="23">SUM(L63:L75)</f>
        <v>150</v>
      </c>
      <c r="M76" s="34">
        <f t="shared" si="23"/>
        <v>5502</v>
      </c>
      <c r="N76" s="34">
        <f t="shared" si="23"/>
        <v>600.4</v>
      </c>
      <c r="O76" s="34">
        <f t="shared" si="23"/>
        <v>6032</v>
      </c>
      <c r="P76" s="34">
        <f t="shared" si="23"/>
        <v>85.4</v>
      </c>
      <c r="Q76" s="34">
        <f t="shared" si="23"/>
        <v>3156</v>
      </c>
      <c r="R76" s="34">
        <f t="shared" si="23"/>
        <v>1779.5</v>
      </c>
      <c r="S76" s="34">
        <f t="shared" si="23"/>
        <v>604</v>
      </c>
      <c r="T76" s="34">
        <v>0</v>
      </c>
      <c r="U76" s="34">
        <f t="shared" ref="U76" si="24">SUM(U63:U75)</f>
        <v>4007</v>
      </c>
      <c r="V76" s="34">
        <f t="shared" ref="V76:X76" si="25">SUM(V63:V75)</f>
        <v>52.5</v>
      </c>
      <c r="W76" s="34">
        <f t="shared" si="25"/>
        <v>3825</v>
      </c>
      <c r="X76" s="16">
        <f t="shared" si="25"/>
        <v>245</v>
      </c>
    </row>
    <row r="77" spans="1:24" ht="15.6" thickTop="1" thickBot="1" x14ac:dyDescent="0.35">
      <c r="A77" s="133">
        <v>5094.0600000000004</v>
      </c>
      <c r="B77" s="133">
        <v>6409.06</v>
      </c>
      <c r="C77" s="133">
        <v>5499.59</v>
      </c>
      <c r="D77" s="133">
        <v>4120.8999999999996</v>
      </c>
      <c r="E77" s="133">
        <v>940</v>
      </c>
      <c r="F77" s="133">
        <v>3720</v>
      </c>
      <c r="G77" s="133">
        <v>4779.59</v>
      </c>
      <c r="H77" s="149">
        <f>SUM(A77:G77)+I68</f>
        <v>54616.28</v>
      </c>
      <c r="I77" s="151" t="s">
        <v>1</v>
      </c>
      <c r="K77" s="34">
        <v>4813</v>
      </c>
      <c r="L77" s="34">
        <v>150</v>
      </c>
      <c r="M77" s="34">
        <v>5502</v>
      </c>
      <c r="N77" s="34">
        <v>600.4</v>
      </c>
      <c r="O77" s="34">
        <f>4852+1180</f>
        <v>6032</v>
      </c>
      <c r="P77" s="34">
        <v>85.4</v>
      </c>
      <c r="Q77" s="34">
        <v>3156</v>
      </c>
      <c r="R77" s="34">
        <v>1779.5</v>
      </c>
      <c r="S77" s="34">
        <v>604</v>
      </c>
      <c r="T77" s="34">
        <v>0</v>
      </c>
      <c r="U77" s="34">
        <v>4007</v>
      </c>
      <c r="V77" s="34">
        <v>52.5</v>
      </c>
      <c r="W77" s="34">
        <v>3825</v>
      </c>
      <c r="X77" s="34">
        <v>245</v>
      </c>
    </row>
    <row r="78" spans="1:24" ht="15.6" thickTop="1" thickBot="1" x14ac:dyDescent="0.35">
      <c r="A78" s="63">
        <f t="shared" ref="A78" si="26">A76-A77</f>
        <v>0</v>
      </c>
      <c r="B78" s="63">
        <f t="shared" ref="B78:F78" si="27">B76-B77</f>
        <v>0</v>
      </c>
      <c r="C78" s="63">
        <f t="shared" si="27"/>
        <v>132.5</v>
      </c>
      <c r="D78" s="63">
        <f t="shared" si="27"/>
        <v>0</v>
      </c>
      <c r="E78" s="63">
        <f t="shared" si="27"/>
        <v>0</v>
      </c>
      <c r="F78" s="63">
        <f t="shared" si="27"/>
        <v>0</v>
      </c>
      <c r="G78" s="63">
        <f t="shared" ref="G78" si="28">G76-G77</f>
        <v>0</v>
      </c>
      <c r="H78" s="63">
        <f>H76-H77</f>
        <v>132.5</v>
      </c>
      <c r="I78" s="22">
        <f>SUM(I72:I77)</f>
        <v>0</v>
      </c>
      <c r="K78" s="152">
        <f>K76-K77</f>
        <v>0</v>
      </c>
      <c r="L78" s="152">
        <f t="shared" ref="L78:S78" si="29">L76-L77</f>
        <v>0</v>
      </c>
      <c r="M78" s="152">
        <f t="shared" si="29"/>
        <v>0</v>
      </c>
      <c r="N78" s="152">
        <f t="shared" si="29"/>
        <v>0</v>
      </c>
      <c r="O78" s="152">
        <f t="shared" si="29"/>
        <v>0</v>
      </c>
      <c r="P78" s="152">
        <f t="shared" si="29"/>
        <v>0</v>
      </c>
      <c r="Q78" s="152">
        <f t="shared" si="29"/>
        <v>0</v>
      </c>
      <c r="R78" s="152">
        <f t="shared" si="29"/>
        <v>0</v>
      </c>
      <c r="S78" s="152">
        <f t="shared" si="29"/>
        <v>0</v>
      </c>
      <c r="T78" s="152">
        <v>0</v>
      </c>
      <c r="U78" s="152">
        <f t="shared" ref="U78" si="30">U76-U77</f>
        <v>0</v>
      </c>
      <c r="V78" s="152">
        <f t="shared" ref="V78:X78" si="31">V76-V77</f>
        <v>0</v>
      </c>
      <c r="W78" s="152">
        <f t="shared" si="31"/>
        <v>0</v>
      </c>
      <c r="X78" s="146">
        <f t="shared" si="31"/>
        <v>0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5425-CCF6-4FDE-96D5-75A828DF705B}">
  <dimension ref="A1:X75"/>
  <sheetViews>
    <sheetView topLeftCell="A60" workbookViewId="0">
      <selection activeCell="H79" sqref="H79"/>
    </sheetView>
  </sheetViews>
  <sheetFormatPr defaultRowHeight="14.4" x14ac:dyDescent="0.3"/>
  <cols>
    <col min="1" max="1" width="11" customWidth="1"/>
    <col min="2" max="2" width="13.33203125" customWidth="1"/>
    <col min="3" max="3" width="14.109375" customWidth="1"/>
    <col min="4" max="4" width="12.109375" customWidth="1"/>
    <col min="5" max="6" width="12.5546875" customWidth="1"/>
    <col min="7" max="7" width="11.5546875" customWidth="1"/>
    <col min="8" max="8" width="12" customWidth="1"/>
    <col min="9" max="9" width="15.6640625" customWidth="1"/>
    <col min="11" max="11" width="9.88671875" bestFit="1" customWidth="1"/>
    <col min="12" max="12" width="11.109375" customWidth="1"/>
    <col min="13" max="14" width="10.88671875" customWidth="1"/>
    <col min="15" max="15" width="11.33203125" customWidth="1"/>
    <col min="16" max="16" width="11.6640625" customWidth="1"/>
    <col min="17" max="17" width="12.33203125" customWidth="1"/>
    <col min="18" max="18" width="13.109375" customWidth="1"/>
    <col min="19" max="19" width="10.109375" customWidth="1"/>
    <col min="20" max="20" width="11.88671875" customWidth="1"/>
    <col min="21" max="21" width="10.5546875" customWidth="1"/>
    <col min="22" max="22" width="13.109375" customWidth="1"/>
    <col min="23" max="23" width="11.109375" customWidth="1"/>
    <col min="24" max="24" width="12" customWidth="1"/>
  </cols>
  <sheetData>
    <row r="1" spans="1:24" x14ac:dyDescent="0.3">
      <c r="A1" s="157">
        <v>45777</v>
      </c>
      <c r="B1" s="157">
        <v>45778</v>
      </c>
      <c r="C1" s="157">
        <v>45779</v>
      </c>
      <c r="D1" s="157">
        <v>45780</v>
      </c>
      <c r="E1" s="157">
        <v>45781</v>
      </c>
      <c r="F1" s="157">
        <v>45782</v>
      </c>
      <c r="G1" s="157">
        <v>45783</v>
      </c>
      <c r="H1" s="17"/>
      <c r="I1" s="13" t="s">
        <v>8</v>
      </c>
      <c r="K1" s="59">
        <v>45777</v>
      </c>
      <c r="L1" s="59"/>
      <c r="M1" s="59">
        <v>45778</v>
      </c>
      <c r="N1" s="59"/>
      <c r="O1" s="59">
        <v>45779</v>
      </c>
      <c r="P1" s="59"/>
      <c r="Q1" s="59">
        <v>45780</v>
      </c>
      <c r="R1" s="59"/>
      <c r="S1" s="59">
        <v>45781</v>
      </c>
      <c r="T1" s="59"/>
      <c r="U1" s="59">
        <v>45782</v>
      </c>
      <c r="V1" s="59"/>
      <c r="W1" s="59">
        <v>45783</v>
      </c>
      <c r="X1" s="59"/>
    </row>
    <row r="2" spans="1:24" ht="15" thickBot="1" x14ac:dyDescent="0.35">
      <c r="A2" s="22">
        <v>1370.13</v>
      </c>
      <c r="B2" s="22">
        <v>1335</v>
      </c>
      <c r="C2" s="22">
        <v>1492.36</v>
      </c>
      <c r="D2" s="22">
        <v>975</v>
      </c>
      <c r="E2" s="22">
        <v>530</v>
      </c>
      <c r="F2" s="22">
        <v>2039.09</v>
      </c>
      <c r="G2" s="22">
        <v>1582.38</v>
      </c>
      <c r="H2" s="37"/>
      <c r="I2" s="15">
        <v>2337.5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43" t="s">
        <v>11</v>
      </c>
    </row>
    <row r="3" spans="1:24" x14ac:dyDescent="0.3">
      <c r="A3" s="22">
        <v>2075</v>
      </c>
      <c r="B3" s="22">
        <v>1770</v>
      </c>
      <c r="C3" s="22">
        <v>2420</v>
      </c>
      <c r="D3" s="22">
        <v>1020</v>
      </c>
      <c r="E3" s="22">
        <v>405</v>
      </c>
      <c r="F3" s="22">
        <v>1990</v>
      </c>
      <c r="G3" s="22">
        <v>1805</v>
      </c>
      <c r="H3" s="37"/>
      <c r="I3" s="15">
        <v>7600</v>
      </c>
      <c r="K3" s="75">
        <v>500</v>
      </c>
      <c r="L3" s="76">
        <v>110</v>
      </c>
      <c r="M3" s="77">
        <v>180</v>
      </c>
      <c r="N3" s="77">
        <v>35</v>
      </c>
      <c r="O3" s="77">
        <v>520</v>
      </c>
      <c r="P3" s="77">
        <v>1100</v>
      </c>
      <c r="Q3" s="63">
        <v>28</v>
      </c>
      <c r="R3" s="77">
        <v>50</v>
      </c>
      <c r="S3" s="63">
        <v>77</v>
      </c>
      <c r="T3" s="22">
        <v>15</v>
      </c>
      <c r="U3" s="63">
        <v>300</v>
      </c>
      <c r="V3" s="63">
        <v>60</v>
      </c>
      <c r="W3" s="63">
        <v>420</v>
      </c>
      <c r="X3" s="40">
        <v>60</v>
      </c>
    </row>
    <row r="4" spans="1:24" x14ac:dyDescent="0.3">
      <c r="A4" s="22">
        <v>1505</v>
      </c>
      <c r="B4" s="26"/>
      <c r="C4" s="22">
        <v>870</v>
      </c>
      <c r="D4" s="26">
        <v>1493.05</v>
      </c>
      <c r="E4" s="22"/>
      <c r="F4" s="22">
        <v>925</v>
      </c>
      <c r="G4" s="22">
        <v>1060</v>
      </c>
      <c r="H4" s="37"/>
      <c r="I4" s="15">
        <v>6599.62</v>
      </c>
      <c r="K4" s="21">
        <v>3000</v>
      </c>
      <c r="L4" s="79">
        <v>307</v>
      </c>
      <c r="M4" s="80">
        <v>164</v>
      </c>
      <c r="N4" s="43">
        <v>1080</v>
      </c>
      <c r="O4" s="43">
        <v>3860</v>
      </c>
      <c r="P4" s="43">
        <v>70</v>
      </c>
      <c r="Q4" s="22">
        <v>330</v>
      </c>
      <c r="R4" s="80">
        <v>200</v>
      </c>
      <c r="S4" s="22">
        <v>510</v>
      </c>
      <c r="T4" s="22"/>
      <c r="U4" s="22">
        <v>3820</v>
      </c>
      <c r="V4" s="22">
        <v>646.5</v>
      </c>
      <c r="W4" s="22">
        <v>2950</v>
      </c>
      <c r="X4" s="27">
        <v>50</v>
      </c>
    </row>
    <row r="5" spans="1:24" x14ac:dyDescent="0.3">
      <c r="A5" s="22"/>
      <c r="B5" s="25"/>
      <c r="C5" s="22"/>
      <c r="D5" s="25"/>
      <c r="E5" s="22"/>
      <c r="F5" s="22"/>
      <c r="G5" s="22"/>
      <c r="H5" s="37"/>
      <c r="I5" s="15">
        <v>5660.8</v>
      </c>
      <c r="K5" s="21">
        <v>230</v>
      </c>
      <c r="L5" s="79"/>
      <c r="M5" s="81">
        <v>2190</v>
      </c>
      <c r="N5" s="43"/>
      <c r="O5" s="43">
        <v>480</v>
      </c>
      <c r="P5" s="43">
        <v>720</v>
      </c>
      <c r="Q5" s="22">
        <v>154</v>
      </c>
      <c r="R5" s="81"/>
      <c r="S5" s="22"/>
      <c r="T5" s="22"/>
      <c r="U5" s="22">
        <v>359</v>
      </c>
      <c r="V5" s="22"/>
      <c r="W5" s="22">
        <v>312</v>
      </c>
      <c r="X5" s="27"/>
    </row>
    <row r="6" spans="1:24" x14ac:dyDescent="0.3">
      <c r="A6" s="22"/>
      <c r="B6" s="22"/>
      <c r="C6" s="22"/>
      <c r="D6" s="22"/>
      <c r="E6" s="22"/>
      <c r="F6" s="22"/>
      <c r="G6" s="22"/>
      <c r="H6" s="37"/>
      <c r="I6" s="15">
        <v>660</v>
      </c>
      <c r="K6" s="21">
        <v>240</v>
      </c>
      <c r="M6" s="43"/>
      <c r="N6" s="43"/>
      <c r="O6" s="43">
        <v>330</v>
      </c>
      <c r="P6" s="43"/>
      <c r="Q6" s="22">
        <v>1520</v>
      </c>
      <c r="R6" s="43"/>
      <c r="S6" s="22"/>
      <c r="T6" s="22"/>
      <c r="U6" s="22">
        <v>240</v>
      </c>
      <c r="V6" s="22"/>
      <c r="W6" s="22">
        <v>210</v>
      </c>
      <c r="X6" s="27"/>
    </row>
    <row r="7" spans="1:24" ht="15" thickBot="1" x14ac:dyDescent="0.35">
      <c r="A7" s="22"/>
      <c r="B7" s="22"/>
      <c r="C7" s="22"/>
      <c r="D7" s="22"/>
      <c r="E7" s="22"/>
      <c r="F7" s="22"/>
      <c r="G7" s="22"/>
      <c r="H7" s="37"/>
      <c r="I7" s="131">
        <v>2045.7</v>
      </c>
      <c r="K7" s="128"/>
      <c r="L7" s="79"/>
      <c r="M7" s="43"/>
      <c r="N7" s="43"/>
      <c r="O7" s="43"/>
      <c r="P7" s="43"/>
      <c r="Q7" s="22"/>
      <c r="R7" s="43"/>
      <c r="S7" s="22"/>
      <c r="T7" s="22"/>
      <c r="U7" s="22"/>
      <c r="V7" s="22"/>
      <c r="W7" s="22">
        <v>28</v>
      </c>
      <c r="X7" s="27"/>
    </row>
    <row r="8" spans="1:24" ht="15.6" thickTop="1" thickBot="1" x14ac:dyDescent="0.35">
      <c r="A8" s="22"/>
      <c r="B8" s="22"/>
      <c r="C8" s="22"/>
      <c r="D8" s="22"/>
      <c r="E8" s="22"/>
      <c r="F8" s="22"/>
      <c r="G8" s="22"/>
      <c r="H8" s="37"/>
      <c r="I8" s="132">
        <f>SUM(I2:I7)</f>
        <v>24903.62</v>
      </c>
      <c r="K8" s="21"/>
      <c r="L8" s="79"/>
      <c r="M8" s="43"/>
      <c r="N8" s="43"/>
      <c r="O8" s="43"/>
      <c r="P8" s="43"/>
      <c r="Q8" s="22"/>
      <c r="R8" s="43"/>
      <c r="S8" s="22"/>
      <c r="T8" s="22"/>
      <c r="U8" s="22"/>
      <c r="V8" s="22"/>
      <c r="W8" s="22"/>
      <c r="X8" s="27"/>
    </row>
    <row r="9" spans="1:24" ht="15" thickTop="1" x14ac:dyDescent="0.3">
      <c r="A9" s="22"/>
      <c r="B9" s="22"/>
      <c r="C9" s="22"/>
      <c r="D9" s="22"/>
      <c r="E9" s="22"/>
      <c r="F9" s="22"/>
      <c r="G9" s="22"/>
      <c r="H9" s="37"/>
      <c r="I9" s="40"/>
      <c r="K9" s="24"/>
      <c r="L9" s="5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7"/>
    </row>
    <row r="10" spans="1:24" x14ac:dyDescent="0.3">
      <c r="A10" s="22"/>
      <c r="B10" s="22"/>
      <c r="C10" s="22"/>
      <c r="D10" s="22"/>
      <c r="E10" s="22"/>
      <c r="F10" s="22"/>
      <c r="G10" s="22"/>
      <c r="H10" s="37"/>
      <c r="I10" s="27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7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7"/>
    </row>
    <row r="12" spans="1:24" x14ac:dyDescent="0.3">
      <c r="A12" s="22"/>
      <c r="B12" s="22"/>
      <c r="C12" s="22"/>
      <c r="D12" s="22"/>
      <c r="E12" s="22"/>
      <c r="F12" s="22"/>
      <c r="G12" s="22"/>
      <c r="H12" s="22"/>
      <c r="I12" s="23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7"/>
    </row>
    <row r="13" spans="1:24" ht="15" thickBot="1" x14ac:dyDescent="0.35">
      <c r="A13" s="22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35"/>
      <c r="O13" s="22"/>
      <c r="P13" s="22"/>
      <c r="Q13" s="22"/>
      <c r="R13" s="22"/>
      <c r="S13" s="22"/>
      <c r="T13" s="22"/>
      <c r="U13" s="22"/>
      <c r="V13" s="22"/>
      <c r="W13" s="22"/>
      <c r="X13" s="27"/>
    </row>
    <row r="14" spans="1:24" ht="15" thickTop="1" x14ac:dyDescent="0.3">
      <c r="A14" s="22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63"/>
      <c r="O14" s="22"/>
      <c r="P14" s="22"/>
      <c r="Q14" s="22"/>
      <c r="R14" s="22"/>
      <c r="S14" s="22"/>
      <c r="T14" s="22"/>
      <c r="U14" s="22"/>
      <c r="V14" s="22"/>
      <c r="W14" s="22"/>
      <c r="X14" s="27"/>
    </row>
    <row r="15" spans="1:24" x14ac:dyDescent="0.3">
      <c r="A15" s="22"/>
      <c r="B15" s="22"/>
      <c r="C15" s="22"/>
      <c r="D15" s="22"/>
      <c r="E15" s="22"/>
      <c r="F15" s="22"/>
      <c r="G15" s="22"/>
      <c r="H15" s="22"/>
      <c r="I15" s="23"/>
      <c r="K15" s="24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ht="15" thickBot="1" x14ac:dyDescent="0.35">
      <c r="A16" s="133">
        <f t="shared" ref="A16:G16" si="0">SUM(A2:A15)</f>
        <v>4950.13</v>
      </c>
      <c r="B16" s="133">
        <f t="shared" si="0"/>
        <v>3105</v>
      </c>
      <c r="C16" s="133">
        <f t="shared" si="0"/>
        <v>4782.3599999999997</v>
      </c>
      <c r="D16" s="133">
        <f t="shared" si="0"/>
        <v>3488.05</v>
      </c>
      <c r="E16" s="133">
        <f t="shared" si="0"/>
        <v>935</v>
      </c>
      <c r="F16" s="133">
        <f t="shared" si="0"/>
        <v>4954.09</v>
      </c>
      <c r="G16" s="133">
        <f t="shared" si="0"/>
        <v>4447.38</v>
      </c>
      <c r="H16" s="149">
        <f>SUM(A16:G16)+I8</f>
        <v>51565.630000000005</v>
      </c>
      <c r="I16" s="150" t="s">
        <v>7</v>
      </c>
      <c r="K16" s="34">
        <f>SUM(K3:K15)</f>
        <v>3970</v>
      </c>
      <c r="L16" s="16">
        <f t="shared" ref="L16:S16" si="1">SUM(L3:L15)</f>
        <v>417</v>
      </c>
      <c r="M16" s="34">
        <f t="shared" si="1"/>
        <v>2534</v>
      </c>
      <c r="N16" s="34">
        <f t="shared" si="1"/>
        <v>1115</v>
      </c>
      <c r="O16" s="34">
        <f t="shared" si="1"/>
        <v>5190</v>
      </c>
      <c r="P16" s="34">
        <f t="shared" si="1"/>
        <v>1890</v>
      </c>
      <c r="Q16" s="34">
        <f t="shared" si="1"/>
        <v>2032</v>
      </c>
      <c r="R16" s="34">
        <f t="shared" si="1"/>
        <v>250</v>
      </c>
      <c r="S16" s="34">
        <f t="shared" si="1"/>
        <v>587</v>
      </c>
      <c r="T16" s="34">
        <v>0</v>
      </c>
      <c r="U16" s="34">
        <f t="shared" ref="U16:X16" si="2">SUM(U3:U15)</f>
        <v>4719</v>
      </c>
      <c r="V16" s="34">
        <f t="shared" si="2"/>
        <v>706.5</v>
      </c>
      <c r="W16" s="34">
        <f t="shared" si="2"/>
        <v>3920</v>
      </c>
      <c r="X16" s="16">
        <f t="shared" si="2"/>
        <v>110</v>
      </c>
    </row>
    <row r="17" spans="1:24" ht="15.6" thickTop="1" thickBot="1" x14ac:dyDescent="0.35">
      <c r="A17" s="133">
        <v>4950.13</v>
      </c>
      <c r="B17" s="133">
        <v>3105</v>
      </c>
      <c r="C17" s="133">
        <v>4782.3599999999997</v>
      </c>
      <c r="D17" s="133">
        <v>3488.05</v>
      </c>
      <c r="E17" s="133">
        <v>935</v>
      </c>
      <c r="F17" s="133">
        <v>4954.09</v>
      </c>
      <c r="G17" s="133">
        <v>4447.38</v>
      </c>
      <c r="H17" s="149">
        <f>SUM(A17:G17)+I8</f>
        <v>51565.630000000005</v>
      </c>
      <c r="I17" s="151" t="s">
        <v>1</v>
      </c>
      <c r="K17" s="34">
        <v>3970</v>
      </c>
      <c r="L17" s="16">
        <v>417</v>
      </c>
      <c r="M17" s="34">
        <v>2534</v>
      </c>
      <c r="N17" s="34">
        <v>1115</v>
      </c>
      <c r="O17" s="34">
        <v>5190</v>
      </c>
      <c r="P17" s="34">
        <v>1890</v>
      </c>
      <c r="Q17" s="34">
        <v>2032</v>
      </c>
      <c r="R17" s="34">
        <v>250</v>
      </c>
      <c r="S17" s="34">
        <v>587</v>
      </c>
      <c r="T17" s="34">
        <v>15</v>
      </c>
      <c r="U17" s="34">
        <v>4719</v>
      </c>
      <c r="V17" s="34">
        <v>706.5</v>
      </c>
      <c r="W17" s="34">
        <v>3920</v>
      </c>
      <c r="X17" s="16">
        <v>110</v>
      </c>
    </row>
    <row r="18" spans="1:24" ht="15.6" thickTop="1" thickBot="1" x14ac:dyDescent="0.35">
      <c r="A18" s="63">
        <f t="shared" ref="A18:G18" si="3">A16-A17</f>
        <v>0</v>
      </c>
      <c r="B18" s="63">
        <f t="shared" si="3"/>
        <v>0</v>
      </c>
      <c r="C18" s="63">
        <f t="shared" si="3"/>
        <v>0</v>
      </c>
      <c r="D18" s="63">
        <f t="shared" si="3"/>
        <v>0</v>
      </c>
      <c r="E18" s="63">
        <f t="shared" si="3"/>
        <v>0</v>
      </c>
      <c r="F18" s="63">
        <f t="shared" si="3"/>
        <v>0</v>
      </c>
      <c r="G18" s="63">
        <f t="shared" si="3"/>
        <v>0</v>
      </c>
      <c r="H18" s="63">
        <f>H16-H17</f>
        <v>0</v>
      </c>
      <c r="I18" s="22">
        <f>SUM(I12:I17)</f>
        <v>0</v>
      </c>
      <c r="K18" s="152">
        <f t="shared" ref="K18:S18" si="4">K16-K17</f>
        <v>0</v>
      </c>
      <c r="L18" s="152">
        <f t="shared" si="4"/>
        <v>0</v>
      </c>
      <c r="M18" s="152">
        <f t="shared" si="4"/>
        <v>0</v>
      </c>
      <c r="N18" s="152">
        <f t="shared" si="4"/>
        <v>0</v>
      </c>
      <c r="O18" s="152">
        <f t="shared" si="4"/>
        <v>0</v>
      </c>
      <c r="P18" s="152">
        <f t="shared" si="4"/>
        <v>0</v>
      </c>
      <c r="Q18" s="152">
        <f t="shared" si="4"/>
        <v>0</v>
      </c>
      <c r="R18" s="152">
        <f t="shared" si="4"/>
        <v>0</v>
      </c>
      <c r="S18" s="152">
        <f t="shared" si="4"/>
        <v>0</v>
      </c>
      <c r="T18" s="152">
        <v>0</v>
      </c>
      <c r="U18" s="152">
        <f t="shared" ref="U18:X18" si="5">U16-U17</f>
        <v>0</v>
      </c>
      <c r="V18" s="152">
        <f t="shared" si="5"/>
        <v>0</v>
      </c>
      <c r="W18" s="152">
        <f t="shared" si="5"/>
        <v>0</v>
      </c>
      <c r="X18" s="146">
        <f t="shared" si="5"/>
        <v>0</v>
      </c>
    </row>
    <row r="19" spans="1:24" ht="15" thickBot="1" x14ac:dyDescent="0.35"/>
    <row r="20" spans="1:24" x14ac:dyDescent="0.3">
      <c r="A20" s="157">
        <v>45784</v>
      </c>
      <c r="B20" s="157">
        <v>45785</v>
      </c>
      <c r="C20" s="157">
        <v>45786</v>
      </c>
      <c r="D20" s="157">
        <v>45787</v>
      </c>
      <c r="E20" s="157">
        <v>45788</v>
      </c>
      <c r="F20" s="157">
        <v>45789</v>
      </c>
      <c r="G20" s="157">
        <v>45790</v>
      </c>
      <c r="H20" s="17"/>
      <c r="I20" s="13" t="s">
        <v>8</v>
      </c>
      <c r="K20" s="59">
        <v>45784</v>
      </c>
      <c r="L20" s="59"/>
      <c r="M20" s="59">
        <v>45785</v>
      </c>
      <c r="N20" s="59"/>
      <c r="O20" s="59">
        <v>45786</v>
      </c>
      <c r="P20" s="59"/>
      <c r="Q20" s="59">
        <v>45787</v>
      </c>
      <c r="R20" s="59"/>
      <c r="S20" s="59">
        <v>45788</v>
      </c>
      <c r="T20" s="59"/>
      <c r="U20" s="59">
        <v>45789</v>
      </c>
      <c r="V20" s="59"/>
      <c r="W20" s="59">
        <v>45790</v>
      </c>
      <c r="X20" s="59"/>
    </row>
    <row r="21" spans="1:24" ht="15" thickBot="1" x14ac:dyDescent="0.35">
      <c r="A21" s="22">
        <v>1826.84</v>
      </c>
      <c r="B21" s="22">
        <v>1582.38</v>
      </c>
      <c r="C21" s="22">
        <v>880</v>
      </c>
      <c r="D21" s="22">
        <v>1140</v>
      </c>
      <c r="E21" s="22">
        <v>330</v>
      </c>
      <c r="F21" s="22">
        <v>1060</v>
      </c>
      <c r="G21" s="22">
        <v>1115</v>
      </c>
      <c r="H21" s="37"/>
      <c r="I21" s="15">
        <v>2225</v>
      </c>
      <c r="K21" s="124" t="s">
        <v>10</v>
      </c>
      <c r="L21" s="125" t="s">
        <v>11</v>
      </c>
      <c r="M21" s="126" t="s">
        <v>10</v>
      </c>
      <c r="N21" s="126" t="s">
        <v>11</v>
      </c>
      <c r="O21" s="126" t="s">
        <v>10</v>
      </c>
      <c r="P21" s="126" t="s">
        <v>11</v>
      </c>
      <c r="Q21" s="126" t="s">
        <v>10</v>
      </c>
      <c r="R21" s="126" t="s">
        <v>11</v>
      </c>
      <c r="S21" s="126" t="s">
        <v>10</v>
      </c>
      <c r="T21" s="126" t="s">
        <v>11</v>
      </c>
      <c r="U21" s="126" t="s">
        <v>10</v>
      </c>
      <c r="V21" s="126" t="s">
        <v>11</v>
      </c>
      <c r="W21" s="126" t="s">
        <v>10</v>
      </c>
      <c r="X21" s="143" t="s">
        <v>11</v>
      </c>
    </row>
    <row r="22" spans="1:24" x14ac:dyDescent="0.3">
      <c r="A22" s="22">
        <v>1615</v>
      </c>
      <c r="B22" s="22">
        <v>1805</v>
      </c>
      <c r="C22" s="22">
        <v>2180</v>
      </c>
      <c r="D22" s="22">
        <v>1248.5899999999999</v>
      </c>
      <c r="E22" s="22">
        <v>445</v>
      </c>
      <c r="F22" s="22">
        <v>2545</v>
      </c>
      <c r="G22" s="22">
        <v>2075</v>
      </c>
      <c r="H22" s="37"/>
      <c r="I22" s="15">
        <v>5900</v>
      </c>
      <c r="K22" s="75">
        <v>210</v>
      </c>
      <c r="L22" s="76">
        <v>35</v>
      </c>
      <c r="M22" s="77">
        <v>2400</v>
      </c>
      <c r="N22" s="77">
        <v>35</v>
      </c>
      <c r="O22" s="77">
        <v>180</v>
      </c>
      <c r="P22" s="77">
        <v>70</v>
      </c>
      <c r="Q22" s="63">
        <v>28</v>
      </c>
      <c r="R22" s="77">
        <v>67.5</v>
      </c>
      <c r="S22" s="63">
        <v>28</v>
      </c>
      <c r="T22" s="22">
        <v>15</v>
      </c>
      <c r="U22" s="63">
        <v>180</v>
      </c>
      <c r="V22" s="63">
        <v>52.5</v>
      </c>
      <c r="W22" s="63">
        <v>330</v>
      </c>
      <c r="X22" s="40">
        <v>50</v>
      </c>
    </row>
    <row r="23" spans="1:24" x14ac:dyDescent="0.3">
      <c r="A23" s="22">
        <v>1390</v>
      </c>
      <c r="B23" s="22">
        <v>1060</v>
      </c>
      <c r="C23" s="22">
        <v>2103.5100000000002</v>
      </c>
      <c r="D23" s="26">
        <v>1460</v>
      </c>
      <c r="E23" s="22"/>
      <c r="F23" s="22">
        <v>1994.08</v>
      </c>
      <c r="G23" s="22">
        <v>1994.08</v>
      </c>
      <c r="H23" s="37"/>
      <c r="I23" s="15">
        <v>710</v>
      </c>
      <c r="K23" s="21">
        <v>481</v>
      </c>
      <c r="L23" s="79">
        <v>1680</v>
      </c>
      <c r="M23" s="80">
        <v>158</v>
      </c>
      <c r="N23" s="43">
        <v>1680</v>
      </c>
      <c r="O23" s="43">
        <v>3880</v>
      </c>
      <c r="P23" s="43"/>
      <c r="Q23" s="22">
        <v>270</v>
      </c>
      <c r="R23" s="80">
        <v>622.5</v>
      </c>
      <c r="S23" s="22">
        <v>84</v>
      </c>
      <c r="T23" s="22"/>
      <c r="U23" s="22">
        <v>448</v>
      </c>
      <c r="V23" s="22">
        <v>38</v>
      </c>
      <c r="W23" s="22">
        <v>255</v>
      </c>
      <c r="X23" s="27"/>
    </row>
    <row r="24" spans="1:24" x14ac:dyDescent="0.3">
      <c r="A24" s="22"/>
      <c r="B24" s="22"/>
      <c r="C24" s="22"/>
      <c r="D24" s="25"/>
      <c r="E24" s="22"/>
      <c r="F24" s="22"/>
      <c r="G24" s="22"/>
      <c r="H24" s="37"/>
      <c r="I24" s="15">
        <v>5935.14</v>
      </c>
      <c r="K24" s="21">
        <v>3740</v>
      </c>
      <c r="L24" s="79"/>
      <c r="M24" s="81">
        <v>240</v>
      </c>
      <c r="N24" s="43"/>
      <c r="O24" s="43">
        <v>442</v>
      </c>
      <c r="P24" s="43"/>
      <c r="Q24" s="22">
        <v>336</v>
      </c>
      <c r="R24" s="81">
        <v>409.5</v>
      </c>
      <c r="S24" s="22">
        <v>500</v>
      </c>
      <c r="T24" s="22"/>
      <c r="U24" s="22">
        <v>3690</v>
      </c>
      <c r="V24" s="22"/>
      <c r="W24" s="22">
        <v>2670</v>
      </c>
      <c r="X24" s="27"/>
    </row>
    <row r="25" spans="1:24" x14ac:dyDescent="0.3">
      <c r="A25" s="22"/>
      <c r="B25" s="22"/>
      <c r="C25" s="22"/>
      <c r="D25" s="22"/>
      <c r="E25" s="22"/>
      <c r="F25" s="22"/>
      <c r="G25" s="22"/>
      <c r="H25" s="37"/>
      <c r="I25" s="15">
        <v>5660.8</v>
      </c>
      <c r="K25" s="21">
        <v>120</v>
      </c>
      <c r="M25" s="43"/>
      <c r="N25" s="43"/>
      <c r="O25" s="43">
        <v>300</v>
      </c>
      <c r="P25" s="43"/>
      <c r="Q25" s="22">
        <v>2200</v>
      </c>
      <c r="R25" s="43"/>
      <c r="S25" s="22"/>
      <c r="T25" s="22"/>
      <c r="U25" s="22">
        <v>300</v>
      </c>
      <c r="V25" s="22"/>
      <c r="W25" s="22">
        <v>420</v>
      </c>
      <c r="X25" s="27"/>
    </row>
    <row r="26" spans="1:24" ht="15" thickBot="1" x14ac:dyDescent="0.35">
      <c r="A26" s="22"/>
      <c r="B26" s="22"/>
      <c r="C26" s="22"/>
      <c r="D26" s="22"/>
      <c r="E26" s="22"/>
      <c r="F26" s="22"/>
      <c r="G26" s="22"/>
      <c r="H26" s="37"/>
      <c r="I26" s="131">
        <v>1312.32</v>
      </c>
      <c r="K26" s="128"/>
      <c r="L26" s="79"/>
      <c r="M26" s="43"/>
      <c r="N26" s="43"/>
      <c r="O26" s="43"/>
      <c r="P26" s="43"/>
      <c r="Q26" s="22"/>
      <c r="R26" s="43"/>
      <c r="S26" s="22"/>
      <c r="T26" s="22"/>
      <c r="U26" s="22"/>
      <c r="V26" s="22"/>
      <c r="W26" s="22"/>
      <c r="X26" s="27"/>
    </row>
    <row r="27" spans="1:24" ht="15.6" thickTop="1" thickBot="1" x14ac:dyDescent="0.35">
      <c r="A27" s="22"/>
      <c r="B27" s="22"/>
      <c r="C27" s="22"/>
      <c r="D27" s="22"/>
      <c r="E27" s="22"/>
      <c r="F27" s="22"/>
      <c r="G27" s="22"/>
      <c r="H27" s="37"/>
      <c r="I27" s="132">
        <f>SUM(I21:I26)</f>
        <v>21743.26</v>
      </c>
      <c r="K27" s="21"/>
      <c r="L27" s="79"/>
      <c r="M27" s="43"/>
      <c r="N27" s="43"/>
      <c r="O27" s="43"/>
      <c r="P27" s="43"/>
      <c r="Q27" s="22"/>
      <c r="R27" s="43"/>
      <c r="S27" s="22"/>
      <c r="T27" s="22"/>
      <c r="U27" s="22"/>
      <c r="V27" s="22"/>
      <c r="W27" s="22"/>
      <c r="X27" s="27"/>
    </row>
    <row r="28" spans="1:24" ht="15" thickTop="1" x14ac:dyDescent="0.3">
      <c r="A28" s="22"/>
      <c r="B28" s="22"/>
      <c r="C28" s="22"/>
      <c r="D28" s="22"/>
      <c r="E28" s="22"/>
      <c r="F28" s="22"/>
      <c r="G28" s="22"/>
      <c r="H28" s="37"/>
      <c r="I28" s="40"/>
      <c r="K28" s="24"/>
      <c r="L28" s="5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7"/>
    </row>
    <row r="29" spans="1:24" x14ac:dyDescent="0.3">
      <c r="A29" s="22"/>
      <c r="B29" s="22"/>
      <c r="C29" s="22"/>
      <c r="D29" s="22"/>
      <c r="E29" s="22"/>
      <c r="F29" s="22"/>
      <c r="G29" s="22"/>
      <c r="H29" s="37"/>
      <c r="I29" s="27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7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7"/>
    </row>
    <row r="31" spans="1:24" x14ac:dyDescent="0.3">
      <c r="A31" s="22"/>
      <c r="B31" s="22"/>
      <c r="C31" s="22"/>
      <c r="D31" s="22"/>
      <c r="E31" s="22"/>
      <c r="F31" s="22"/>
      <c r="G31" s="22"/>
      <c r="H31" s="22"/>
      <c r="I31" s="23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7"/>
    </row>
    <row r="32" spans="1:24" ht="15" thickBot="1" x14ac:dyDescent="0.35">
      <c r="A32" s="22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35"/>
      <c r="O32" s="22"/>
      <c r="P32" s="22"/>
      <c r="Q32" s="22"/>
      <c r="R32" s="22"/>
      <c r="S32" s="22"/>
      <c r="T32" s="22"/>
      <c r="U32" s="22"/>
      <c r="V32" s="22"/>
      <c r="W32" s="22"/>
      <c r="X32" s="27"/>
    </row>
    <row r="33" spans="1:24" ht="15" thickTop="1" x14ac:dyDescent="0.3">
      <c r="A33" s="22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63"/>
      <c r="O33" s="22"/>
      <c r="P33" s="22"/>
      <c r="Q33" s="22"/>
      <c r="R33" s="22"/>
      <c r="S33" s="22"/>
      <c r="T33" s="22"/>
      <c r="U33" s="22"/>
      <c r="V33" s="22"/>
      <c r="W33" s="22"/>
      <c r="X33" s="27"/>
    </row>
    <row r="34" spans="1:24" x14ac:dyDescent="0.3">
      <c r="A34" s="22"/>
      <c r="B34" s="22"/>
      <c r="C34" s="22"/>
      <c r="D34" s="22"/>
      <c r="E34" s="22"/>
      <c r="F34" s="22"/>
      <c r="G34" s="22"/>
      <c r="H34" s="22"/>
      <c r="I34" s="23"/>
      <c r="K34" s="24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ht="15" thickBot="1" x14ac:dyDescent="0.35">
      <c r="A35" s="133">
        <f t="shared" ref="A35:G35" si="6">SUM(A21:A34)</f>
        <v>4831.84</v>
      </c>
      <c r="B35" s="133">
        <f t="shared" si="6"/>
        <v>4447.38</v>
      </c>
      <c r="C35" s="133">
        <f>SUM(C21:C34)</f>
        <v>5163.51</v>
      </c>
      <c r="D35" s="133">
        <f t="shared" si="6"/>
        <v>3848.59</v>
      </c>
      <c r="E35" s="133">
        <f t="shared" si="6"/>
        <v>775</v>
      </c>
      <c r="F35" s="133">
        <f t="shared" si="6"/>
        <v>5599.08</v>
      </c>
      <c r="G35" s="133">
        <f t="shared" si="6"/>
        <v>5184.08</v>
      </c>
      <c r="H35" s="149">
        <f>SUM(A35:G35)+I27</f>
        <v>51592.740000000005</v>
      </c>
      <c r="I35" s="150" t="s">
        <v>7</v>
      </c>
      <c r="K35" s="34">
        <f>SUM(K22:K34)</f>
        <v>4551</v>
      </c>
      <c r="L35" s="16">
        <f t="shared" ref="L35" si="7">SUM(L22:L34)</f>
        <v>1715</v>
      </c>
      <c r="M35" s="34">
        <f>SUM(M22:M34)</f>
        <v>2798</v>
      </c>
      <c r="N35" s="34">
        <f t="shared" ref="N35:S35" si="8">SUM(N22:N34)</f>
        <v>1715</v>
      </c>
      <c r="O35" s="34">
        <f t="shared" si="8"/>
        <v>4802</v>
      </c>
      <c r="P35" s="34">
        <f t="shared" si="8"/>
        <v>70</v>
      </c>
      <c r="Q35" s="34">
        <f t="shared" si="8"/>
        <v>2834</v>
      </c>
      <c r="R35" s="34">
        <f t="shared" si="8"/>
        <v>1099.5</v>
      </c>
      <c r="S35" s="34">
        <f t="shared" si="8"/>
        <v>612</v>
      </c>
      <c r="T35" s="34">
        <v>0</v>
      </c>
      <c r="U35" s="34">
        <f t="shared" ref="U35:X35" si="9">SUM(U22:U34)</f>
        <v>4618</v>
      </c>
      <c r="V35" s="34">
        <f t="shared" si="9"/>
        <v>90.5</v>
      </c>
      <c r="W35" s="34">
        <f t="shared" si="9"/>
        <v>3675</v>
      </c>
      <c r="X35" s="16">
        <f t="shared" si="9"/>
        <v>50</v>
      </c>
    </row>
    <row r="36" spans="1:24" ht="15.6" thickTop="1" thickBot="1" x14ac:dyDescent="0.35">
      <c r="A36" s="133">
        <v>4831.84</v>
      </c>
      <c r="B36" s="133">
        <v>4447.38</v>
      </c>
      <c r="C36" s="133">
        <v>5163.51</v>
      </c>
      <c r="D36" s="48">
        <v>3848.59</v>
      </c>
      <c r="E36" s="48">
        <v>775</v>
      </c>
      <c r="F36" s="48">
        <v>5279.08</v>
      </c>
      <c r="G36" s="48">
        <v>5184.08</v>
      </c>
      <c r="H36" s="149">
        <f>SUM(A36:G36)+I27</f>
        <v>51272.740000000005</v>
      </c>
      <c r="I36" s="151" t="s">
        <v>1</v>
      </c>
      <c r="K36" s="34">
        <v>4344</v>
      </c>
      <c r="L36" s="16">
        <v>1715</v>
      </c>
      <c r="M36" s="16">
        <f>2170+180</f>
        <v>2350</v>
      </c>
      <c r="N36" s="16">
        <f>1680+35</f>
        <v>1715</v>
      </c>
      <c r="O36" s="16">
        <f>1742+3060</f>
        <v>4802</v>
      </c>
      <c r="P36" s="16">
        <f>10+60</f>
        <v>70</v>
      </c>
      <c r="Q36" s="16">
        <v>2834</v>
      </c>
      <c r="R36" s="16">
        <v>1099.5</v>
      </c>
      <c r="S36" s="16">
        <v>612</v>
      </c>
      <c r="T36" s="16">
        <v>15</v>
      </c>
      <c r="U36" s="16">
        <v>4618</v>
      </c>
      <c r="V36" s="16">
        <v>90.5</v>
      </c>
      <c r="W36" s="16">
        <v>3675</v>
      </c>
      <c r="X36" s="16">
        <v>50</v>
      </c>
    </row>
    <row r="37" spans="1:24" ht="15.6" thickTop="1" thickBot="1" x14ac:dyDescent="0.35">
      <c r="A37" s="152">
        <f t="shared" ref="A37:B37" si="10">A35-A36</f>
        <v>0</v>
      </c>
      <c r="B37" s="153">
        <f t="shared" si="10"/>
        <v>0</v>
      </c>
      <c r="C37" s="153">
        <f>C35-C36</f>
        <v>0</v>
      </c>
      <c r="D37" s="153">
        <f t="shared" ref="D37:H37" si="11">D35-D36</f>
        <v>0</v>
      </c>
      <c r="E37" s="153">
        <f t="shared" si="11"/>
        <v>0</v>
      </c>
      <c r="F37" s="153">
        <f t="shared" si="11"/>
        <v>320</v>
      </c>
      <c r="G37" s="153">
        <f t="shared" si="11"/>
        <v>0</v>
      </c>
      <c r="H37" s="154">
        <f t="shared" si="11"/>
        <v>320</v>
      </c>
      <c r="I37" s="56">
        <f>SUM(I31:I36)</f>
        <v>0</v>
      </c>
      <c r="K37" s="152">
        <f t="shared" ref="K37:X37" si="12">K35-K36</f>
        <v>207</v>
      </c>
      <c r="L37" s="152">
        <f t="shared" si="12"/>
        <v>0</v>
      </c>
      <c r="M37" s="152">
        <f t="shared" si="12"/>
        <v>448</v>
      </c>
      <c r="N37" s="152">
        <f t="shared" si="12"/>
        <v>0</v>
      </c>
      <c r="O37" s="152">
        <f t="shared" si="12"/>
        <v>0</v>
      </c>
      <c r="P37" s="152">
        <f t="shared" si="12"/>
        <v>0</v>
      </c>
      <c r="Q37" s="152">
        <f t="shared" si="12"/>
        <v>0</v>
      </c>
      <c r="R37" s="152">
        <f t="shared" si="12"/>
        <v>0</v>
      </c>
      <c r="S37" s="152">
        <f t="shared" si="12"/>
        <v>0</v>
      </c>
      <c r="T37" s="152">
        <f t="shared" si="12"/>
        <v>-15</v>
      </c>
      <c r="U37" s="152">
        <f t="shared" si="12"/>
        <v>0</v>
      </c>
      <c r="V37" s="152">
        <f t="shared" si="12"/>
        <v>0</v>
      </c>
      <c r="W37" s="152">
        <f t="shared" si="12"/>
        <v>0</v>
      </c>
      <c r="X37" s="152">
        <f t="shared" si="12"/>
        <v>0</v>
      </c>
    </row>
    <row r="38" spans="1:24" ht="15" thickBot="1" x14ac:dyDescent="0.35"/>
    <row r="39" spans="1:24" x14ac:dyDescent="0.3">
      <c r="A39" s="157">
        <v>45791</v>
      </c>
      <c r="B39" s="157">
        <v>45792</v>
      </c>
      <c r="C39" s="157">
        <v>45793</v>
      </c>
      <c r="D39" s="157">
        <v>45794</v>
      </c>
      <c r="E39" s="157">
        <v>45795</v>
      </c>
      <c r="F39" s="157">
        <v>45796</v>
      </c>
      <c r="G39" s="157">
        <v>45797</v>
      </c>
      <c r="H39" s="17"/>
      <c r="I39" s="13" t="s">
        <v>8</v>
      </c>
      <c r="K39" s="59">
        <v>45791</v>
      </c>
      <c r="L39" s="59"/>
      <c r="M39" s="59">
        <v>45792</v>
      </c>
      <c r="N39" s="59"/>
      <c r="O39" s="59">
        <v>45793</v>
      </c>
      <c r="P39" s="59"/>
      <c r="Q39" s="59">
        <v>45794</v>
      </c>
      <c r="R39" s="59"/>
      <c r="S39" s="59">
        <v>45795</v>
      </c>
      <c r="T39" s="59"/>
      <c r="U39" s="59">
        <v>45796</v>
      </c>
      <c r="V39" s="59"/>
      <c r="W39" s="59">
        <v>45797</v>
      </c>
      <c r="X39" s="59"/>
    </row>
    <row r="40" spans="1:24" ht="15" thickBot="1" x14ac:dyDescent="0.35">
      <c r="A40" s="22">
        <v>1904.06</v>
      </c>
      <c r="B40" s="22">
        <v>1060</v>
      </c>
      <c r="C40" s="22">
        <v>2437.9899999999998</v>
      </c>
      <c r="D40" s="22">
        <v>3725.21</v>
      </c>
      <c r="E40" s="22">
        <v>585</v>
      </c>
      <c r="F40" s="22">
        <v>1085</v>
      </c>
      <c r="G40" s="22">
        <v>2392.98</v>
      </c>
      <c r="H40" s="37"/>
      <c r="I40" s="15">
        <v>6000</v>
      </c>
      <c r="K40" s="124" t="s">
        <v>10</v>
      </c>
      <c r="L40" s="125" t="s">
        <v>11</v>
      </c>
      <c r="M40" s="126" t="s">
        <v>10</v>
      </c>
      <c r="N40" s="126" t="s">
        <v>11</v>
      </c>
      <c r="O40" s="126" t="s">
        <v>10</v>
      </c>
      <c r="P40" s="126" t="s">
        <v>11</v>
      </c>
      <c r="Q40" s="126" t="s">
        <v>10</v>
      </c>
      <c r="R40" s="126" t="s">
        <v>11</v>
      </c>
      <c r="S40" s="126" t="s">
        <v>10</v>
      </c>
      <c r="T40" s="126" t="s">
        <v>11</v>
      </c>
      <c r="U40" s="126" t="s">
        <v>10</v>
      </c>
      <c r="V40" s="126" t="s">
        <v>11</v>
      </c>
      <c r="W40" s="126" t="s">
        <v>10</v>
      </c>
      <c r="X40" s="143" t="s">
        <v>11</v>
      </c>
    </row>
    <row r="41" spans="1:24" x14ac:dyDescent="0.3">
      <c r="A41" s="22">
        <v>2205</v>
      </c>
      <c r="B41" s="22">
        <v>1590</v>
      </c>
      <c r="C41" s="22">
        <v>2625</v>
      </c>
      <c r="D41" s="22">
        <v>1120</v>
      </c>
      <c r="E41" s="22">
        <v>435</v>
      </c>
      <c r="F41" s="22">
        <v>1880</v>
      </c>
      <c r="G41" s="22">
        <v>2195</v>
      </c>
      <c r="H41" s="37"/>
      <c r="I41" s="15">
        <v>2520</v>
      </c>
      <c r="K41" s="75">
        <v>420</v>
      </c>
      <c r="L41" s="76">
        <v>15</v>
      </c>
      <c r="M41" s="77">
        <v>330</v>
      </c>
      <c r="N41" s="77">
        <v>30</v>
      </c>
      <c r="O41" s="77">
        <v>300</v>
      </c>
      <c r="P41" s="77">
        <v>7.5</v>
      </c>
      <c r="Q41" s="63">
        <v>2290</v>
      </c>
      <c r="R41" s="77">
        <v>112.5</v>
      </c>
      <c r="S41" s="63">
        <v>590</v>
      </c>
      <c r="T41" s="22">
        <v>3300</v>
      </c>
      <c r="U41" s="63">
        <v>52.5</v>
      </c>
      <c r="V41" s="63"/>
      <c r="W41" s="63">
        <v>180</v>
      </c>
      <c r="X41" s="40">
        <v>1200</v>
      </c>
    </row>
    <row r="42" spans="1:24" x14ac:dyDescent="0.3">
      <c r="A42" s="22">
        <v>1255</v>
      </c>
      <c r="B42" s="26">
        <v>2148.52</v>
      </c>
      <c r="C42" s="22">
        <v>650</v>
      </c>
      <c r="D42" s="26">
        <v>1045</v>
      </c>
      <c r="E42" s="22"/>
      <c r="F42" s="22">
        <v>2392.98</v>
      </c>
      <c r="G42" s="22">
        <v>755</v>
      </c>
      <c r="H42" s="37"/>
      <c r="I42" s="15">
        <v>660</v>
      </c>
      <c r="K42" s="21">
        <v>3440</v>
      </c>
      <c r="L42" s="79">
        <v>42.5</v>
      </c>
      <c r="M42" s="80">
        <v>202</v>
      </c>
      <c r="N42" s="43"/>
      <c r="O42" s="43">
        <v>3030</v>
      </c>
      <c r="P42" s="43"/>
      <c r="Q42" s="22">
        <v>324</v>
      </c>
      <c r="R42" s="80"/>
      <c r="S42" s="22">
        <v>82</v>
      </c>
      <c r="T42" s="22">
        <v>202</v>
      </c>
      <c r="U42" s="22">
        <v>60</v>
      </c>
      <c r="V42" s="22"/>
      <c r="W42" s="22">
        <v>2740</v>
      </c>
      <c r="X42" s="27">
        <v>409.5</v>
      </c>
    </row>
    <row r="43" spans="1:24" x14ac:dyDescent="0.3">
      <c r="A43" s="22"/>
      <c r="B43" s="25"/>
      <c r="C43" s="22"/>
      <c r="D43" s="25"/>
      <c r="E43" s="22"/>
      <c r="F43" s="22"/>
      <c r="G43" s="22"/>
      <c r="H43" s="37"/>
      <c r="I43" s="15">
        <v>5660.8</v>
      </c>
      <c r="K43" s="21">
        <v>334</v>
      </c>
      <c r="L43" s="79"/>
      <c r="M43" s="81">
        <v>2520</v>
      </c>
      <c r="N43" s="43"/>
      <c r="O43" s="43">
        <v>286</v>
      </c>
      <c r="P43" s="43"/>
      <c r="Q43" s="22">
        <v>270</v>
      </c>
      <c r="R43" s="81"/>
      <c r="S43" s="22"/>
      <c r="T43" s="22">
        <v>3130</v>
      </c>
      <c r="U43" s="22">
        <v>30</v>
      </c>
      <c r="V43" s="22"/>
      <c r="W43" s="22">
        <v>364</v>
      </c>
      <c r="X43" s="27">
        <v>45</v>
      </c>
    </row>
    <row r="44" spans="1:24" x14ac:dyDescent="0.3">
      <c r="A44" s="22"/>
      <c r="B44" s="22"/>
      <c r="C44" s="22"/>
      <c r="D44" s="22"/>
      <c r="E44" s="22"/>
      <c r="F44" s="22"/>
      <c r="G44" s="22"/>
      <c r="H44" s="37"/>
      <c r="I44" s="15">
        <v>5518.16</v>
      </c>
      <c r="K44" s="21">
        <v>300</v>
      </c>
      <c r="M44" s="43">
        <v>420</v>
      </c>
      <c r="N44" s="43"/>
      <c r="O44" s="43">
        <v>330</v>
      </c>
      <c r="P44" s="43"/>
      <c r="Q44" s="22">
        <v>28</v>
      </c>
      <c r="R44" s="43"/>
      <c r="S44" s="22"/>
      <c r="T44" s="22">
        <v>300</v>
      </c>
      <c r="U44" s="22">
        <v>30</v>
      </c>
      <c r="V44" s="22"/>
      <c r="W44" s="22">
        <v>360</v>
      </c>
      <c r="X44" s="27">
        <v>330</v>
      </c>
    </row>
    <row r="45" spans="1:24" ht="15" thickBot="1" x14ac:dyDescent="0.35">
      <c r="A45" s="22"/>
      <c r="B45" s="22"/>
      <c r="C45" s="22"/>
      <c r="D45" s="22"/>
      <c r="E45" s="22"/>
      <c r="F45" s="22"/>
      <c r="G45" s="22"/>
      <c r="H45" s="37"/>
      <c r="I45" s="131">
        <v>578.94000000000005</v>
      </c>
      <c r="K45" s="128"/>
      <c r="L45" s="79"/>
      <c r="M45" s="43"/>
      <c r="N45" s="43"/>
      <c r="O45" s="43"/>
      <c r="P45" s="43"/>
      <c r="Q45" s="22"/>
      <c r="R45" s="43"/>
      <c r="S45" s="22"/>
      <c r="T45" s="22"/>
      <c r="U45" s="22"/>
      <c r="V45" s="22"/>
      <c r="W45" s="22"/>
      <c r="X45" s="27"/>
    </row>
    <row r="46" spans="1:24" ht="15.6" thickTop="1" thickBot="1" x14ac:dyDescent="0.35">
      <c r="A46" s="22"/>
      <c r="B46" s="22"/>
      <c r="C46" s="22"/>
      <c r="D46" s="22"/>
      <c r="E46" s="22"/>
      <c r="F46" s="22"/>
      <c r="G46" s="22"/>
      <c r="H46" s="37"/>
      <c r="I46" s="132">
        <f>SUM(I40:I45)</f>
        <v>20937.899999999998</v>
      </c>
      <c r="K46" s="21"/>
      <c r="L46" s="79"/>
      <c r="M46" s="43"/>
      <c r="N46" s="43"/>
      <c r="O46" s="43"/>
      <c r="P46" s="43"/>
      <c r="Q46" s="22"/>
      <c r="R46" s="43"/>
      <c r="S46" s="22"/>
      <c r="T46" s="22"/>
      <c r="U46" s="22"/>
      <c r="V46" s="22"/>
      <c r="W46" s="22"/>
      <c r="X46" s="27"/>
    </row>
    <row r="47" spans="1:24" ht="15" thickTop="1" x14ac:dyDescent="0.3">
      <c r="A47" s="22"/>
      <c r="B47" s="22"/>
      <c r="C47" s="22"/>
      <c r="D47" s="22"/>
      <c r="E47" s="22"/>
      <c r="F47" s="22"/>
      <c r="G47" s="22"/>
      <c r="H47" s="37"/>
      <c r="I47" s="40"/>
      <c r="K47" s="24"/>
      <c r="L47" s="5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7"/>
    </row>
    <row r="48" spans="1:24" x14ac:dyDescent="0.3">
      <c r="A48" s="22"/>
      <c r="B48" s="22"/>
      <c r="C48" s="22"/>
      <c r="D48" s="22"/>
      <c r="E48" s="22"/>
      <c r="F48" s="22"/>
      <c r="G48" s="22"/>
      <c r="H48" s="37"/>
      <c r="I48" s="27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7"/>
    </row>
    <row r="49" spans="1:24" x14ac:dyDescent="0.3">
      <c r="A49" s="22"/>
      <c r="B49" s="22"/>
      <c r="C49" s="22"/>
      <c r="D49" s="22"/>
      <c r="E49" s="22"/>
      <c r="F49" s="22"/>
      <c r="G49" s="22"/>
      <c r="H49" s="37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7"/>
    </row>
    <row r="50" spans="1:24" x14ac:dyDescent="0.3">
      <c r="A50" s="22"/>
      <c r="B50" s="22"/>
      <c r="C50" s="22"/>
      <c r="D50" s="22"/>
      <c r="E50" s="22"/>
      <c r="F50" s="22"/>
      <c r="G50" s="22"/>
      <c r="H50" s="22"/>
      <c r="I50" s="23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7"/>
    </row>
    <row r="51" spans="1:24" ht="15" thickBot="1" x14ac:dyDescent="0.35">
      <c r="A51" s="22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35"/>
      <c r="O51" s="22"/>
      <c r="P51" s="22"/>
      <c r="Q51" s="22"/>
      <c r="R51" s="22"/>
      <c r="S51" s="22"/>
      <c r="T51" s="22"/>
      <c r="U51" s="22"/>
      <c r="V51" s="22"/>
      <c r="W51" s="22"/>
      <c r="X51" s="27"/>
    </row>
    <row r="52" spans="1:24" ht="15" thickTop="1" x14ac:dyDescent="0.3">
      <c r="A52" s="22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63"/>
      <c r="O52" s="22"/>
      <c r="P52" s="22"/>
      <c r="Q52" s="22"/>
      <c r="R52" s="22"/>
      <c r="S52" s="22"/>
      <c r="T52" s="22"/>
      <c r="U52" s="22"/>
      <c r="V52" s="22"/>
      <c r="W52" s="22"/>
      <c r="X52" s="27"/>
    </row>
    <row r="53" spans="1:24" x14ac:dyDescent="0.3">
      <c r="A53" s="22"/>
      <c r="B53" s="22"/>
      <c r="C53" s="22"/>
      <c r="D53" s="22"/>
      <c r="E53" s="22"/>
      <c r="F53" s="22"/>
      <c r="G53" s="22"/>
      <c r="H53" s="22"/>
      <c r="I53" s="23"/>
      <c r="K53" s="2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ht="15" thickBot="1" x14ac:dyDescent="0.35">
      <c r="A54" s="133">
        <f t="shared" ref="A54:G54" si="13">SUM(A40:A53)</f>
        <v>5364.0599999999995</v>
      </c>
      <c r="B54" s="133">
        <f t="shared" si="13"/>
        <v>4798.5200000000004</v>
      </c>
      <c r="C54" s="133">
        <f t="shared" si="13"/>
        <v>5712.99</v>
      </c>
      <c r="D54" s="133">
        <f t="shared" si="13"/>
        <v>5890.21</v>
      </c>
      <c r="E54" s="133">
        <f t="shared" si="13"/>
        <v>1020</v>
      </c>
      <c r="F54" s="133">
        <f t="shared" si="13"/>
        <v>5357.98</v>
      </c>
      <c r="G54" s="133">
        <f t="shared" si="13"/>
        <v>5342.98</v>
      </c>
      <c r="H54" s="149">
        <f>SUM(A54:G54)+I46</f>
        <v>54424.639999999999</v>
      </c>
      <c r="I54" s="150" t="s">
        <v>7</v>
      </c>
      <c r="K54" s="34">
        <f>SUM(K41:K53)</f>
        <v>4494</v>
      </c>
      <c r="L54" s="16">
        <f t="shared" ref="L54:S54" si="14">SUM(L41:L53)</f>
        <v>57.5</v>
      </c>
      <c r="M54" s="34">
        <f t="shared" si="14"/>
        <v>3472</v>
      </c>
      <c r="N54" s="34">
        <f t="shared" si="14"/>
        <v>30</v>
      </c>
      <c r="O54" s="34">
        <f t="shared" si="14"/>
        <v>3946</v>
      </c>
      <c r="P54" s="34">
        <f t="shared" si="14"/>
        <v>7.5</v>
      </c>
      <c r="Q54" s="34">
        <f t="shared" si="14"/>
        <v>2912</v>
      </c>
      <c r="R54" s="34">
        <f t="shared" si="14"/>
        <v>112.5</v>
      </c>
      <c r="S54" s="34">
        <f t="shared" si="14"/>
        <v>672</v>
      </c>
      <c r="T54" s="34">
        <v>0</v>
      </c>
      <c r="U54" s="34">
        <f t="shared" ref="U54:X54" si="15">SUM(U41:U53)</f>
        <v>172.5</v>
      </c>
      <c r="V54" s="34">
        <f t="shared" si="15"/>
        <v>0</v>
      </c>
      <c r="W54" s="34">
        <f t="shared" si="15"/>
        <v>3644</v>
      </c>
      <c r="X54" s="16">
        <f t="shared" si="15"/>
        <v>1984.5</v>
      </c>
    </row>
    <row r="55" spans="1:24" ht="15.6" thickTop="1" thickBot="1" x14ac:dyDescent="0.35">
      <c r="A55" s="133">
        <v>5364.06</v>
      </c>
      <c r="B55" s="133">
        <v>4798.5200000000004</v>
      </c>
      <c r="C55" s="133">
        <v>5712.99</v>
      </c>
      <c r="D55" s="133">
        <v>5890.21</v>
      </c>
      <c r="E55" s="133">
        <v>1020</v>
      </c>
      <c r="F55" s="133">
        <v>5357.98</v>
      </c>
      <c r="G55" s="133">
        <v>5342.98</v>
      </c>
      <c r="H55" s="149">
        <f>SUM(A55:G55)+I46</f>
        <v>54424.639999999999</v>
      </c>
      <c r="I55" s="151" t="s">
        <v>1</v>
      </c>
      <c r="K55" s="34">
        <v>4494</v>
      </c>
      <c r="L55" s="34">
        <v>57.5</v>
      </c>
      <c r="M55" s="34">
        <v>3472</v>
      </c>
      <c r="N55" s="34">
        <v>30</v>
      </c>
      <c r="O55" s="34">
        <v>3946</v>
      </c>
      <c r="P55" s="34"/>
      <c r="Q55" s="34">
        <v>2912</v>
      </c>
      <c r="R55" s="34">
        <v>112.5</v>
      </c>
      <c r="S55" s="34">
        <v>672</v>
      </c>
      <c r="T55" s="34">
        <v>3930</v>
      </c>
      <c r="U55" s="34">
        <v>172.5</v>
      </c>
      <c r="V55" s="34"/>
      <c r="W55" s="34">
        <v>3644</v>
      </c>
      <c r="X55" s="34">
        <v>1984.5</v>
      </c>
    </row>
    <row r="56" spans="1:24" ht="15.6" thickTop="1" thickBot="1" x14ac:dyDescent="0.35">
      <c r="A56" s="63">
        <f t="shared" ref="A56:G56" si="16">A54-A55</f>
        <v>0</v>
      </c>
      <c r="B56" s="63">
        <f t="shared" si="16"/>
        <v>0</v>
      </c>
      <c r="C56" s="63">
        <f t="shared" si="16"/>
        <v>0</v>
      </c>
      <c r="D56" s="63">
        <f t="shared" si="16"/>
        <v>0</v>
      </c>
      <c r="E56" s="63">
        <f t="shared" si="16"/>
        <v>0</v>
      </c>
      <c r="F56" s="63">
        <f t="shared" si="16"/>
        <v>0</v>
      </c>
      <c r="G56" s="63">
        <f t="shared" si="16"/>
        <v>0</v>
      </c>
      <c r="H56" s="63">
        <f>H54-H55</f>
        <v>0</v>
      </c>
      <c r="I56" s="22">
        <f>SUM(I50:I55)</f>
        <v>0</v>
      </c>
      <c r="K56" s="152">
        <f>K54-K55</f>
        <v>0</v>
      </c>
      <c r="L56" s="152">
        <f t="shared" ref="L56:S56" si="17">L54-L55</f>
        <v>0</v>
      </c>
      <c r="M56" s="152">
        <f t="shared" si="17"/>
        <v>0</v>
      </c>
      <c r="N56" s="152">
        <f t="shared" si="17"/>
        <v>0</v>
      </c>
      <c r="O56" s="152">
        <f t="shared" si="17"/>
        <v>0</v>
      </c>
      <c r="P56" s="152">
        <f t="shared" si="17"/>
        <v>7.5</v>
      </c>
      <c r="Q56" s="152">
        <f t="shared" si="17"/>
        <v>0</v>
      </c>
      <c r="R56" s="152">
        <f t="shared" si="17"/>
        <v>0</v>
      </c>
      <c r="S56" s="152">
        <f t="shared" si="17"/>
        <v>0</v>
      </c>
      <c r="T56" s="152">
        <v>0</v>
      </c>
      <c r="U56" s="152">
        <f t="shared" ref="U56:X56" si="18">U54-U55</f>
        <v>0</v>
      </c>
      <c r="V56" s="152">
        <f t="shared" si="18"/>
        <v>0</v>
      </c>
      <c r="W56" s="152">
        <f t="shared" si="18"/>
        <v>0</v>
      </c>
      <c r="X56" s="146">
        <f t="shared" si="18"/>
        <v>0</v>
      </c>
    </row>
    <row r="57" spans="1:24" ht="15" thickBot="1" x14ac:dyDescent="0.35"/>
    <row r="58" spans="1:24" x14ac:dyDescent="0.3">
      <c r="A58" s="157">
        <v>45798</v>
      </c>
      <c r="B58" s="157">
        <v>45799</v>
      </c>
      <c r="C58" s="157">
        <v>45800</v>
      </c>
      <c r="D58" s="157">
        <v>45801</v>
      </c>
      <c r="E58" s="157">
        <v>45802</v>
      </c>
      <c r="F58" s="157">
        <v>45803</v>
      </c>
      <c r="G58" s="157">
        <v>45804</v>
      </c>
      <c r="H58" s="17"/>
      <c r="I58" s="13" t="s">
        <v>8</v>
      </c>
      <c r="K58" s="59">
        <v>45798</v>
      </c>
      <c r="L58" s="59"/>
      <c r="M58" s="59">
        <v>45799</v>
      </c>
      <c r="N58" s="59"/>
      <c r="O58" s="59">
        <v>45800</v>
      </c>
      <c r="P58" s="59"/>
      <c r="Q58" s="59">
        <v>45801</v>
      </c>
      <c r="R58" s="59"/>
      <c r="S58" s="59">
        <v>45802</v>
      </c>
      <c r="T58" s="59"/>
      <c r="U58" s="59">
        <v>45803</v>
      </c>
      <c r="V58" s="59"/>
      <c r="W58" s="59">
        <v>45804</v>
      </c>
      <c r="X58" s="59"/>
    </row>
    <row r="59" spans="1:24" ht="15" thickBot="1" x14ac:dyDescent="0.35">
      <c r="A59" s="22">
        <v>1906.82</v>
      </c>
      <c r="B59" s="22">
        <v>2193.5300000000002</v>
      </c>
      <c r="C59" s="22">
        <v>2148.52</v>
      </c>
      <c r="D59" s="22">
        <v>2071.9899999999998</v>
      </c>
      <c r="E59" s="22">
        <v>530</v>
      </c>
      <c r="F59" s="22">
        <v>2347.9699999999998</v>
      </c>
      <c r="G59" s="22">
        <v>935</v>
      </c>
      <c r="H59" s="37"/>
      <c r="I59" s="15">
        <v>5989.7</v>
      </c>
      <c r="K59" s="124" t="s">
        <v>10</v>
      </c>
      <c r="L59" s="125" t="s">
        <v>11</v>
      </c>
      <c r="M59" s="126" t="s">
        <v>10</v>
      </c>
      <c r="N59" s="126" t="s">
        <v>11</v>
      </c>
      <c r="O59" s="126" t="s">
        <v>10</v>
      </c>
      <c r="P59" s="126" t="s">
        <v>11</v>
      </c>
      <c r="Q59" s="126" t="s">
        <v>10</v>
      </c>
      <c r="R59" s="126" t="s">
        <v>11</v>
      </c>
      <c r="S59" s="126" t="s">
        <v>10</v>
      </c>
      <c r="T59" s="126" t="s">
        <v>11</v>
      </c>
      <c r="U59" s="126" t="s">
        <v>10</v>
      </c>
      <c r="V59" s="126" t="s">
        <v>11</v>
      </c>
      <c r="W59" s="126" t="s">
        <v>10</v>
      </c>
      <c r="X59" s="143" t="s">
        <v>11</v>
      </c>
    </row>
    <row r="60" spans="1:24" x14ac:dyDescent="0.3">
      <c r="A60" s="22">
        <v>1940</v>
      </c>
      <c r="B60" s="22">
        <v>2095</v>
      </c>
      <c r="C60" s="22">
        <v>2400</v>
      </c>
      <c r="D60" s="22">
        <v>1325</v>
      </c>
      <c r="E60" s="22">
        <v>440</v>
      </c>
      <c r="F60" s="22">
        <v>2260</v>
      </c>
      <c r="G60" s="22">
        <v>1940</v>
      </c>
      <c r="H60" s="37"/>
      <c r="I60" s="15">
        <v>2460</v>
      </c>
      <c r="K60" s="75">
        <v>28</v>
      </c>
      <c r="L60" s="76">
        <v>57.5</v>
      </c>
      <c r="M60" s="77">
        <v>420</v>
      </c>
      <c r="N60" s="77">
        <v>45</v>
      </c>
      <c r="O60" s="77">
        <v>330</v>
      </c>
      <c r="P60" s="77">
        <v>67.5</v>
      </c>
      <c r="Q60" s="63">
        <v>390</v>
      </c>
      <c r="R60" s="77">
        <v>30</v>
      </c>
      <c r="S60" s="63">
        <v>100</v>
      </c>
      <c r="T60" s="22">
        <v>15</v>
      </c>
      <c r="U60" s="63">
        <v>60</v>
      </c>
      <c r="V60" s="63">
        <v>72.5</v>
      </c>
      <c r="W60" s="63">
        <v>24</v>
      </c>
      <c r="X60" s="40">
        <v>65</v>
      </c>
    </row>
    <row r="61" spans="1:24" x14ac:dyDescent="0.3">
      <c r="A61" s="22">
        <v>1350</v>
      </c>
      <c r="B61" s="26">
        <v>1045</v>
      </c>
      <c r="C61" s="22">
        <v>930</v>
      </c>
      <c r="D61" s="26">
        <v>965</v>
      </c>
      <c r="E61" s="22"/>
      <c r="F61" s="22">
        <v>715</v>
      </c>
      <c r="G61" s="22">
        <v>2148.52</v>
      </c>
      <c r="H61" s="37"/>
      <c r="I61" s="15">
        <v>1700</v>
      </c>
      <c r="K61" s="21">
        <v>360</v>
      </c>
      <c r="L61" s="79">
        <v>221.2</v>
      </c>
      <c r="M61" s="80">
        <v>2960</v>
      </c>
      <c r="N61" s="43"/>
      <c r="O61" s="43">
        <v>429</v>
      </c>
      <c r="P61" s="43">
        <v>138</v>
      </c>
      <c r="Q61" s="22">
        <v>196</v>
      </c>
      <c r="R61" s="80">
        <v>57.5</v>
      </c>
      <c r="S61" s="22">
        <v>84</v>
      </c>
      <c r="T61" s="22">
        <v>37.5</v>
      </c>
      <c r="U61" s="22">
        <v>3570</v>
      </c>
      <c r="V61" s="22"/>
      <c r="W61" s="22">
        <v>330</v>
      </c>
      <c r="X61" s="27"/>
    </row>
    <row r="62" spans="1:24" x14ac:dyDescent="0.3">
      <c r="A62" s="22"/>
      <c r="B62" s="25"/>
      <c r="C62" s="22"/>
      <c r="D62" s="25"/>
      <c r="E62" s="22"/>
      <c r="F62" s="22"/>
      <c r="G62" s="22"/>
      <c r="H62" s="37"/>
      <c r="I62" s="15">
        <v>977.84</v>
      </c>
      <c r="K62" s="21">
        <v>334</v>
      </c>
      <c r="L62" s="79"/>
      <c r="M62" s="84">
        <v>286</v>
      </c>
      <c r="N62" s="43"/>
      <c r="O62" s="43">
        <v>3650</v>
      </c>
      <c r="P62" s="43">
        <v>1500</v>
      </c>
      <c r="Q62" s="22">
        <v>2050</v>
      </c>
      <c r="R62" s="84">
        <v>1500</v>
      </c>
      <c r="S62" s="22">
        <v>500</v>
      </c>
      <c r="T62" s="22"/>
      <c r="U62" s="22">
        <v>370</v>
      </c>
      <c r="V62" s="22"/>
      <c r="W62" s="22">
        <v>292</v>
      </c>
      <c r="X62" s="27"/>
    </row>
    <row r="63" spans="1:24" x14ac:dyDescent="0.3">
      <c r="A63" s="22"/>
      <c r="B63" s="22"/>
      <c r="C63" s="22"/>
      <c r="D63" s="22"/>
      <c r="E63" s="22"/>
      <c r="F63" s="22"/>
      <c r="G63" s="22"/>
      <c r="H63" s="37"/>
      <c r="I63" s="15">
        <v>5600.66</v>
      </c>
      <c r="K63" s="21">
        <v>3790</v>
      </c>
      <c r="M63" s="43">
        <v>330</v>
      </c>
      <c r="N63" s="43"/>
      <c r="O63" s="43">
        <v>300</v>
      </c>
      <c r="P63" s="43"/>
      <c r="Q63" s="22"/>
      <c r="R63" s="43"/>
      <c r="S63" s="22"/>
      <c r="T63" s="22"/>
      <c r="U63" s="22">
        <v>330</v>
      </c>
      <c r="V63" s="22"/>
      <c r="W63" s="22">
        <v>2660</v>
      </c>
      <c r="X63" s="27"/>
    </row>
    <row r="64" spans="1:24" ht="15" thickBot="1" x14ac:dyDescent="0.35">
      <c r="A64" s="22"/>
      <c r="B64" s="22"/>
      <c r="C64" s="22"/>
      <c r="D64" s="22"/>
      <c r="E64" s="22"/>
      <c r="F64" s="22"/>
      <c r="G64" s="22"/>
      <c r="H64" s="37"/>
      <c r="I64" s="131">
        <v>5660.8</v>
      </c>
      <c r="K64" s="128">
        <v>260</v>
      </c>
      <c r="L64" s="79"/>
      <c r="M64" s="43"/>
      <c r="N64" s="43"/>
      <c r="O64" s="43"/>
      <c r="P64" s="43"/>
      <c r="Q64" s="22"/>
      <c r="R64" s="43"/>
      <c r="S64" s="22"/>
      <c r="T64" s="22"/>
      <c r="U64" s="22"/>
      <c r="V64" s="22"/>
      <c r="W64" s="22">
        <v>340</v>
      </c>
      <c r="X64" s="27"/>
    </row>
    <row r="65" spans="1:24" ht="15.6" thickTop="1" thickBot="1" x14ac:dyDescent="0.35">
      <c r="A65" s="22"/>
      <c r="B65" s="22"/>
      <c r="C65" s="22"/>
      <c r="D65" s="22"/>
      <c r="E65" s="22"/>
      <c r="F65" s="22"/>
      <c r="G65" s="22"/>
      <c r="H65" s="37"/>
      <c r="I65" s="132">
        <f>SUM(I59:I64)</f>
        <v>22389</v>
      </c>
      <c r="K65" s="21"/>
      <c r="L65" s="79"/>
      <c r="M65" s="43"/>
      <c r="N65" s="43"/>
      <c r="O65" s="43"/>
      <c r="P65" s="43"/>
      <c r="Q65" s="22"/>
      <c r="R65" s="43"/>
      <c r="S65" s="22"/>
      <c r="T65" s="22"/>
      <c r="U65" s="22"/>
      <c r="V65" s="22"/>
      <c r="W65" s="22"/>
      <c r="X65" s="27"/>
    </row>
    <row r="66" spans="1:24" ht="15" thickTop="1" x14ac:dyDescent="0.3">
      <c r="A66" s="22"/>
      <c r="B66" s="22"/>
      <c r="C66" s="22"/>
      <c r="D66" s="22"/>
      <c r="E66" s="22"/>
      <c r="F66" s="22"/>
      <c r="G66" s="22"/>
      <c r="H66" s="37"/>
      <c r="I66" s="40"/>
      <c r="K66" s="24"/>
      <c r="L66" s="56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7"/>
    </row>
    <row r="67" spans="1:24" x14ac:dyDescent="0.3">
      <c r="A67" s="22"/>
      <c r="B67" s="22"/>
      <c r="C67" s="22"/>
      <c r="D67" s="22"/>
      <c r="E67" s="22"/>
      <c r="F67" s="22"/>
      <c r="G67" s="22"/>
      <c r="H67" s="37"/>
      <c r="I67" s="27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7"/>
    </row>
    <row r="68" spans="1:24" x14ac:dyDescent="0.3">
      <c r="A68" s="22"/>
      <c r="B68" s="22"/>
      <c r="C68" s="22"/>
      <c r="D68" s="22"/>
      <c r="E68" s="22"/>
      <c r="F68" s="22"/>
      <c r="G68" s="22"/>
      <c r="H68" s="37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7"/>
    </row>
    <row r="69" spans="1:24" x14ac:dyDescent="0.3">
      <c r="A69" s="22"/>
      <c r="B69" s="22"/>
      <c r="C69" s="22"/>
      <c r="D69" s="22"/>
      <c r="E69" s="22"/>
      <c r="F69" s="22"/>
      <c r="G69" s="22"/>
      <c r="H69" s="22"/>
      <c r="I69" s="23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7"/>
    </row>
    <row r="70" spans="1:24" ht="15" thickBot="1" x14ac:dyDescent="0.35">
      <c r="A70" s="22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35"/>
      <c r="O70" s="22"/>
      <c r="P70" s="22"/>
      <c r="Q70" s="22"/>
      <c r="R70" s="22"/>
      <c r="S70" s="22"/>
      <c r="T70" s="22"/>
      <c r="U70" s="22"/>
      <c r="V70" s="22"/>
      <c r="W70" s="22"/>
      <c r="X70" s="27"/>
    </row>
    <row r="71" spans="1:24" ht="15" thickTop="1" x14ac:dyDescent="0.3">
      <c r="A71" s="22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63"/>
      <c r="O71" s="22"/>
      <c r="P71" s="22"/>
      <c r="Q71" s="22"/>
      <c r="R71" s="22"/>
      <c r="S71" s="22"/>
      <c r="T71" s="22"/>
      <c r="U71" s="22"/>
      <c r="V71" s="22"/>
      <c r="W71" s="22"/>
      <c r="X71" s="27"/>
    </row>
    <row r="72" spans="1:24" x14ac:dyDescent="0.3">
      <c r="A72" s="22"/>
      <c r="B72" s="22"/>
      <c r="C72" s="22"/>
      <c r="D72" s="22"/>
      <c r="E72" s="22"/>
      <c r="F72" s="22"/>
      <c r="G72" s="22"/>
      <c r="H72" s="22"/>
      <c r="I72" s="23"/>
      <c r="K72" s="24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ht="15" thickBot="1" x14ac:dyDescent="0.35">
      <c r="A73" s="133">
        <f t="shared" ref="A73:G73" si="19">SUM(A59:A72)</f>
        <v>5196.82</v>
      </c>
      <c r="B73" s="133">
        <f t="shared" si="19"/>
        <v>5333.5300000000007</v>
      </c>
      <c r="C73" s="133">
        <f t="shared" si="19"/>
        <v>5478.52</v>
      </c>
      <c r="D73" s="133">
        <f t="shared" si="19"/>
        <v>4361.99</v>
      </c>
      <c r="E73" s="133">
        <f t="shared" si="19"/>
        <v>970</v>
      </c>
      <c r="F73" s="133">
        <f t="shared" si="19"/>
        <v>5322.9699999999993</v>
      </c>
      <c r="G73" s="133">
        <f t="shared" si="19"/>
        <v>5023.5200000000004</v>
      </c>
      <c r="H73" s="149">
        <f>SUM(A73:G73)+I65</f>
        <v>54076.350000000006</v>
      </c>
      <c r="I73" s="150" t="s">
        <v>7</v>
      </c>
      <c r="K73" s="34">
        <f>SUM(K60:K72)</f>
        <v>4772</v>
      </c>
      <c r="L73" s="16">
        <f t="shared" ref="L73:S73" si="20">SUM(L60:L72)</f>
        <v>278.7</v>
      </c>
      <c r="M73" s="34">
        <f t="shared" si="20"/>
        <v>3996</v>
      </c>
      <c r="N73" s="34">
        <f t="shared" si="20"/>
        <v>45</v>
      </c>
      <c r="O73" s="34">
        <f t="shared" si="20"/>
        <v>4709</v>
      </c>
      <c r="P73" s="34">
        <f t="shared" si="20"/>
        <v>1705.5</v>
      </c>
      <c r="Q73" s="34">
        <f t="shared" si="20"/>
        <v>2636</v>
      </c>
      <c r="R73" s="34">
        <f t="shared" si="20"/>
        <v>1587.5</v>
      </c>
      <c r="S73" s="34">
        <f t="shared" si="20"/>
        <v>684</v>
      </c>
      <c r="T73" s="34">
        <v>0</v>
      </c>
      <c r="U73" s="34">
        <f t="shared" ref="U73:X73" si="21">SUM(U60:U72)</f>
        <v>4330</v>
      </c>
      <c r="V73" s="34">
        <f t="shared" si="21"/>
        <v>72.5</v>
      </c>
      <c r="W73" s="34">
        <f t="shared" si="21"/>
        <v>3646</v>
      </c>
      <c r="X73" s="16">
        <f t="shared" si="21"/>
        <v>65</v>
      </c>
    </row>
    <row r="74" spans="1:24" ht="15.6" thickTop="1" thickBot="1" x14ac:dyDescent="0.35">
      <c r="A74" s="133">
        <v>5196.82</v>
      </c>
      <c r="B74" s="133">
        <v>5333.53</v>
      </c>
      <c r="C74" s="133">
        <v>5478.52</v>
      </c>
      <c r="D74" s="133">
        <v>4361.99</v>
      </c>
      <c r="E74" s="133">
        <v>970</v>
      </c>
      <c r="F74" s="133">
        <v>5322.97</v>
      </c>
      <c r="G74" s="133">
        <v>5023.5200000000004</v>
      </c>
      <c r="H74" s="149">
        <f>SUM(A74:G74)+I65</f>
        <v>54076.350000000006</v>
      </c>
      <c r="I74" s="151" t="s">
        <v>1</v>
      </c>
      <c r="K74" s="34">
        <v>4772</v>
      </c>
      <c r="L74" s="34">
        <v>278.7</v>
      </c>
      <c r="M74" s="34">
        <v>3986</v>
      </c>
      <c r="N74" s="34">
        <v>45</v>
      </c>
      <c r="O74" s="34">
        <v>4709</v>
      </c>
      <c r="P74" s="34">
        <v>1705.5</v>
      </c>
      <c r="Q74" s="34">
        <v>2636</v>
      </c>
      <c r="R74" s="34">
        <v>1587.5</v>
      </c>
      <c r="S74" s="34">
        <v>684</v>
      </c>
      <c r="T74" s="34">
        <v>52.9</v>
      </c>
      <c r="U74" s="34">
        <v>4330</v>
      </c>
      <c r="V74" s="34">
        <v>72.5</v>
      </c>
      <c r="W74" s="34">
        <v>3646</v>
      </c>
      <c r="X74" s="34">
        <v>65</v>
      </c>
    </row>
    <row r="75" spans="1:24" ht="15.6" thickTop="1" thickBot="1" x14ac:dyDescent="0.35">
      <c r="A75" s="63">
        <f t="shared" ref="A75:G75" si="22">A73-A74</f>
        <v>0</v>
      </c>
      <c r="B75" s="63">
        <f t="shared" si="22"/>
        <v>0</v>
      </c>
      <c r="C75" s="63">
        <f t="shared" si="22"/>
        <v>0</v>
      </c>
      <c r="D75" s="63">
        <f t="shared" si="22"/>
        <v>0</v>
      </c>
      <c r="E75" s="63">
        <f t="shared" si="22"/>
        <v>0</v>
      </c>
      <c r="F75" s="63">
        <f t="shared" si="22"/>
        <v>0</v>
      </c>
      <c r="G75" s="63">
        <f t="shared" si="22"/>
        <v>0</v>
      </c>
      <c r="H75" s="63">
        <f>H73-H74</f>
        <v>0</v>
      </c>
      <c r="I75" s="22"/>
      <c r="K75" s="152">
        <f>K73-K74</f>
        <v>0</v>
      </c>
      <c r="L75" s="152">
        <f t="shared" ref="L75:S75" si="23">L73-L74</f>
        <v>0</v>
      </c>
      <c r="M75" s="152">
        <f t="shared" si="23"/>
        <v>10</v>
      </c>
      <c r="N75" s="152">
        <f t="shared" si="23"/>
        <v>0</v>
      </c>
      <c r="O75" s="152">
        <f t="shared" si="23"/>
        <v>0</v>
      </c>
      <c r="P75" s="152">
        <f t="shared" si="23"/>
        <v>0</v>
      </c>
      <c r="Q75" s="152">
        <f t="shared" si="23"/>
        <v>0</v>
      </c>
      <c r="R75" s="152">
        <f t="shared" si="23"/>
        <v>0</v>
      </c>
      <c r="S75" s="152">
        <f t="shared" si="23"/>
        <v>0</v>
      </c>
      <c r="T75" s="152">
        <v>0</v>
      </c>
      <c r="U75" s="152">
        <f t="shared" ref="U75:X75" si="24">U73-U74</f>
        <v>0</v>
      </c>
      <c r="V75" s="152">
        <f t="shared" si="24"/>
        <v>0</v>
      </c>
      <c r="W75" s="152">
        <f t="shared" si="24"/>
        <v>0</v>
      </c>
      <c r="X75" s="146">
        <f t="shared" si="24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C69F-8D62-4360-8231-6EBEAD35DDA8}">
  <dimension ref="A1:X98"/>
  <sheetViews>
    <sheetView topLeftCell="A70" workbookViewId="0">
      <selection activeCell="K80" sqref="K80:X98"/>
    </sheetView>
  </sheetViews>
  <sheetFormatPr defaultRowHeight="14.4" x14ac:dyDescent="0.3"/>
  <cols>
    <col min="1" max="1" width="11.5546875" customWidth="1"/>
    <col min="2" max="2" width="13.44140625" customWidth="1"/>
    <col min="3" max="3" width="12.109375" customWidth="1"/>
    <col min="4" max="4" width="10.5546875" customWidth="1"/>
    <col min="5" max="5" width="11.6640625" customWidth="1"/>
    <col min="6" max="6" width="11" customWidth="1"/>
    <col min="7" max="7" width="13" customWidth="1"/>
    <col min="8" max="8" width="11.5546875" customWidth="1"/>
    <col min="9" max="9" width="12.109375" bestFit="1" customWidth="1"/>
    <col min="11" max="11" width="10.109375" customWidth="1"/>
    <col min="12" max="12" width="11.44140625" customWidth="1"/>
    <col min="13" max="13" width="10" customWidth="1"/>
    <col min="14" max="14" width="11.5546875" customWidth="1"/>
    <col min="15" max="15" width="10.5546875" customWidth="1"/>
    <col min="17" max="17" width="11.88671875" customWidth="1"/>
    <col min="18" max="18" width="10.109375" bestFit="1" customWidth="1"/>
    <col min="19" max="19" width="11.109375" customWidth="1"/>
    <col min="20" max="20" width="11.33203125" customWidth="1"/>
    <col min="21" max="21" width="11.44140625" customWidth="1"/>
    <col min="22" max="22" width="9.109375" customWidth="1"/>
    <col min="23" max="23" width="11" customWidth="1"/>
  </cols>
  <sheetData>
    <row r="1" spans="1:24" ht="15" thickBot="1" x14ac:dyDescent="0.35">
      <c r="A1" t="s">
        <v>60</v>
      </c>
    </row>
    <row r="2" spans="1:24" x14ac:dyDescent="0.3">
      <c r="A2" s="157">
        <v>45805</v>
      </c>
      <c r="B2" s="157">
        <v>45806</v>
      </c>
      <c r="C2" s="157">
        <v>45807</v>
      </c>
      <c r="D2" s="157">
        <v>45808</v>
      </c>
      <c r="E2" s="157">
        <v>45809</v>
      </c>
      <c r="F2" s="157">
        <v>45810</v>
      </c>
      <c r="G2" s="157">
        <v>45811</v>
      </c>
      <c r="H2" s="157">
        <v>45812</v>
      </c>
      <c r="I2" s="13" t="s">
        <v>8</v>
      </c>
      <c r="K2" s="59">
        <v>45805</v>
      </c>
      <c r="L2" s="59"/>
      <c r="M2" s="59">
        <v>45806</v>
      </c>
      <c r="N2" s="59"/>
      <c r="O2" s="59">
        <v>45807</v>
      </c>
      <c r="P2" s="59"/>
      <c r="Q2" s="59">
        <v>45808</v>
      </c>
      <c r="R2" s="59"/>
      <c r="S2" s="59">
        <v>45809</v>
      </c>
      <c r="T2" s="59"/>
      <c r="U2" s="59">
        <v>45810</v>
      </c>
      <c r="V2" s="59"/>
      <c r="W2" s="59">
        <v>45811</v>
      </c>
      <c r="X2" s="59"/>
    </row>
    <row r="3" spans="1:24" ht="15" thickBot="1" x14ac:dyDescent="0.35">
      <c r="A3" s="22">
        <v>2148.52</v>
      </c>
      <c r="B3" s="22">
        <v>815</v>
      </c>
      <c r="C3" s="22">
        <v>2103.5100000000002</v>
      </c>
      <c r="D3" s="22">
        <v>1827.53</v>
      </c>
      <c r="E3" s="22">
        <v>265</v>
      </c>
      <c r="F3" s="22">
        <v>1165</v>
      </c>
      <c r="G3" s="22">
        <v>2161.3200000000002</v>
      </c>
      <c r="H3" s="37"/>
      <c r="I3" s="15">
        <v>733.38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43" t="s">
        <v>11</v>
      </c>
    </row>
    <row r="4" spans="1:24" x14ac:dyDescent="0.3">
      <c r="A4" s="22">
        <v>1845</v>
      </c>
      <c r="B4" s="22">
        <v>1275</v>
      </c>
      <c r="C4" s="22">
        <v>2005</v>
      </c>
      <c r="D4" s="22">
        <v>640</v>
      </c>
      <c r="E4" s="22">
        <v>385</v>
      </c>
      <c r="F4" s="22">
        <v>2345</v>
      </c>
      <c r="G4" s="22">
        <v>1385</v>
      </c>
      <c r="H4" s="37"/>
      <c r="I4" s="15">
        <v>1815</v>
      </c>
      <c r="K4" s="75">
        <v>300</v>
      </c>
      <c r="L4" s="76">
        <v>57.5</v>
      </c>
      <c r="M4" s="77">
        <v>24</v>
      </c>
      <c r="N4" s="77">
        <v>52.5</v>
      </c>
      <c r="O4" s="77">
        <v>180</v>
      </c>
      <c r="P4" s="77">
        <v>77.5</v>
      </c>
      <c r="Q4" s="63">
        <v>120</v>
      </c>
      <c r="R4" s="77">
        <v>227.5</v>
      </c>
      <c r="S4" s="63">
        <v>100</v>
      </c>
      <c r="T4" s="22">
        <v>15</v>
      </c>
      <c r="U4" s="63">
        <v>330</v>
      </c>
      <c r="V4" s="63">
        <v>570</v>
      </c>
      <c r="W4" s="63">
        <v>24</v>
      </c>
      <c r="X4" s="40"/>
    </row>
    <row r="5" spans="1:24" x14ac:dyDescent="0.3">
      <c r="A5" s="22">
        <v>1010</v>
      </c>
      <c r="B5" s="26">
        <v>2103.5100000000002</v>
      </c>
      <c r="C5" s="22">
        <v>1005</v>
      </c>
      <c r="D5" s="26">
        <v>920</v>
      </c>
      <c r="E5" s="26"/>
      <c r="F5" s="22">
        <v>1981.28</v>
      </c>
      <c r="G5" s="22">
        <v>1180</v>
      </c>
      <c r="H5" s="37"/>
      <c r="I5" s="15">
        <v>5377.76</v>
      </c>
      <c r="K5" s="21">
        <v>3420</v>
      </c>
      <c r="L5" s="79"/>
      <c r="M5" s="80">
        <v>400</v>
      </c>
      <c r="N5" s="43">
        <v>600</v>
      </c>
      <c r="O5" s="43">
        <v>3970</v>
      </c>
      <c r="P5" s="43"/>
      <c r="Q5" s="22">
        <v>1910</v>
      </c>
      <c r="R5" s="80">
        <v>242.5</v>
      </c>
      <c r="S5" s="22">
        <v>84</v>
      </c>
      <c r="T5" s="22"/>
      <c r="U5" s="22">
        <v>363</v>
      </c>
      <c r="V5" s="22">
        <v>103.9</v>
      </c>
      <c r="W5" s="22">
        <v>72</v>
      </c>
      <c r="X5" s="27"/>
    </row>
    <row r="6" spans="1:24" x14ac:dyDescent="0.3">
      <c r="A6" s="22"/>
      <c r="B6" s="25"/>
      <c r="C6" s="22"/>
      <c r="D6" s="25"/>
      <c r="E6" s="22"/>
      <c r="F6" s="22"/>
      <c r="G6" s="22"/>
      <c r="H6" s="37"/>
      <c r="I6" s="15">
        <v>5596.18</v>
      </c>
      <c r="K6" s="21">
        <v>349</v>
      </c>
      <c r="L6" s="79"/>
      <c r="M6" s="84">
        <v>212</v>
      </c>
      <c r="N6" s="43">
        <v>1230</v>
      </c>
      <c r="O6" s="43">
        <v>452</v>
      </c>
      <c r="P6" s="43"/>
      <c r="Q6" s="22">
        <v>168</v>
      </c>
      <c r="R6" s="84"/>
      <c r="S6" s="22">
        <v>730</v>
      </c>
      <c r="T6" s="22"/>
      <c r="U6" s="22">
        <v>3750</v>
      </c>
      <c r="V6" s="22"/>
      <c r="W6" s="22">
        <v>1460</v>
      </c>
      <c r="X6" s="27"/>
    </row>
    <row r="7" spans="1:24" x14ac:dyDescent="0.3">
      <c r="A7" s="22"/>
      <c r="B7" s="22"/>
      <c r="C7" s="22"/>
      <c r="D7" s="22"/>
      <c r="E7" s="22"/>
      <c r="F7" s="22"/>
      <c r="G7" s="22"/>
      <c r="H7" s="37"/>
      <c r="I7" s="15">
        <v>5994.85</v>
      </c>
      <c r="K7" s="21">
        <v>360</v>
      </c>
      <c r="M7" s="43">
        <v>2710</v>
      </c>
      <c r="N7" s="43"/>
      <c r="O7" s="43">
        <v>274</v>
      </c>
      <c r="P7" s="43"/>
      <c r="Q7" s="22">
        <v>865</v>
      </c>
      <c r="R7" s="43"/>
      <c r="S7" s="22" t="s">
        <v>9</v>
      </c>
      <c r="T7" s="22"/>
      <c r="U7" s="22">
        <v>240</v>
      </c>
      <c r="V7" s="22"/>
      <c r="W7" s="22">
        <v>60</v>
      </c>
      <c r="X7" s="27"/>
    </row>
    <row r="8" spans="1:24" ht="15" thickBot="1" x14ac:dyDescent="0.35">
      <c r="A8" s="22"/>
      <c r="B8" s="22"/>
      <c r="C8" s="22"/>
      <c r="D8" s="22"/>
      <c r="E8" s="22"/>
      <c r="F8" s="22"/>
      <c r="G8" s="22"/>
      <c r="H8" s="37"/>
      <c r="I8" s="131">
        <v>2560</v>
      </c>
      <c r="K8" s="128"/>
      <c r="L8" s="79"/>
      <c r="M8" s="43">
        <v>180</v>
      </c>
      <c r="N8" s="43"/>
      <c r="O8" s="43"/>
      <c r="P8" s="43"/>
      <c r="Q8" s="22">
        <v>507</v>
      </c>
      <c r="R8" s="43"/>
      <c r="S8" s="22"/>
      <c r="T8" s="22"/>
      <c r="U8" s="22"/>
      <c r="V8" s="22"/>
      <c r="W8" s="22">
        <v>90</v>
      </c>
      <c r="X8" s="27"/>
    </row>
    <row r="9" spans="1:24" ht="15.6" thickTop="1" thickBot="1" x14ac:dyDescent="0.35">
      <c r="A9" s="22"/>
      <c r="B9" s="22"/>
      <c r="C9" s="22"/>
      <c r="D9" s="22"/>
      <c r="E9" s="22"/>
      <c r="F9" s="22"/>
      <c r="G9" s="22"/>
      <c r="H9" s="37"/>
      <c r="I9" s="132">
        <f>SUM(I3:I8)</f>
        <v>22077.17</v>
      </c>
      <c r="K9" s="21"/>
      <c r="L9" s="79"/>
      <c r="M9" s="43"/>
      <c r="N9" s="43"/>
      <c r="O9" s="43"/>
      <c r="P9" s="43"/>
      <c r="Q9" s="22"/>
      <c r="R9" s="43"/>
      <c r="S9" s="22"/>
      <c r="T9" s="22"/>
      <c r="U9" s="22"/>
      <c r="V9" s="22"/>
      <c r="W9" s="22"/>
      <c r="X9" s="27"/>
    </row>
    <row r="10" spans="1:24" ht="15" thickTop="1" x14ac:dyDescent="0.3">
      <c r="A10" s="22"/>
      <c r="B10" s="22"/>
      <c r="C10" s="22"/>
      <c r="D10" s="22"/>
      <c r="E10" s="22"/>
      <c r="F10" s="22"/>
      <c r="G10" s="22"/>
      <c r="H10" s="37"/>
      <c r="I10" s="40"/>
      <c r="K10" s="24"/>
      <c r="L10" s="56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7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27"/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7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27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7"/>
    </row>
    <row r="13" spans="1:24" x14ac:dyDescent="0.3">
      <c r="A13" s="22"/>
      <c r="B13" s="22"/>
      <c r="C13" s="22"/>
      <c r="D13" s="22"/>
      <c r="E13" s="22"/>
      <c r="F13" s="22"/>
      <c r="G13" s="22"/>
      <c r="H13" s="22"/>
      <c r="I13" s="23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7"/>
    </row>
    <row r="14" spans="1:24" ht="15" thickBot="1" x14ac:dyDescent="0.35">
      <c r="A14" s="22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35"/>
      <c r="O14" s="22"/>
      <c r="P14" s="22"/>
      <c r="Q14" s="22"/>
      <c r="R14" s="22"/>
      <c r="S14" s="22"/>
      <c r="T14" s="22"/>
      <c r="U14" s="22"/>
      <c r="V14" s="22"/>
      <c r="W14" s="22"/>
      <c r="X14" s="27"/>
    </row>
    <row r="15" spans="1:24" ht="15" thickTop="1" x14ac:dyDescent="0.3">
      <c r="A15" s="22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63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x14ac:dyDescent="0.3">
      <c r="A16" s="22"/>
      <c r="B16" s="22"/>
      <c r="C16" s="22"/>
      <c r="D16" s="22"/>
      <c r="E16" s="22"/>
      <c r="F16" s="22"/>
      <c r="G16" s="22"/>
      <c r="H16" s="22"/>
      <c r="I16" s="23"/>
      <c r="K16" s="24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7"/>
    </row>
    <row r="17" spans="1:24" ht="15" thickBot="1" x14ac:dyDescent="0.35">
      <c r="A17" s="133">
        <f t="shared" ref="A17:G17" si="0">SUM(A3:A16)</f>
        <v>5003.5200000000004</v>
      </c>
      <c r="B17" s="133">
        <f t="shared" si="0"/>
        <v>4193.51</v>
      </c>
      <c r="C17" s="133">
        <f t="shared" ref="C17:D17" si="1">SUM(C3:C16)</f>
        <v>5113.51</v>
      </c>
      <c r="D17" s="133">
        <f t="shared" si="1"/>
        <v>3387.5299999999997</v>
      </c>
      <c r="E17" s="133">
        <f t="shared" si="0"/>
        <v>650</v>
      </c>
      <c r="F17" s="133">
        <f t="shared" si="0"/>
        <v>5491.28</v>
      </c>
      <c r="G17" s="133">
        <f t="shared" si="0"/>
        <v>4726.32</v>
      </c>
      <c r="H17" s="149">
        <f>SUM(A17:G17)+I9</f>
        <v>50642.84</v>
      </c>
      <c r="I17" s="150" t="s">
        <v>7</v>
      </c>
      <c r="K17" s="34">
        <f>SUM(K4:K16)</f>
        <v>4429</v>
      </c>
      <c r="L17" s="16">
        <f t="shared" ref="L17:S17" si="2">SUM(L4:L16)</f>
        <v>57.5</v>
      </c>
      <c r="M17" s="34">
        <f t="shared" si="2"/>
        <v>3526</v>
      </c>
      <c r="N17" s="34">
        <f t="shared" si="2"/>
        <v>1882.5</v>
      </c>
      <c r="O17" s="34">
        <f t="shared" si="2"/>
        <v>4876</v>
      </c>
      <c r="P17" s="34">
        <f t="shared" si="2"/>
        <v>77.5</v>
      </c>
      <c r="Q17" s="34">
        <f t="shared" si="2"/>
        <v>3570</v>
      </c>
      <c r="R17" s="34">
        <f t="shared" si="2"/>
        <v>470</v>
      </c>
      <c r="S17" s="34">
        <f t="shared" si="2"/>
        <v>914</v>
      </c>
      <c r="T17" s="34">
        <v>0</v>
      </c>
      <c r="U17" s="34">
        <f t="shared" ref="U17:X17" si="3">SUM(U4:U16)</f>
        <v>4683</v>
      </c>
      <c r="V17" s="34">
        <f t="shared" si="3"/>
        <v>673.9</v>
      </c>
      <c r="W17" s="34">
        <f t="shared" si="3"/>
        <v>1706</v>
      </c>
      <c r="X17" s="16">
        <f t="shared" si="3"/>
        <v>0</v>
      </c>
    </row>
    <row r="18" spans="1:24" ht="15.6" thickTop="1" thickBot="1" x14ac:dyDescent="0.35">
      <c r="A18" s="133">
        <v>5003.5200000000004</v>
      </c>
      <c r="B18" s="133">
        <v>4193.51</v>
      </c>
      <c r="C18" s="133">
        <v>5113.51</v>
      </c>
      <c r="D18" s="133">
        <v>3387.53</v>
      </c>
      <c r="E18" s="133">
        <v>650</v>
      </c>
      <c r="F18" s="133">
        <v>5491.28</v>
      </c>
      <c r="G18" s="133">
        <v>4726.32</v>
      </c>
      <c r="H18" s="149">
        <f>SUM(A18:G18)+I9</f>
        <v>50642.84</v>
      </c>
      <c r="I18" s="151" t="s">
        <v>1</v>
      </c>
      <c r="K18" s="34">
        <v>4429</v>
      </c>
      <c r="L18" s="34">
        <v>57.5</v>
      </c>
      <c r="M18" s="34">
        <v>3526</v>
      </c>
      <c r="N18" s="34">
        <v>1882.5</v>
      </c>
      <c r="O18" s="34">
        <v>4876</v>
      </c>
      <c r="P18" s="34">
        <v>77.5</v>
      </c>
      <c r="Q18" s="34">
        <v>3570</v>
      </c>
      <c r="R18" s="34">
        <v>470</v>
      </c>
      <c r="S18" s="34">
        <v>914</v>
      </c>
      <c r="T18" s="34">
        <v>15</v>
      </c>
      <c r="U18" s="34">
        <v>4683</v>
      </c>
      <c r="V18" s="34">
        <v>673.9</v>
      </c>
      <c r="W18" s="34">
        <v>1706</v>
      </c>
      <c r="X18" s="34"/>
    </row>
    <row r="19" spans="1:24" ht="15.6" thickTop="1" thickBot="1" x14ac:dyDescent="0.35">
      <c r="A19" s="63">
        <f t="shared" ref="A19:B19" si="4">A17-A18</f>
        <v>0</v>
      </c>
      <c r="B19" s="63">
        <f t="shared" si="4"/>
        <v>0</v>
      </c>
      <c r="C19" s="63">
        <f t="shared" ref="C19:H19" si="5">C17-C18</f>
        <v>0</v>
      </c>
      <c r="D19" s="63">
        <f t="shared" si="5"/>
        <v>0</v>
      </c>
      <c r="E19" s="63">
        <f t="shared" si="5"/>
        <v>0</v>
      </c>
      <c r="F19" s="63">
        <f t="shared" si="5"/>
        <v>0</v>
      </c>
      <c r="G19" s="63">
        <f t="shared" si="5"/>
        <v>0</v>
      </c>
      <c r="H19" s="63">
        <f t="shared" si="5"/>
        <v>0</v>
      </c>
      <c r="I19" s="22"/>
      <c r="K19" s="152">
        <f>K17-K18</f>
        <v>0</v>
      </c>
      <c r="L19" s="152">
        <f t="shared" ref="L19:S19" si="6">L17-L18</f>
        <v>0</v>
      </c>
      <c r="M19" s="152">
        <f t="shared" si="6"/>
        <v>0</v>
      </c>
      <c r="N19" s="152">
        <f t="shared" si="6"/>
        <v>0</v>
      </c>
      <c r="O19" s="152">
        <f t="shared" si="6"/>
        <v>0</v>
      </c>
      <c r="P19" s="152">
        <f t="shared" si="6"/>
        <v>0</v>
      </c>
      <c r="Q19" s="152">
        <f t="shared" si="6"/>
        <v>0</v>
      </c>
      <c r="R19" s="152">
        <f t="shared" si="6"/>
        <v>0</v>
      </c>
      <c r="S19" s="152">
        <f t="shared" si="6"/>
        <v>0</v>
      </c>
      <c r="T19" s="152">
        <v>0</v>
      </c>
      <c r="U19" s="152">
        <f t="shared" ref="U19:X19" si="7">U17-U18</f>
        <v>0</v>
      </c>
      <c r="V19" s="152">
        <f t="shared" si="7"/>
        <v>0</v>
      </c>
      <c r="W19" s="152">
        <f t="shared" si="7"/>
        <v>0</v>
      </c>
      <c r="X19" s="146">
        <f t="shared" si="7"/>
        <v>0</v>
      </c>
    </row>
    <row r="20" spans="1:24" ht="15" thickBot="1" x14ac:dyDescent="0.35"/>
    <row r="21" spans="1:24" x14ac:dyDescent="0.3">
      <c r="A21" s="157">
        <v>45812</v>
      </c>
      <c r="B21" s="157">
        <v>45813</v>
      </c>
      <c r="C21" s="157">
        <v>45814</v>
      </c>
      <c r="D21" s="157">
        <v>45815</v>
      </c>
      <c r="E21" s="157">
        <v>45816</v>
      </c>
      <c r="F21" s="157">
        <v>45817</v>
      </c>
      <c r="G21" s="157">
        <v>45818</v>
      </c>
      <c r="H21" s="157"/>
      <c r="I21" s="13" t="s">
        <v>8</v>
      </c>
      <c r="K21" s="59">
        <v>45812</v>
      </c>
      <c r="L21" s="59"/>
      <c r="M21" s="59">
        <v>45813</v>
      </c>
      <c r="N21" s="59"/>
      <c r="O21" s="59">
        <v>45814</v>
      </c>
      <c r="P21" s="59"/>
      <c r="Q21" s="59">
        <v>45815</v>
      </c>
      <c r="R21" s="59"/>
      <c r="S21" s="59">
        <v>45816</v>
      </c>
      <c r="T21" s="59"/>
      <c r="U21" s="59">
        <v>45817</v>
      </c>
      <c r="V21" s="59"/>
      <c r="W21" s="59">
        <v>45818</v>
      </c>
      <c r="X21" s="59"/>
    </row>
    <row r="22" spans="1:24" ht="15" thickBot="1" x14ac:dyDescent="0.35">
      <c r="A22" s="22">
        <v>1515</v>
      </c>
      <c r="B22" s="22">
        <v>2161.3200000000002</v>
      </c>
      <c r="C22" s="22">
        <v>995</v>
      </c>
      <c r="D22" s="22">
        <v>1000</v>
      </c>
      <c r="E22" s="22">
        <v>615</v>
      </c>
      <c r="F22" s="22">
        <v>2283.5500000000002</v>
      </c>
      <c r="G22" s="22">
        <v>2238.54</v>
      </c>
      <c r="H22" s="15"/>
      <c r="I22" s="15">
        <v>5377.76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1760</v>
      </c>
      <c r="B23" s="22">
        <v>1810</v>
      </c>
      <c r="C23" s="22">
        <v>2135</v>
      </c>
      <c r="D23" s="22">
        <v>1746.87</v>
      </c>
      <c r="E23" s="22">
        <v>490</v>
      </c>
      <c r="F23" s="22">
        <v>2430</v>
      </c>
      <c r="G23" s="22">
        <v>1930</v>
      </c>
      <c r="H23" s="15"/>
      <c r="I23" s="15">
        <v>5600.66</v>
      </c>
      <c r="K23" s="75">
        <v>28</v>
      </c>
      <c r="L23" s="76">
        <v>100</v>
      </c>
      <c r="M23" s="77">
        <v>190</v>
      </c>
      <c r="N23" s="77">
        <v>52.5</v>
      </c>
      <c r="O23" s="77">
        <v>1650</v>
      </c>
      <c r="P23" s="77">
        <v>32.5</v>
      </c>
      <c r="Q23" s="63">
        <v>24</v>
      </c>
      <c r="R23" s="77">
        <v>75</v>
      </c>
      <c r="S23" s="63">
        <v>28</v>
      </c>
      <c r="T23" s="22">
        <v>57.5</v>
      </c>
      <c r="U23" s="63">
        <v>420</v>
      </c>
      <c r="V23" s="63">
        <v>242.5</v>
      </c>
      <c r="W23" s="63">
        <v>60</v>
      </c>
      <c r="X23" s="40">
        <v>30</v>
      </c>
    </row>
    <row r="24" spans="1:24" x14ac:dyDescent="0.3">
      <c r="A24" s="22">
        <v>1919.62</v>
      </c>
      <c r="B24" s="26">
        <v>1095</v>
      </c>
      <c r="C24" s="22">
        <v>1859.05</v>
      </c>
      <c r="D24" s="26"/>
      <c r="E24" s="26"/>
      <c r="F24" s="22">
        <v>1220</v>
      </c>
      <c r="G24" s="22">
        <v>1245</v>
      </c>
      <c r="H24" s="15"/>
      <c r="I24" s="15">
        <v>495</v>
      </c>
      <c r="K24" s="21">
        <v>120</v>
      </c>
      <c r="L24" s="79"/>
      <c r="M24" s="80">
        <v>3040</v>
      </c>
      <c r="N24" s="43">
        <v>60</v>
      </c>
      <c r="O24" s="43">
        <v>72</v>
      </c>
      <c r="P24" s="43"/>
      <c r="Q24" s="22">
        <v>270</v>
      </c>
      <c r="R24" s="80"/>
      <c r="S24" s="22">
        <v>370</v>
      </c>
      <c r="T24" s="22">
        <v>960</v>
      </c>
      <c r="U24" s="22">
        <v>4000</v>
      </c>
      <c r="V24" s="22"/>
      <c r="W24" s="22">
        <v>2730</v>
      </c>
      <c r="X24" s="27"/>
    </row>
    <row r="25" spans="1:24" x14ac:dyDescent="0.3">
      <c r="A25" s="22"/>
      <c r="B25" s="25"/>
      <c r="C25" s="22"/>
      <c r="D25" s="25"/>
      <c r="E25" s="22"/>
      <c r="F25" s="22"/>
      <c r="G25" s="22"/>
      <c r="H25" s="15"/>
      <c r="I25" s="15">
        <v>1099.8399999999999</v>
      </c>
      <c r="K25" s="21">
        <v>454</v>
      </c>
      <c r="L25" s="79"/>
      <c r="M25" s="84">
        <v>212</v>
      </c>
      <c r="N25" s="43">
        <v>521.6</v>
      </c>
      <c r="O25" s="43">
        <v>120</v>
      </c>
      <c r="P25" s="43"/>
      <c r="Q25" s="22">
        <v>454</v>
      </c>
      <c r="R25" s="84"/>
      <c r="S25" s="22">
        <v>224</v>
      </c>
      <c r="T25" s="22"/>
      <c r="U25" s="22">
        <v>459</v>
      </c>
      <c r="V25" s="22"/>
      <c r="W25" s="22">
        <v>296</v>
      </c>
      <c r="X25" s="27"/>
    </row>
    <row r="26" spans="1:24" x14ac:dyDescent="0.3">
      <c r="A26" s="22"/>
      <c r="B26" s="22"/>
      <c r="C26" s="22"/>
      <c r="D26" s="22"/>
      <c r="E26" s="22"/>
      <c r="F26" s="22"/>
      <c r="G26" s="22"/>
      <c r="H26" s="15"/>
      <c r="I26" s="15">
        <v>7125</v>
      </c>
      <c r="K26" s="21">
        <v>3950</v>
      </c>
      <c r="M26" s="43">
        <v>340</v>
      </c>
      <c r="N26" s="43"/>
      <c r="O26" s="43">
        <v>24</v>
      </c>
      <c r="P26" s="43"/>
      <c r="Q26" s="22">
        <v>4190</v>
      </c>
      <c r="R26" s="43"/>
      <c r="S26" s="22">
        <v>2230</v>
      </c>
      <c r="T26" s="22"/>
      <c r="U26" s="22">
        <v>250</v>
      </c>
      <c r="V26" s="22"/>
      <c r="W26" s="22">
        <v>150</v>
      </c>
      <c r="X26" s="27"/>
    </row>
    <row r="27" spans="1:24" ht="15" thickBot="1" x14ac:dyDescent="0.35">
      <c r="A27" s="22"/>
      <c r="B27" s="22"/>
      <c r="C27" s="22"/>
      <c r="D27" s="22"/>
      <c r="E27" s="22"/>
      <c r="F27" s="22"/>
      <c r="G27" s="22"/>
      <c r="H27" s="131"/>
      <c r="I27" s="131">
        <v>2562.5</v>
      </c>
      <c r="K27" s="128">
        <v>300</v>
      </c>
      <c r="L27" s="79"/>
      <c r="M27" s="43"/>
      <c r="N27" s="43"/>
      <c r="O27" s="43"/>
      <c r="P27" s="43"/>
      <c r="Q27" s="22">
        <v>180</v>
      </c>
      <c r="R27" s="43"/>
      <c r="S27" s="22"/>
      <c r="T27" s="22"/>
      <c r="U27" s="22">
        <v>28</v>
      </c>
      <c r="V27" s="22"/>
      <c r="W27" s="22">
        <v>24</v>
      </c>
      <c r="X27" s="27"/>
    </row>
    <row r="28" spans="1:24" ht="15.6" thickTop="1" thickBot="1" x14ac:dyDescent="0.35">
      <c r="A28" s="22"/>
      <c r="B28" s="22"/>
      <c r="C28" s="22"/>
      <c r="D28" s="22"/>
      <c r="E28" s="22"/>
      <c r="F28" s="22"/>
      <c r="G28" s="22"/>
      <c r="H28" s="37"/>
      <c r="I28" s="132">
        <f>SUM(I22:I27)</f>
        <v>22260.760000000002</v>
      </c>
      <c r="K28" s="21"/>
      <c r="L28" s="79"/>
      <c r="M28" s="43"/>
      <c r="N28" s="43"/>
      <c r="O28" s="43"/>
      <c r="P28" s="43"/>
      <c r="Q28" s="22"/>
      <c r="R28" s="43"/>
      <c r="S28" s="22"/>
      <c r="T28" s="22"/>
      <c r="U28" s="22"/>
      <c r="V28" s="22"/>
      <c r="W28" s="22"/>
      <c r="X28" s="27"/>
    </row>
    <row r="29" spans="1:24" ht="15" thickTop="1" x14ac:dyDescent="0.3">
      <c r="A29" s="22"/>
      <c r="B29" s="22"/>
      <c r="C29" s="22"/>
      <c r="D29" s="22"/>
      <c r="E29" s="22"/>
      <c r="F29" s="22"/>
      <c r="G29" s="22"/>
      <c r="H29" s="37"/>
      <c r="I29" s="40"/>
      <c r="K29" s="24"/>
      <c r="L29" s="5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7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27"/>
      <c r="K30" s="24"/>
      <c r="L30" s="5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7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27"/>
      <c r="K31" s="24"/>
      <c r="L31" s="5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7"/>
    </row>
    <row r="32" spans="1:24" x14ac:dyDescent="0.3">
      <c r="A32" s="22"/>
      <c r="B32" s="22"/>
      <c r="C32" s="22"/>
      <c r="D32" s="22"/>
      <c r="E32" s="22"/>
      <c r="F32" s="22"/>
      <c r="G32" s="22"/>
      <c r="H32" s="22"/>
      <c r="I32" s="23"/>
      <c r="K32" s="24"/>
      <c r="L32" s="5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7"/>
    </row>
    <row r="33" spans="1:24" ht="15" thickBot="1" x14ac:dyDescent="0.35">
      <c r="A33" s="22"/>
      <c r="B33" s="22"/>
      <c r="C33" s="22"/>
      <c r="D33" s="22"/>
      <c r="E33" s="22"/>
      <c r="F33" s="22"/>
      <c r="G33" s="22"/>
      <c r="H33" s="22"/>
      <c r="I33" s="23"/>
      <c r="K33" s="24"/>
      <c r="L33" s="56"/>
      <c r="M33" s="22"/>
      <c r="N33" s="35"/>
      <c r="O33" s="22"/>
      <c r="P33" s="22"/>
      <c r="Q33" s="22"/>
      <c r="R33" s="22"/>
      <c r="S33" s="22"/>
      <c r="T33" s="22"/>
      <c r="U33" s="22"/>
      <c r="V33" s="22"/>
      <c r="W33" s="22"/>
      <c r="X33" s="27"/>
    </row>
    <row r="34" spans="1:24" ht="15" thickTop="1" x14ac:dyDescent="0.3">
      <c r="A34" s="159" t="s">
        <v>61</v>
      </c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63"/>
      <c r="O34" s="22"/>
      <c r="P34" s="22"/>
      <c r="Q34" s="22"/>
      <c r="R34" s="22"/>
      <c r="S34" s="22"/>
      <c r="T34" s="22"/>
      <c r="U34" s="22"/>
      <c r="V34" s="22"/>
      <c r="W34" s="22"/>
      <c r="X34" s="27"/>
    </row>
    <row r="35" spans="1:24" x14ac:dyDescent="0.3">
      <c r="A35" s="22"/>
      <c r="B35" s="22"/>
      <c r="C35" s="22"/>
      <c r="D35" s="22"/>
      <c r="E35" s="22"/>
      <c r="F35" s="22"/>
      <c r="G35" s="22"/>
      <c r="H35" s="22"/>
      <c r="I35" s="23"/>
      <c r="K35" s="2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7"/>
    </row>
    <row r="36" spans="1:24" ht="15" thickBot="1" x14ac:dyDescent="0.35">
      <c r="A36" s="133">
        <f t="shared" ref="A36:G36" si="8">SUM(A22:A35)</f>
        <v>5194.62</v>
      </c>
      <c r="B36" s="133">
        <f t="shared" si="8"/>
        <v>5066.32</v>
      </c>
      <c r="C36" s="133">
        <f t="shared" si="8"/>
        <v>4989.05</v>
      </c>
      <c r="D36" s="133">
        <f t="shared" si="8"/>
        <v>2746.87</v>
      </c>
      <c r="E36" s="133">
        <f t="shared" si="8"/>
        <v>1105</v>
      </c>
      <c r="F36" s="133">
        <f t="shared" si="8"/>
        <v>5933.55</v>
      </c>
      <c r="G36" s="133">
        <f t="shared" si="8"/>
        <v>5413.54</v>
      </c>
      <c r="H36" s="149">
        <f>SUM(A36:G36)+I28</f>
        <v>52709.71</v>
      </c>
      <c r="I36" s="150" t="s">
        <v>7</v>
      </c>
      <c r="K36" s="34">
        <f>SUM(K23:K35)</f>
        <v>4852</v>
      </c>
      <c r="L36" s="16">
        <f t="shared" ref="L36:T36" si="9">SUM(L23:L35)</f>
        <v>100</v>
      </c>
      <c r="M36" s="34">
        <f t="shared" si="9"/>
        <v>3782</v>
      </c>
      <c r="N36" s="34">
        <f t="shared" si="9"/>
        <v>634.1</v>
      </c>
      <c r="O36" s="34">
        <f t="shared" si="9"/>
        <v>1866</v>
      </c>
      <c r="P36" s="34">
        <f t="shared" si="9"/>
        <v>32.5</v>
      </c>
      <c r="Q36" s="34">
        <f t="shared" si="9"/>
        <v>5118</v>
      </c>
      <c r="R36" s="34">
        <f t="shared" si="9"/>
        <v>75</v>
      </c>
      <c r="S36" s="34">
        <f t="shared" si="9"/>
        <v>2852</v>
      </c>
      <c r="T36" s="34">
        <f t="shared" si="9"/>
        <v>1017.5</v>
      </c>
      <c r="U36" s="34">
        <f t="shared" ref="U36:X36" si="10">SUM(U23:U35)</f>
        <v>5157</v>
      </c>
      <c r="V36" s="34">
        <f t="shared" si="10"/>
        <v>242.5</v>
      </c>
      <c r="W36" s="34">
        <f t="shared" si="10"/>
        <v>3260</v>
      </c>
      <c r="X36" s="16">
        <f t="shared" si="10"/>
        <v>30</v>
      </c>
    </row>
    <row r="37" spans="1:24" ht="15.6" thickTop="1" thickBot="1" x14ac:dyDescent="0.35">
      <c r="A37" s="133">
        <v>5194.62</v>
      </c>
      <c r="B37" s="133">
        <v>5066.32</v>
      </c>
      <c r="C37" s="133">
        <v>4989.05</v>
      </c>
      <c r="D37" s="133">
        <v>2746.87</v>
      </c>
      <c r="E37" s="133">
        <v>1105</v>
      </c>
      <c r="F37" s="133">
        <v>5933.55</v>
      </c>
      <c r="G37" s="133">
        <v>5413.54</v>
      </c>
      <c r="H37" s="149">
        <f>SUM(A37:G37)+I28</f>
        <v>52709.71</v>
      </c>
      <c r="I37" s="151" t="s">
        <v>1</v>
      </c>
      <c r="K37" s="34">
        <v>4852</v>
      </c>
      <c r="L37" s="34">
        <v>100</v>
      </c>
      <c r="M37" s="34">
        <v>3782</v>
      </c>
      <c r="N37" s="34">
        <v>634.1</v>
      </c>
      <c r="O37" s="34">
        <v>1866</v>
      </c>
      <c r="P37" s="34">
        <v>32.5</v>
      </c>
      <c r="Q37" s="34">
        <v>5118</v>
      </c>
      <c r="R37" s="34">
        <v>75</v>
      </c>
      <c r="S37" s="34">
        <v>2852</v>
      </c>
      <c r="T37" s="34">
        <v>1017.5</v>
      </c>
      <c r="U37" s="34">
        <v>5156</v>
      </c>
      <c r="V37" s="34">
        <v>242.5</v>
      </c>
      <c r="W37" s="34">
        <v>3260</v>
      </c>
      <c r="X37" s="34">
        <v>453.2</v>
      </c>
    </row>
    <row r="38" spans="1:24" ht="15.6" thickTop="1" thickBot="1" x14ac:dyDescent="0.35">
      <c r="A38" s="63">
        <f t="shared" ref="A38:H38" si="11">A36-A37</f>
        <v>0</v>
      </c>
      <c r="B38" s="63">
        <f t="shared" si="11"/>
        <v>0</v>
      </c>
      <c r="C38" s="63">
        <f t="shared" si="11"/>
        <v>0</v>
      </c>
      <c r="D38" s="63">
        <f t="shared" si="11"/>
        <v>0</v>
      </c>
      <c r="E38" s="63">
        <f t="shared" si="11"/>
        <v>0</v>
      </c>
      <c r="F38" s="63">
        <f t="shared" si="11"/>
        <v>0</v>
      </c>
      <c r="G38" s="63">
        <f t="shared" si="11"/>
        <v>0</v>
      </c>
      <c r="H38" s="63">
        <f t="shared" si="11"/>
        <v>0</v>
      </c>
      <c r="I38" s="22"/>
      <c r="K38" s="152">
        <f>K36-K37</f>
        <v>0</v>
      </c>
      <c r="L38" s="152">
        <f t="shared" ref="L38:T38" si="12">L36-L37</f>
        <v>0</v>
      </c>
      <c r="M38" s="152">
        <f t="shared" si="12"/>
        <v>0</v>
      </c>
      <c r="N38" s="152">
        <f t="shared" si="12"/>
        <v>0</v>
      </c>
      <c r="O38" s="152">
        <f t="shared" si="12"/>
        <v>0</v>
      </c>
      <c r="P38" s="152">
        <f t="shared" si="12"/>
        <v>0</v>
      </c>
      <c r="Q38" s="152">
        <f t="shared" si="12"/>
        <v>0</v>
      </c>
      <c r="R38" s="152">
        <f t="shared" si="12"/>
        <v>0</v>
      </c>
      <c r="S38" s="152">
        <f t="shared" si="12"/>
        <v>0</v>
      </c>
      <c r="T38" s="152">
        <f t="shared" si="12"/>
        <v>0</v>
      </c>
      <c r="U38" s="152">
        <f t="shared" ref="U38:X38" si="13">U36-U37</f>
        <v>1</v>
      </c>
      <c r="V38" s="152">
        <f t="shared" si="13"/>
        <v>0</v>
      </c>
      <c r="W38" s="152">
        <f t="shared" si="13"/>
        <v>0</v>
      </c>
      <c r="X38" s="146">
        <f t="shared" si="13"/>
        <v>-423.2</v>
      </c>
    </row>
    <row r="39" spans="1:24" ht="15" thickBot="1" x14ac:dyDescent="0.35"/>
    <row r="40" spans="1:24" x14ac:dyDescent="0.3">
      <c r="A40" s="157">
        <v>45819</v>
      </c>
      <c r="B40" s="157">
        <v>45820</v>
      </c>
      <c r="C40" s="157">
        <v>45821</v>
      </c>
      <c r="D40" s="157">
        <v>45822</v>
      </c>
      <c r="E40" s="157">
        <v>45823</v>
      </c>
      <c r="F40" s="157">
        <v>45824</v>
      </c>
      <c r="G40" s="157">
        <v>45825</v>
      </c>
      <c r="H40" s="157"/>
      <c r="I40" s="13" t="s">
        <v>8</v>
      </c>
      <c r="K40" s="59">
        <v>45819</v>
      </c>
      <c r="L40" s="59"/>
      <c r="M40" s="59">
        <v>45820</v>
      </c>
      <c r="N40" s="59"/>
      <c r="O40" s="59">
        <v>45821</v>
      </c>
      <c r="P40" s="59"/>
      <c r="Q40" s="59">
        <v>45822</v>
      </c>
      <c r="R40" s="59"/>
      <c r="S40" s="59">
        <v>45823</v>
      </c>
      <c r="T40" s="59"/>
      <c r="U40" s="59">
        <v>45824</v>
      </c>
      <c r="V40" s="59"/>
      <c r="W40" s="59">
        <v>45825</v>
      </c>
      <c r="X40" s="59"/>
    </row>
    <row r="41" spans="1:24" ht="15" thickBot="1" x14ac:dyDescent="0.35">
      <c r="A41" s="22">
        <v>1976.84</v>
      </c>
      <c r="B41" s="22">
        <v>2009.05</v>
      </c>
      <c r="C41" s="22">
        <v>845</v>
      </c>
      <c r="D41" s="22">
        <v>995</v>
      </c>
      <c r="E41" s="22">
        <v>400</v>
      </c>
      <c r="F41" s="22">
        <v>1020</v>
      </c>
      <c r="G41" s="22">
        <v>1235</v>
      </c>
      <c r="H41" s="15"/>
      <c r="I41" s="15">
        <v>800</v>
      </c>
      <c r="K41" s="124" t="s">
        <v>10</v>
      </c>
      <c r="L41" s="125" t="s">
        <v>11</v>
      </c>
      <c r="M41" s="126" t="s">
        <v>10</v>
      </c>
      <c r="N41" s="126" t="s">
        <v>11</v>
      </c>
      <c r="O41" s="126" t="s">
        <v>10</v>
      </c>
      <c r="P41" s="126" t="s">
        <v>11</v>
      </c>
      <c r="Q41" s="126" t="s">
        <v>10</v>
      </c>
      <c r="R41" s="126" t="s">
        <v>11</v>
      </c>
      <c r="S41" s="126" t="s">
        <v>10</v>
      </c>
      <c r="T41" s="126" t="s">
        <v>11</v>
      </c>
      <c r="U41" s="126" t="s">
        <v>10</v>
      </c>
      <c r="V41" s="126" t="s">
        <v>11</v>
      </c>
      <c r="W41" s="126" t="s">
        <v>10</v>
      </c>
      <c r="X41" s="143" t="s">
        <v>11</v>
      </c>
    </row>
    <row r="42" spans="1:24" x14ac:dyDescent="0.3">
      <c r="A42" s="22">
        <v>2275</v>
      </c>
      <c r="B42" s="22">
        <v>1780</v>
      </c>
      <c r="C42" s="22">
        <v>2405</v>
      </c>
      <c r="D42" s="22">
        <v>495</v>
      </c>
      <c r="E42" s="22">
        <v>565</v>
      </c>
      <c r="F42" s="22">
        <v>2355</v>
      </c>
      <c r="G42" s="22">
        <v>2100</v>
      </c>
      <c r="H42" s="15"/>
      <c r="I42" s="15">
        <v>7460</v>
      </c>
      <c r="K42" s="75">
        <v>240</v>
      </c>
      <c r="L42" s="76">
        <v>90</v>
      </c>
      <c r="M42" s="77">
        <v>200</v>
      </c>
      <c r="N42" s="77">
        <v>42</v>
      </c>
      <c r="O42" s="77">
        <v>180</v>
      </c>
      <c r="P42" s="77">
        <v>455</v>
      </c>
      <c r="Q42" s="63">
        <v>120</v>
      </c>
      <c r="R42" s="77">
        <v>37.5</v>
      </c>
      <c r="S42" s="63">
        <v>84</v>
      </c>
      <c r="T42" s="22">
        <v>15</v>
      </c>
      <c r="U42" s="63">
        <v>397</v>
      </c>
      <c r="V42" s="63">
        <v>49.5</v>
      </c>
      <c r="W42" s="63">
        <v>24</v>
      </c>
      <c r="X42" s="40">
        <v>50</v>
      </c>
    </row>
    <row r="43" spans="1:24" x14ac:dyDescent="0.3">
      <c r="A43" s="22">
        <v>1185</v>
      </c>
      <c r="B43" s="26">
        <v>1010</v>
      </c>
      <c r="C43" s="22">
        <v>2103.5100000000002</v>
      </c>
      <c r="D43" s="26">
        <v>3076.12</v>
      </c>
      <c r="E43" s="26"/>
      <c r="F43" s="22"/>
      <c r="G43" s="22">
        <v>2193.5300000000002</v>
      </c>
      <c r="H43" s="15"/>
      <c r="I43" s="15">
        <v>6599.62</v>
      </c>
      <c r="K43" s="21">
        <v>3550</v>
      </c>
      <c r="L43" s="79"/>
      <c r="M43" s="80">
        <v>2390</v>
      </c>
      <c r="N43" s="43">
        <v>48</v>
      </c>
      <c r="O43" s="43">
        <v>476</v>
      </c>
      <c r="P43" s="43"/>
      <c r="Q43" s="22">
        <v>248</v>
      </c>
      <c r="R43" s="80">
        <v>409.5</v>
      </c>
      <c r="S43" s="22">
        <v>100</v>
      </c>
      <c r="T43" s="22"/>
      <c r="U43" s="22">
        <v>280</v>
      </c>
      <c r="V43" s="22"/>
      <c r="W43" s="22">
        <v>150</v>
      </c>
      <c r="X43" s="27"/>
    </row>
    <row r="44" spans="1:24" x14ac:dyDescent="0.3">
      <c r="A44" s="22"/>
      <c r="B44" s="25"/>
      <c r="C44" s="22"/>
      <c r="D44" s="25"/>
      <c r="E44" s="22"/>
      <c r="F44" s="22"/>
      <c r="G44" s="22"/>
      <c r="H44" s="15"/>
      <c r="I44" s="15">
        <v>4811.68</v>
      </c>
      <c r="K44" s="21">
        <v>344</v>
      </c>
      <c r="L44" s="79"/>
      <c r="M44" s="84">
        <v>212</v>
      </c>
      <c r="N44" s="43"/>
      <c r="O44" s="43">
        <v>3850</v>
      </c>
      <c r="P44" s="43"/>
      <c r="Q44" s="22">
        <v>2320</v>
      </c>
      <c r="R44" s="84">
        <v>1200</v>
      </c>
      <c r="S44" s="22">
        <v>480</v>
      </c>
      <c r="T44" s="22"/>
      <c r="U44" s="22">
        <v>3570</v>
      </c>
      <c r="V44" s="22"/>
      <c r="W44" s="22">
        <v>296</v>
      </c>
      <c r="X44" s="27"/>
    </row>
    <row r="45" spans="1:24" x14ac:dyDescent="0.3">
      <c r="A45" s="22"/>
      <c r="B45" s="22"/>
      <c r="C45" s="22"/>
      <c r="D45" s="22"/>
      <c r="E45" s="22"/>
      <c r="F45" s="22"/>
      <c r="G45" s="22"/>
      <c r="H45" s="15"/>
      <c r="I45" s="15">
        <v>380</v>
      </c>
      <c r="K45" s="21">
        <v>270</v>
      </c>
      <c r="M45" s="43">
        <v>400</v>
      </c>
      <c r="N45" s="43"/>
      <c r="O45" s="43">
        <v>180</v>
      </c>
      <c r="P45" s="43"/>
      <c r="Q45" s="22"/>
      <c r="R45" s="43"/>
      <c r="S45" s="22"/>
      <c r="T45" s="22"/>
      <c r="U45" s="22"/>
      <c r="V45" s="22"/>
      <c r="W45" s="22">
        <v>2860</v>
      </c>
      <c r="X45" s="27"/>
    </row>
    <row r="46" spans="1:24" ht="15" thickBot="1" x14ac:dyDescent="0.35">
      <c r="A46" s="22"/>
      <c r="B46" s="22"/>
      <c r="C46" s="22"/>
      <c r="D46" s="22"/>
      <c r="E46" s="22"/>
      <c r="F46" s="22"/>
      <c r="G46" s="22"/>
      <c r="H46" s="131"/>
      <c r="I46" s="131">
        <v>2257.9499999999998</v>
      </c>
      <c r="K46" s="128"/>
      <c r="L46" s="79"/>
      <c r="M46" s="43"/>
      <c r="N46" s="43"/>
      <c r="O46" s="43"/>
      <c r="P46" s="43"/>
      <c r="Q46" s="22"/>
      <c r="R46" s="43"/>
      <c r="S46" s="22"/>
      <c r="T46" s="22"/>
      <c r="U46" s="22"/>
      <c r="V46" s="22"/>
      <c r="W46" s="22">
        <v>680</v>
      </c>
      <c r="X46" s="27"/>
    </row>
    <row r="47" spans="1:24" ht="15.6" thickTop="1" thickBot="1" x14ac:dyDescent="0.35">
      <c r="A47" s="22"/>
      <c r="B47" s="22"/>
      <c r="C47" s="22"/>
      <c r="D47" s="22"/>
      <c r="E47" s="22"/>
      <c r="F47" s="22"/>
      <c r="G47" s="22"/>
      <c r="H47" s="37"/>
      <c r="I47" s="132">
        <f>SUM(I41:I46)</f>
        <v>22309.25</v>
      </c>
      <c r="K47" s="21"/>
      <c r="L47" s="79"/>
      <c r="M47" s="43"/>
      <c r="N47" s="43"/>
      <c r="O47" s="43"/>
      <c r="P47" s="43"/>
      <c r="Q47" s="22"/>
      <c r="R47" s="43"/>
      <c r="S47" s="22"/>
      <c r="T47" s="22"/>
      <c r="U47" s="22"/>
      <c r="V47" s="22"/>
      <c r="W47" s="22"/>
      <c r="X47" s="27"/>
    </row>
    <row r="48" spans="1:24" ht="15" thickTop="1" x14ac:dyDescent="0.3">
      <c r="A48" s="22"/>
      <c r="B48" s="22"/>
      <c r="C48" s="22"/>
      <c r="D48" s="22"/>
      <c r="E48" s="22"/>
      <c r="F48" s="22"/>
      <c r="G48" s="22"/>
      <c r="H48" s="37"/>
      <c r="I48" s="40"/>
      <c r="K48" s="24"/>
      <c r="L48" s="5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7"/>
    </row>
    <row r="49" spans="1:24" x14ac:dyDescent="0.3">
      <c r="A49" s="22"/>
      <c r="B49" s="22"/>
      <c r="C49" s="22"/>
      <c r="D49" s="22"/>
      <c r="E49" s="22"/>
      <c r="F49" s="22"/>
      <c r="G49" s="22"/>
      <c r="H49" s="37"/>
      <c r="I49" s="27"/>
      <c r="K49" s="24"/>
      <c r="L49" s="5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7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27"/>
      <c r="K50" s="24"/>
      <c r="L50" s="56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7"/>
    </row>
    <row r="51" spans="1:24" x14ac:dyDescent="0.3">
      <c r="A51" s="22"/>
      <c r="B51" s="22"/>
      <c r="C51" s="22"/>
      <c r="D51" s="22"/>
      <c r="E51" s="22"/>
      <c r="F51" s="22"/>
      <c r="G51" s="22"/>
      <c r="H51" s="22"/>
      <c r="I51" s="23"/>
      <c r="K51" s="24"/>
      <c r="L51" s="5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7"/>
    </row>
    <row r="52" spans="1:24" ht="15" thickBot="1" x14ac:dyDescent="0.35">
      <c r="A52" s="22"/>
      <c r="B52" s="22"/>
      <c r="C52" s="22"/>
      <c r="D52" s="22"/>
      <c r="E52" s="22"/>
      <c r="F52" s="22"/>
      <c r="G52" s="22"/>
      <c r="H52" s="22"/>
      <c r="I52" s="23"/>
      <c r="K52" s="24"/>
      <c r="L52" s="56"/>
      <c r="M52" s="22"/>
      <c r="N52" s="35"/>
      <c r="O52" s="22"/>
      <c r="P52" s="22"/>
      <c r="Q52" s="22"/>
      <c r="R52" s="22"/>
      <c r="S52" s="22"/>
      <c r="T52" s="22"/>
      <c r="U52" s="22"/>
      <c r="V52" s="22"/>
      <c r="W52" s="22"/>
      <c r="X52" s="27"/>
    </row>
    <row r="53" spans="1:24" ht="15" thickTop="1" x14ac:dyDescent="0.3">
      <c r="A53" s="22"/>
      <c r="B53" s="22"/>
      <c r="C53" s="22"/>
      <c r="D53" s="22"/>
      <c r="E53" s="22"/>
      <c r="F53" s="22"/>
      <c r="G53" s="22"/>
      <c r="H53" s="22"/>
      <c r="I53" s="23"/>
      <c r="K53" s="24"/>
      <c r="L53" s="56"/>
      <c r="M53" s="22"/>
      <c r="N53" s="63"/>
      <c r="O53" s="22"/>
      <c r="P53" s="22"/>
      <c r="Q53" s="22"/>
      <c r="R53" s="22"/>
      <c r="S53" s="22"/>
      <c r="T53" s="22"/>
      <c r="U53" s="22"/>
      <c r="V53" s="22"/>
      <c r="W53" s="22"/>
      <c r="X53" s="27"/>
    </row>
    <row r="54" spans="1:24" x14ac:dyDescent="0.3">
      <c r="A54" s="22"/>
      <c r="B54" s="22"/>
      <c r="C54" s="22"/>
      <c r="D54" s="22"/>
      <c r="E54" s="22"/>
      <c r="F54" s="22"/>
      <c r="G54" s="22"/>
      <c r="H54" s="22"/>
      <c r="I54" s="23"/>
      <c r="K54" s="2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7"/>
    </row>
    <row r="55" spans="1:24" ht="15" thickBot="1" x14ac:dyDescent="0.35">
      <c r="A55" s="133">
        <f t="shared" ref="A55:G55" si="14">SUM(A41:A54)</f>
        <v>5436.84</v>
      </c>
      <c r="B55" s="133">
        <f t="shared" si="14"/>
        <v>4799.05</v>
      </c>
      <c r="C55" s="133">
        <f t="shared" si="14"/>
        <v>5353.51</v>
      </c>
      <c r="D55" s="133">
        <f t="shared" si="14"/>
        <v>4566.12</v>
      </c>
      <c r="E55" s="133">
        <f t="shared" si="14"/>
        <v>965</v>
      </c>
      <c r="F55" s="133">
        <f t="shared" si="14"/>
        <v>3375</v>
      </c>
      <c r="G55" s="133">
        <f t="shared" si="14"/>
        <v>5528.5300000000007</v>
      </c>
      <c r="H55" s="149">
        <f>SUM(A55:G55)+I47</f>
        <v>52333.3</v>
      </c>
      <c r="I55" s="150" t="s">
        <v>7</v>
      </c>
      <c r="K55" s="34">
        <f>SUM(K42:K54)</f>
        <v>4404</v>
      </c>
      <c r="L55" s="16">
        <f t="shared" ref="L55:X55" si="15">SUM(L42:L54)</f>
        <v>90</v>
      </c>
      <c r="M55" s="34">
        <f t="shared" si="15"/>
        <v>3202</v>
      </c>
      <c r="N55" s="34">
        <f t="shared" si="15"/>
        <v>90</v>
      </c>
      <c r="O55" s="34">
        <f t="shared" si="15"/>
        <v>4686</v>
      </c>
      <c r="P55" s="34">
        <f t="shared" si="15"/>
        <v>455</v>
      </c>
      <c r="Q55" s="34">
        <f t="shared" si="15"/>
        <v>2688</v>
      </c>
      <c r="R55" s="34">
        <f t="shared" si="15"/>
        <v>1647</v>
      </c>
      <c r="S55" s="34">
        <f t="shared" si="15"/>
        <v>664</v>
      </c>
      <c r="T55" s="34">
        <f t="shared" si="15"/>
        <v>15</v>
      </c>
      <c r="U55" s="34">
        <f t="shared" si="15"/>
        <v>4247</v>
      </c>
      <c r="V55" s="34">
        <f t="shared" si="15"/>
        <v>49.5</v>
      </c>
      <c r="W55" s="34">
        <f t="shared" si="15"/>
        <v>4010</v>
      </c>
      <c r="X55" s="16">
        <f t="shared" si="15"/>
        <v>50</v>
      </c>
    </row>
    <row r="56" spans="1:24" ht="15.6" thickTop="1" thickBot="1" x14ac:dyDescent="0.35">
      <c r="A56" s="133">
        <v>5436.84</v>
      </c>
      <c r="B56" s="133">
        <v>4799.05</v>
      </c>
      <c r="C56" s="133">
        <v>5353.51</v>
      </c>
      <c r="D56" s="133">
        <v>4566.12</v>
      </c>
      <c r="E56" s="133">
        <v>965</v>
      </c>
      <c r="F56" s="133">
        <v>3375</v>
      </c>
      <c r="G56" s="133">
        <v>5528.53</v>
      </c>
      <c r="H56" s="149">
        <f>SUM(A56:G56)+I47</f>
        <v>52333.3</v>
      </c>
      <c r="I56" s="151" t="s">
        <v>1</v>
      </c>
      <c r="K56" s="34">
        <v>4404</v>
      </c>
      <c r="L56" s="34">
        <v>90</v>
      </c>
      <c r="M56" s="34">
        <v>3202</v>
      </c>
      <c r="N56" s="34">
        <v>90</v>
      </c>
      <c r="O56" s="34">
        <v>4686</v>
      </c>
      <c r="P56" s="34">
        <v>455</v>
      </c>
      <c r="Q56" s="34">
        <v>2688</v>
      </c>
      <c r="R56" s="34">
        <v>1647</v>
      </c>
      <c r="S56" s="34">
        <v>664</v>
      </c>
      <c r="T56" s="34">
        <v>15</v>
      </c>
      <c r="U56" s="34">
        <v>4247</v>
      </c>
      <c r="V56" s="34">
        <v>49.5</v>
      </c>
      <c r="W56" s="34">
        <v>4010</v>
      </c>
      <c r="X56" s="34">
        <v>50</v>
      </c>
    </row>
    <row r="57" spans="1:24" ht="15.6" thickTop="1" thickBot="1" x14ac:dyDescent="0.35">
      <c r="A57" s="63">
        <f t="shared" ref="A57:H57" si="16">A55-A56</f>
        <v>0</v>
      </c>
      <c r="B57" s="63">
        <f t="shared" si="16"/>
        <v>0</v>
      </c>
      <c r="C57" s="63">
        <f t="shared" si="16"/>
        <v>0</v>
      </c>
      <c r="D57" s="63">
        <f t="shared" si="16"/>
        <v>0</v>
      </c>
      <c r="E57" s="63">
        <f t="shared" si="16"/>
        <v>0</v>
      </c>
      <c r="F57" s="63">
        <f t="shared" si="16"/>
        <v>0</v>
      </c>
      <c r="G57" s="63">
        <f t="shared" si="16"/>
        <v>0</v>
      </c>
      <c r="H57" s="63">
        <f t="shared" si="16"/>
        <v>0</v>
      </c>
      <c r="I57" s="22"/>
      <c r="K57" s="152">
        <f>K55-K56</f>
        <v>0</v>
      </c>
      <c r="L57" s="152">
        <f t="shared" ref="L57:X57" si="17">L55-L56</f>
        <v>0</v>
      </c>
      <c r="M57" s="152">
        <f t="shared" si="17"/>
        <v>0</v>
      </c>
      <c r="N57" s="152">
        <f t="shared" si="17"/>
        <v>0</v>
      </c>
      <c r="O57" s="152">
        <f t="shared" si="17"/>
        <v>0</v>
      </c>
      <c r="P57" s="152">
        <f t="shared" si="17"/>
        <v>0</v>
      </c>
      <c r="Q57" s="152">
        <f t="shared" si="17"/>
        <v>0</v>
      </c>
      <c r="R57" s="152">
        <f t="shared" si="17"/>
        <v>0</v>
      </c>
      <c r="S57" s="152">
        <f t="shared" si="17"/>
        <v>0</v>
      </c>
      <c r="T57" s="152">
        <f t="shared" si="17"/>
        <v>0</v>
      </c>
      <c r="U57" s="152">
        <f t="shared" si="17"/>
        <v>0</v>
      </c>
      <c r="V57" s="152">
        <f t="shared" si="17"/>
        <v>0</v>
      </c>
      <c r="W57" s="152">
        <f t="shared" si="17"/>
        <v>0</v>
      </c>
      <c r="X57" s="146">
        <f t="shared" si="17"/>
        <v>0</v>
      </c>
    </row>
    <row r="58" spans="1:24" ht="15" thickBot="1" x14ac:dyDescent="0.35"/>
    <row r="59" spans="1:24" x14ac:dyDescent="0.3">
      <c r="A59" s="157">
        <v>45826</v>
      </c>
      <c r="B59" s="157">
        <v>45827</v>
      </c>
      <c r="C59" s="157">
        <v>45828</v>
      </c>
      <c r="D59" s="157">
        <v>45829</v>
      </c>
      <c r="E59" s="157">
        <v>45830</v>
      </c>
      <c r="F59" s="157">
        <v>45831</v>
      </c>
      <c r="G59" s="157">
        <v>45832</v>
      </c>
      <c r="H59" s="157"/>
      <c r="I59" s="13"/>
      <c r="K59" s="59">
        <v>45826</v>
      </c>
      <c r="L59" s="59"/>
      <c r="M59" s="59">
        <v>45827</v>
      </c>
      <c r="N59" s="59"/>
      <c r="O59" s="59">
        <v>45828</v>
      </c>
      <c r="P59" s="59"/>
      <c r="Q59" s="59">
        <v>45829</v>
      </c>
      <c r="R59" s="59"/>
      <c r="S59" s="59">
        <v>45830</v>
      </c>
      <c r="T59" s="59"/>
      <c r="U59" s="59">
        <v>45831</v>
      </c>
      <c r="V59" s="59"/>
      <c r="W59" s="59">
        <v>45832</v>
      </c>
      <c r="X59" s="59"/>
    </row>
    <row r="60" spans="1:24" ht="15" thickBot="1" x14ac:dyDescent="0.35">
      <c r="A60" s="22">
        <v>1949.07</v>
      </c>
      <c r="B60" s="22">
        <v>1415</v>
      </c>
      <c r="C60" s="22">
        <v>2315.7600000000002</v>
      </c>
      <c r="D60" s="22">
        <v>2316.4499999999998</v>
      </c>
      <c r="E60" s="22">
        <v>325</v>
      </c>
      <c r="F60" s="22">
        <v>1859.05</v>
      </c>
      <c r="G60" s="22">
        <v>1736.82</v>
      </c>
      <c r="H60" s="15"/>
      <c r="I60" s="15">
        <v>6400</v>
      </c>
      <c r="K60" s="124" t="s">
        <v>10</v>
      </c>
      <c r="L60" s="125" t="s">
        <v>11</v>
      </c>
      <c r="M60" s="126" t="s">
        <v>10</v>
      </c>
      <c r="N60" s="126" t="s">
        <v>11</v>
      </c>
      <c r="O60" s="126" t="s">
        <v>10</v>
      </c>
      <c r="P60" s="126" t="s">
        <v>11</v>
      </c>
      <c r="Q60" s="126" t="s">
        <v>10</v>
      </c>
      <c r="R60" s="126" t="s">
        <v>11</v>
      </c>
      <c r="S60" s="126" t="s">
        <v>10</v>
      </c>
      <c r="T60" s="126" t="s">
        <v>11</v>
      </c>
      <c r="U60" s="126" t="s">
        <v>10</v>
      </c>
      <c r="V60" s="126" t="s">
        <v>11</v>
      </c>
      <c r="W60" s="126" t="s">
        <v>10</v>
      </c>
      <c r="X60" s="143" t="s">
        <v>11</v>
      </c>
    </row>
    <row r="61" spans="1:24" x14ac:dyDescent="0.3">
      <c r="A61" s="22">
        <v>2170</v>
      </c>
      <c r="B61" s="22">
        <v>1915</v>
      </c>
      <c r="C61" s="22">
        <v>1965</v>
      </c>
      <c r="D61" s="22">
        <v>975</v>
      </c>
      <c r="E61" s="22">
        <v>520</v>
      </c>
      <c r="F61" s="22">
        <v>2525</v>
      </c>
      <c r="G61" s="22">
        <v>2355</v>
      </c>
      <c r="H61" s="15"/>
      <c r="I61" s="15">
        <v>5935.14</v>
      </c>
      <c r="K61" s="75">
        <v>660</v>
      </c>
      <c r="L61" s="76">
        <v>45</v>
      </c>
      <c r="M61" s="77">
        <v>120</v>
      </c>
      <c r="N61" s="77">
        <v>127.5</v>
      </c>
      <c r="O61" s="77">
        <v>500</v>
      </c>
      <c r="P61" s="77">
        <v>60</v>
      </c>
      <c r="Q61" s="63">
        <v>2300</v>
      </c>
      <c r="R61" s="77">
        <v>60</v>
      </c>
      <c r="S61" s="63">
        <v>450</v>
      </c>
      <c r="T61" s="22">
        <v>15</v>
      </c>
      <c r="U61" s="63">
        <v>300</v>
      </c>
      <c r="V61" s="63">
        <v>64.5</v>
      </c>
      <c r="W61" s="63">
        <v>260</v>
      </c>
      <c r="X61" s="40">
        <v>77</v>
      </c>
    </row>
    <row r="62" spans="1:24" x14ac:dyDescent="0.3">
      <c r="A62" s="22">
        <v>1440</v>
      </c>
      <c r="B62" s="26">
        <v>1949.07</v>
      </c>
      <c r="C62" s="22">
        <v>1287.5</v>
      </c>
      <c r="D62" s="26">
        <v>975</v>
      </c>
      <c r="E62" s="26"/>
      <c r="F62" s="22">
        <v>1400</v>
      </c>
      <c r="G62" s="22">
        <v>1070</v>
      </c>
      <c r="H62" s="15"/>
      <c r="I62" s="15">
        <v>1870</v>
      </c>
      <c r="K62" s="21">
        <v>3520</v>
      </c>
      <c r="L62" s="79"/>
      <c r="M62" s="80">
        <v>234</v>
      </c>
      <c r="N62" s="43">
        <v>1200</v>
      </c>
      <c r="O62" s="43">
        <v>4470</v>
      </c>
      <c r="P62" s="43">
        <v>57.5</v>
      </c>
      <c r="Q62" s="22">
        <v>196</v>
      </c>
      <c r="R62" s="80">
        <v>50</v>
      </c>
      <c r="S62" s="22"/>
      <c r="T62" s="22"/>
      <c r="U62" s="22">
        <v>4070</v>
      </c>
      <c r="V62" s="22"/>
      <c r="W62" s="22">
        <v>2620</v>
      </c>
      <c r="X62" s="27">
        <v>409.5</v>
      </c>
    </row>
    <row r="63" spans="1:24" x14ac:dyDescent="0.3">
      <c r="A63" s="22"/>
      <c r="B63" s="25"/>
      <c r="C63" s="22"/>
      <c r="D63" s="25"/>
      <c r="E63" s="22"/>
      <c r="F63" s="22"/>
      <c r="G63" s="22"/>
      <c r="H63" s="15"/>
      <c r="I63" s="15">
        <v>4734.5200000000004</v>
      </c>
      <c r="K63" s="21">
        <v>336</v>
      </c>
      <c r="L63" s="79"/>
      <c r="M63" s="84">
        <v>2550</v>
      </c>
      <c r="N63" s="43"/>
      <c r="O63" s="43">
        <v>476</v>
      </c>
      <c r="P63" s="43"/>
      <c r="Q63" s="22">
        <v>240</v>
      </c>
      <c r="R63" s="84"/>
      <c r="S63" s="22"/>
      <c r="T63" s="22"/>
      <c r="U63" s="22">
        <v>474</v>
      </c>
      <c r="V63" s="22"/>
      <c r="W63" s="22">
        <v>318</v>
      </c>
      <c r="X63" s="27"/>
    </row>
    <row r="64" spans="1:24" x14ac:dyDescent="0.3">
      <c r="A64" s="22"/>
      <c r="B64" s="22"/>
      <c r="C64" s="22"/>
      <c r="D64" s="22"/>
      <c r="E64" s="22"/>
      <c r="F64" s="22"/>
      <c r="G64" s="22"/>
      <c r="H64" s="15"/>
      <c r="I64" s="15">
        <v>411.7</v>
      </c>
      <c r="K64" s="21">
        <v>210</v>
      </c>
      <c r="M64" s="43">
        <v>680</v>
      </c>
      <c r="N64" s="43"/>
      <c r="O64" s="43">
        <v>300</v>
      </c>
      <c r="P64" s="43"/>
      <c r="Q64" s="22">
        <v>28</v>
      </c>
      <c r="R64" s="43"/>
      <c r="S64" s="22"/>
      <c r="T64" s="22"/>
      <c r="U64" s="22">
        <v>310</v>
      </c>
      <c r="V64" s="22"/>
      <c r="W64" s="22">
        <v>180</v>
      </c>
      <c r="X64" s="27"/>
    </row>
    <row r="65" spans="1:24" ht="15" thickBot="1" x14ac:dyDescent="0.35">
      <c r="A65" s="22"/>
      <c r="B65" s="22"/>
      <c r="C65" s="22"/>
      <c r="D65" s="22"/>
      <c r="E65" s="22"/>
      <c r="F65" s="22"/>
      <c r="G65" s="22"/>
      <c r="H65" s="131"/>
      <c r="I65" s="131">
        <v>380</v>
      </c>
      <c r="K65" s="128">
        <v>28</v>
      </c>
      <c r="L65" s="79"/>
      <c r="M65" s="43"/>
      <c r="N65" s="43"/>
      <c r="O65" s="43"/>
      <c r="P65" s="43"/>
      <c r="Q65" s="22"/>
      <c r="R65" s="43"/>
      <c r="S65" s="22"/>
      <c r="T65" s="22"/>
      <c r="U65" s="22">
        <v>26</v>
      </c>
      <c r="V65" s="22"/>
      <c r="W65" s="22"/>
      <c r="X65" s="27"/>
    </row>
    <row r="66" spans="1:24" ht="15.6" thickTop="1" thickBot="1" x14ac:dyDescent="0.35">
      <c r="A66" s="22"/>
      <c r="B66" s="22"/>
      <c r="C66" s="22"/>
      <c r="D66" s="22"/>
      <c r="E66" s="22"/>
      <c r="F66" s="22"/>
      <c r="G66" s="22"/>
      <c r="H66" s="37"/>
      <c r="I66" s="132">
        <f>SUM(I60:I65)</f>
        <v>19731.36</v>
      </c>
      <c r="K66" s="21"/>
      <c r="L66" s="79"/>
      <c r="M66" s="43"/>
      <c r="N66" s="43"/>
      <c r="O66" s="43"/>
      <c r="P66" s="43"/>
      <c r="Q66" s="22"/>
      <c r="R66" s="43"/>
      <c r="S66" s="22"/>
      <c r="T66" s="22"/>
      <c r="U66" s="22"/>
      <c r="V66" s="22"/>
      <c r="W66" s="22"/>
      <c r="X66" s="27"/>
    </row>
    <row r="67" spans="1:24" ht="15" thickTop="1" x14ac:dyDescent="0.3">
      <c r="A67" s="22"/>
      <c r="B67" s="22"/>
      <c r="C67" s="22"/>
      <c r="D67" s="22"/>
      <c r="E67" s="22"/>
      <c r="F67" s="22"/>
      <c r="G67" s="22"/>
      <c r="H67" s="37"/>
      <c r="I67" s="40"/>
      <c r="K67" s="24"/>
      <c r="L67" s="56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7"/>
    </row>
    <row r="68" spans="1:24" x14ac:dyDescent="0.3">
      <c r="A68" s="22"/>
      <c r="B68" s="22"/>
      <c r="C68" s="22"/>
      <c r="D68" s="22"/>
      <c r="E68" s="22"/>
      <c r="F68" s="22"/>
      <c r="G68" s="22"/>
      <c r="H68" s="37"/>
      <c r="I68" s="27"/>
      <c r="K68" s="24"/>
      <c r="L68" s="56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7"/>
    </row>
    <row r="69" spans="1:24" x14ac:dyDescent="0.3">
      <c r="A69" s="22"/>
      <c r="B69" s="22"/>
      <c r="C69" s="22"/>
      <c r="D69" s="22"/>
      <c r="E69" s="22"/>
      <c r="F69" s="22"/>
      <c r="G69" s="22"/>
      <c r="H69" s="37"/>
      <c r="I69" s="27"/>
      <c r="K69" s="24"/>
      <c r="L69" s="56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7"/>
    </row>
    <row r="70" spans="1:24" x14ac:dyDescent="0.3">
      <c r="A70" s="22"/>
      <c r="B70" s="22"/>
      <c r="C70" s="22"/>
      <c r="D70" s="22"/>
      <c r="E70" s="22"/>
      <c r="F70" s="22"/>
      <c r="G70" s="22"/>
      <c r="H70" s="22"/>
      <c r="I70" s="23"/>
      <c r="K70" s="24"/>
      <c r="L70" s="56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7"/>
    </row>
    <row r="71" spans="1:24" ht="15" thickBot="1" x14ac:dyDescent="0.35">
      <c r="A71" s="22"/>
      <c r="B71" s="22"/>
      <c r="C71" s="22"/>
      <c r="D71" s="22"/>
      <c r="E71" s="22"/>
      <c r="F71" s="22"/>
      <c r="G71" s="22"/>
      <c r="H71" s="22"/>
      <c r="I71" s="23"/>
      <c r="K71" s="24"/>
      <c r="L71" s="56"/>
      <c r="M71" s="22"/>
      <c r="N71" s="35"/>
      <c r="O71" s="22"/>
      <c r="P71" s="22"/>
      <c r="Q71" s="22"/>
      <c r="R71" s="22"/>
      <c r="S71" s="22"/>
      <c r="T71" s="22"/>
      <c r="U71" s="22"/>
      <c r="V71" s="22"/>
      <c r="W71" s="22"/>
      <c r="X71" s="27"/>
    </row>
    <row r="72" spans="1:24" ht="15" thickTop="1" x14ac:dyDescent="0.3">
      <c r="A72" s="22"/>
      <c r="B72" s="22"/>
      <c r="C72" s="22"/>
      <c r="D72" s="22"/>
      <c r="E72" s="22"/>
      <c r="F72" s="22"/>
      <c r="G72" s="22"/>
      <c r="H72" s="22"/>
      <c r="I72" s="23"/>
      <c r="K72" s="24"/>
      <c r="L72" s="56"/>
      <c r="M72" s="22"/>
      <c r="N72" s="63"/>
      <c r="O72" s="22"/>
      <c r="P72" s="22"/>
      <c r="Q72" s="22"/>
      <c r="R72" s="22"/>
      <c r="S72" s="22"/>
      <c r="T72" s="22"/>
      <c r="U72" s="22"/>
      <c r="V72" s="22"/>
      <c r="W72" s="22"/>
      <c r="X72" s="27"/>
    </row>
    <row r="73" spans="1:24" x14ac:dyDescent="0.3">
      <c r="A73" s="22"/>
      <c r="B73" s="22"/>
      <c r="C73" s="22"/>
      <c r="D73" s="22"/>
      <c r="E73" s="22"/>
      <c r="F73" s="22"/>
      <c r="G73" s="22"/>
      <c r="H73" s="22"/>
      <c r="I73" s="23"/>
      <c r="K73" s="24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7"/>
    </row>
    <row r="74" spans="1:24" ht="15" thickBot="1" x14ac:dyDescent="0.35">
      <c r="A74" s="133">
        <f t="shared" ref="A74:G74" si="18">SUM(A60:A73)</f>
        <v>5559.07</v>
      </c>
      <c r="B74" s="133">
        <f t="shared" si="18"/>
        <v>5279.07</v>
      </c>
      <c r="C74" s="133">
        <f t="shared" si="18"/>
        <v>5568.26</v>
      </c>
      <c r="D74" s="133">
        <f t="shared" si="18"/>
        <v>4266.45</v>
      </c>
      <c r="E74" s="133">
        <f t="shared" si="18"/>
        <v>845</v>
      </c>
      <c r="F74" s="133">
        <f t="shared" si="18"/>
        <v>5784.05</v>
      </c>
      <c r="G74" s="133">
        <f t="shared" si="18"/>
        <v>5161.82</v>
      </c>
      <c r="H74" s="149">
        <f>SUM(A74:G74)+I66</f>
        <v>52195.08</v>
      </c>
      <c r="I74" s="150" t="s">
        <v>7</v>
      </c>
      <c r="K74" s="34">
        <f>SUM(K61:K73)</f>
        <v>4754</v>
      </c>
      <c r="L74" s="16">
        <f t="shared" ref="L74:X74" si="19">SUM(L61:L73)</f>
        <v>45</v>
      </c>
      <c r="M74" s="34">
        <f t="shared" si="19"/>
        <v>3584</v>
      </c>
      <c r="N74" s="34">
        <f t="shared" si="19"/>
        <v>1327.5</v>
      </c>
      <c r="O74" s="34">
        <f t="shared" si="19"/>
        <v>5746</v>
      </c>
      <c r="P74" s="34">
        <f t="shared" si="19"/>
        <v>117.5</v>
      </c>
      <c r="Q74" s="34">
        <f t="shared" si="19"/>
        <v>2764</v>
      </c>
      <c r="R74" s="34">
        <f t="shared" si="19"/>
        <v>110</v>
      </c>
      <c r="S74" s="34">
        <f t="shared" si="19"/>
        <v>450</v>
      </c>
      <c r="T74" s="34">
        <f t="shared" si="19"/>
        <v>15</v>
      </c>
      <c r="U74" s="34">
        <f t="shared" si="19"/>
        <v>5180</v>
      </c>
      <c r="V74" s="34">
        <f t="shared" si="19"/>
        <v>64.5</v>
      </c>
      <c r="W74" s="34">
        <f t="shared" si="19"/>
        <v>3378</v>
      </c>
      <c r="X74" s="16">
        <f t="shared" si="19"/>
        <v>486.5</v>
      </c>
    </row>
    <row r="75" spans="1:24" ht="15.6" thickTop="1" thickBot="1" x14ac:dyDescent="0.35">
      <c r="A75" s="133">
        <v>5559.07</v>
      </c>
      <c r="B75" s="133">
        <v>5279.07</v>
      </c>
      <c r="C75" s="133">
        <v>5568.26</v>
      </c>
      <c r="D75" s="133">
        <v>4266.45</v>
      </c>
      <c r="E75" s="133">
        <v>845</v>
      </c>
      <c r="F75" s="133">
        <v>5784.05</v>
      </c>
      <c r="G75" s="133">
        <v>5161.82</v>
      </c>
      <c r="H75" s="149">
        <f>SUM(A75:G75)+I66</f>
        <v>52195.08</v>
      </c>
      <c r="I75" s="151" t="s">
        <v>1</v>
      </c>
      <c r="K75" s="34">
        <v>4754</v>
      </c>
      <c r="L75" s="34">
        <v>45</v>
      </c>
      <c r="M75" s="34">
        <v>3584</v>
      </c>
      <c r="N75" s="34">
        <v>1327.5</v>
      </c>
      <c r="O75" s="34">
        <v>5746</v>
      </c>
      <c r="P75" s="34">
        <v>117.5</v>
      </c>
      <c r="Q75" s="34">
        <v>2764</v>
      </c>
      <c r="R75" s="34">
        <v>110</v>
      </c>
      <c r="S75" s="34">
        <v>450</v>
      </c>
      <c r="T75" s="34">
        <v>15</v>
      </c>
      <c r="U75" s="34">
        <v>5180</v>
      </c>
      <c r="V75" s="34">
        <v>64.5</v>
      </c>
      <c r="W75" s="34">
        <v>3378</v>
      </c>
      <c r="X75" s="34">
        <v>486.5</v>
      </c>
    </row>
    <row r="76" spans="1:24" ht="15.6" thickTop="1" thickBot="1" x14ac:dyDescent="0.35">
      <c r="A76" s="63">
        <f t="shared" ref="A76:H76" si="20">A74-A75</f>
        <v>0</v>
      </c>
      <c r="B76" s="63">
        <f t="shared" si="20"/>
        <v>0</v>
      </c>
      <c r="C76" s="63">
        <f t="shared" si="20"/>
        <v>0</v>
      </c>
      <c r="D76" s="63">
        <f t="shared" si="20"/>
        <v>0</v>
      </c>
      <c r="E76" s="63">
        <f t="shared" si="20"/>
        <v>0</v>
      </c>
      <c r="F76" s="63">
        <f t="shared" si="20"/>
        <v>0</v>
      </c>
      <c r="G76" s="63">
        <f t="shared" si="20"/>
        <v>0</v>
      </c>
      <c r="H76" s="63">
        <f t="shared" si="20"/>
        <v>0</v>
      </c>
      <c r="I76" s="22"/>
      <c r="K76" s="152">
        <f>K74-K75</f>
        <v>0</v>
      </c>
      <c r="L76" s="152">
        <f t="shared" ref="L76:X76" si="21">L74-L75</f>
        <v>0</v>
      </c>
      <c r="M76" s="152">
        <f t="shared" si="21"/>
        <v>0</v>
      </c>
      <c r="N76" s="152">
        <f t="shared" si="21"/>
        <v>0</v>
      </c>
      <c r="O76" s="152">
        <f t="shared" si="21"/>
        <v>0</v>
      </c>
      <c r="P76" s="152">
        <f t="shared" si="21"/>
        <v>0</v>
      </c>
      <c r="Q76" s="152">
        <f t="shared" si="21"/>
        <v>0</v>
      </c>
      <c r="R76" s="152">
        <f t="shared" si="21"/>
        <v>0</v>
      </c>
      <c r="S76" s="152">
        <f t="shared" si="21"/>
        <v>0</v>
      </c>
      <c r="T76" s="152">
        <f t="shared" si="21"/>
        <v>0</v>
      </c>
      <c r="U76" s="152">
        <f t="shared" si="21"/>
        <v>0</v>
      </c>
      <c r="V76" s="152">
        <f t="shared" si="21"/>
        <v>0</v>
      </c>
      <c r="W76" s="152">
        <f t="shared" si="21"/>
        <v>0</v>
      </c>
      <c r="X76" s="146">
        <f t="shared" si="21"/>
        <v>0</v>
      </c>
    </row>
    <row r="79" spans="1:24" ht="15" thickBot="1" x14ac:dyDescent="0.35"/>
    <row r="80" spans="1:24" x14ac:dyDescent="0.3">
      <c r="A80" s="157">
        <v>45833</v>
      </c>
      <c r="B80" s="157">
        <v>45834</v>
      </c>
      <c r="C80" s="157">
        <v>45835</v>
      </c>
      <c r="D80" s="157">
        <v>45836</v>
      </c>
      <c r="E80" s="157">
        <v>45837</v>
      </c>
      <c r="F80" s="157">
        <v>45838</v>
      </c>
      <c r="G80" s="157">
        <v>45839</v>
      </c>
      <c r="H80" s="157"/>
      <c r="I80" s="13" t="s">
        <v>8</v>
      </c>
      <c r="K80" s="59">
        <v>45833</v>
      </c>
      <c r="L80" s="59"/>
      <c r="M80" s="59">
        <v>45834</v>
      </c>
      <c r="N80" s="59"/>
      <c r="O80" s="59">
        <v>45835</v>
      </c>
      <c r="P80" s="59"/>
      <c r="Q80" s="59">
        <v>45836</v>
      </c>
      <c r="R80" s="59"/>
      <c r="S80" s="59">
        <v>45837</v>
      </c>
      <c r="T80" s="59"/>
      <c r="U80" s="59">
        <v>45838</v>
      </c>
      <c r="V80" s="59"/>
      <c r="W80" s="59">
        <v>45839</v>
      </c>
      <c r="X80" s="59"/>
    </row>
    <row r="81" spans="1:24" ht="15" thickBot="1" x14ac:dyDescent="0.35">
      <c r="A81" s="22">
        <v>1614.59</v>
      </c>
      <c r="B81" s="22">
        <v>1859.05</v>
      </c>
      <c r="C81" s="22">
        <v>600</v>
      </c>
      <c r="D81" s="22">
        <v>555</v>
      </c>
      <c r="E81" s="22">
        <v>255</v>
      </c>
      <c r="F81" s="22">
        <v>1826.84</v>
      </c>
      <c r="G81" s="22">
        <v>630</v>
      </c>
      <c r="H81" s="15"/>
      <c r="I81" s="15">
        <v>977.84</v>
      </c>
      <c r="K81" s="124" t="s">
        <v>10</v>
      </c>
      <c r="L81" s="125" t="s">
        <v>11</v>
      </c>
      <c r="M81" s="126" t="s">
        <v>10</v>
      </c>
      <c r="N81" s="126" t="s">
        <v>11</v>
      </c>
      <c r="O81" s="126" t="s">
        <v>10</v>
      </c>
      <c r="P81" s="126" t="s">
        <v>11</v>
      </c>
      <c r="Q81" s="126" t="s">
        <v>10</v>
      </c>
      <c r="R81" s="126" t="s">
        <v>11</v>
      </c>
      <c r="S81" s="126" t="s">
        <v>10</v>
      </c>
      <c r="T81" s="126" t="s">
        <v>11</v>
      </c>
      <c r="U81" s="126" t="s">
        <v>10</v>
      </c>
      <c r="V81" s="126" t="s">
        <v>11</v>
      </c>
      <c r="W81" s="126" t="s">
        <v>10</v>
      </c>
      <c r="X81" s="143" t="s">
        <v>11</v>
      </c>
    </row>
    <row r="82" spans="1:24" x14ac:dyDescent="0.3">
      <c r="A82" s="22">
        <v>1890</v>
      </c>
      <c r="B82" s="22">
        <v>1480</v>
      </c>
      <c r="C82" s="22">
        <v>1590</v>
      </c>
      <c r="D82" s="22">
        <v>825</v>
      </c>
      <c r="E82" s="22">
        <v>230</v>
      </c>
      <c r="F82" s="22">
        <v>2365</v>
      </c>
      <c r="G82" s="22">
        <v>2045</v>
      </c>
      <c r="H82" s="15"/>
      <c r="I82" s="15">
        <v>1360.5</v>
      </c>
      <c r="K82" s="75">
        <v>440</v>
      </c>
      <c r="L82" s="76">
        <v>50</v>
      </c>
      <c r="M82" s="77">
        <v>300</v>
      </c>
      <c r="N82" s="77">
        <v>347.6</v>
      </c>
      <c r="O82" s="77">
        <v>210</v>
      </c>
      <c r="P82" s="77">
        <v>50</v>
      </c>
      <c r="Q82" s="63">
        <v>270</v>
      </c>
      <c r="R82" s="77">
        <v>35</v>
      </c>
      <c r="S82" s="63">
        <v>84</v>
      </c>
      <c r="T82" s="22">
        <v>15</v>
      </c>
      <c r="U82" s="63">
        <v>860</v>
      </c>
      <c r="V82" s="63">
        <v>158</v>
      </c>
      <c r="W82" s="63">
        <v>28</v>
      </c>
      <c r="X82" s="40">
        <v>316</v>
      </c>
    </row>
    <row r="83" spans="1:24" x14ac:dyDescent="0.3">
      <c r="A83" s="22">
        <v>825</v>
      </c>
      <c r="B83" s="26">
        <v>545</v>
      </c>
      <c r="C83" s="22">
        <v>1614.59</v>
      </c>
      <c r="D83" s="26">
        <v>2071.9899999999998</v>
      </c>
      <c r="E83" s="26"/>
      <c r="F83" s="22">
        <v>890</v>
      </c>
      <c r="G83" s="22">
        <v>2074.79</v>
      </c>
      <c r="H83" s="15"/>
      <c r="I83" s="15">
        <v>5049.46</v>
      </c>
      <c r="K83" s="21">
        <v>2940</v>
      </c>
      <c r="L83" s="79"/>
      <c r="M83" s="80">
        <v>3730</v>
      </c>
      <c r="N83" s="43"/>
      <c r="O83" s="43">
        <v>318</v>
      </c>
      <c r="P83" s="43">
        <v>60</v>
      </c>
      <c r="Q83" s="22">
        <v>462</v>
      </c>
      <c r="R83" s="80">
        <v>60</v>
      </c>
      <c r="S83" s="22">
        <v>760</v>
      </c>
      <c r="T83" s="22">
        <v>28</v>
      </c>
      <c r="U83" s="22">
        <v>3785</v>
      </c>
      <c r="V83" s="22">
        <v>72.5</v>
      </c>
      <c r="W83" s="22">
        <v>480</v>
      </c>
      <c r="X83" s="27">
        <v>60</v>
      </c>
    </row>
    <row r="84" spans="1:24" x14ac:dyDescent="0.3">
      <c r="A84" s="22"/>
      <c r="B84" s="25"/>
      <c r="C84" s="22"/>
      <c r="D84" s="25"/>
      <c r="E84" s="22"/>
      <c r="F84" s="22"/>
      <c r="G84" s="22"/>
      <c r="H84" s="15"/>
      <c r="I84" s="15">
        <v>5669.93</v>
      </c>
      <c r="K84" s="21">
        <v>162</v>
      </c>
      <c r="L84" s="79"/>
      <c r="M84" s="84">
        <v>370</v>
      </c>
      <c r="N84" s="43"/>
      <c r="O84" s="43">
        <v>3890</v>
      </c>
      <c r="P84" s="43"/>
      <c r="Q84" s="22">
        <v>3030</v>
      </c>
      <c r="R84" s="84">
        <v>1200</v>
      </c>
      <c r="S84" s="22"/>
      <c r="T84" s="22"/>
      <c r="U84" s="22">
        <v>234</v>
      </c>
      <c r="V84" s="22"/>
      <c r="W84" s="22">
        <v>318</v>
      </c>
      <c r="X84" s="27">
        <v>313.5</v>
      </c>
    </row>
    <row r="85" spans="1:24" x14ac:dyDescent="0.3">
      <c r="A85" s="22"/>
      <c r="B85" s="22"/>
      <c r="C85" s="22"/>
      <c r="D85" s="22"/>
      <c r="E85" s="22"/>
      <c r="F85" s="22"/>
      <c r="G85" s="22"/>
      <c r="H85" s="15"/>
      <c r="I85" s="15">
        <v>7672</v>
      </c>
      <c r="K85" s="21">
        <v>240</v>
      </c>
      <c r="M85" s="43">
        <v>246</v>
      </c>
      <c r="N85" s="43"/>
      <c r="O85" s="43">
        <v>440</v>
      </c>
      <c r="P85" s="43"/>
      <c r="Q85" s="22"/>
      <c r="R85" s="43"/>
      <c r="S85" s="22"/>
      <c r="T85" s="22"/>
      <c r="U85" s="22">
        <v>280</v>
      </c>
      <c r="V85" s="22"/>
      <c r="W85" s="22">
        <v>2900</v>
      </c>
      <c r="X85" s="27">
        <v>60</v>
      </c>
    </row>
    <row r="86" spans="1:24" x14ac:dyDescent="0.3">
      <c r="A86" s="22"/>
      <c r="B86" s="22"/>
      <c r="C86" s="22"/>
      <c r="D86" s="22"/>
      <c r="E86" s="22"/>
      <c r="F86" s="22"/>
      <c r="G86" s="22"/>
      <c r="H86" s="15"/>
      <c r="I86" s="15">
        <v>912</v>
      </c>
      <c r="K86" s="128"/>
      <c r="L86" s="79"/>
      <c r="M86" s="43"/>
      <c r="N86" s="43"/>
      <c r="O86" s="43"/>
      <c r="P86" s="43"/>
      <c r="Q86" s="22"/>
      <c r="R86" s="43"/>
      <c r="S86" s="22"/>
      <c r="T86" s="22"/>
      <c r="U86" s="22"/>
      <c r="V86" s="22"/>
      <c r="W86" s="22">
        <v>200</v>
      </c>
      <c r="X86" s="27">
        <v>1137</v>
      </c>
    </row>
    <row r="87" spans="1:24" x14ac:dyDescent="0.3">
      <c r="A87" s="22"/>
      <c r="B87" s="22"/>
      <c r="C87" s="22"/>
      <c r="D87" s="22"/>
      <c r="E87" s="22"/>
      <c r="F87" s="22"/>
      <c r="G87" s="22"/>
      <c r="H87" s="160"/>
      <c r="I87" s="15">
        <v>3217</v>
      </c>
      <c r="K87" s="128"/>
      <c r="L87" s="79"/>
      <c r="M87" s="43"/>
      <c r="N87" s="43"/>
      <c r="O87" s="43"/>
      <c r="P87" s="43"/>
      <c r="Q87" s="22"/>
      <c r="R87" s="43"/>
      <c r="S87" s="22"/>
      <c r="T87" s="22"/>
      <c r="U87" s="22"/>
      <c r="V87" s="22"/>
      <c r="W87" s="22"/>
      <c r="X87" s="27"/>
    </row>
    <row r="88" spans="1:24" ht="15" thickBot="1" x14ac:dyDescent="0.35">
      <c r="A88" s="22"/>
      <c r="B88" s="22"/>
      <c r="C88" s="22"/>
      <c r="D88" s="22"/>
      <c r="E88" s="22"/>
      <c r="F88" s="22"/>
      <c r="G88" s="22"/>
      <c r="H88" s="65"/>
      <c r="I88" s="15"/>
      <c r="K88" s="21"/>
      <c r="L88" s="79"/>
      <c r="M88" s="43"/>
      <c r="N88" s="43"/>
      <c r="O88" s="43"/>
      <c r="P88" s="43"/>
      <c r="Q88" s="22"/>
      <c r="R88" s="43"/>
      <c r="S88" s="22"/>
      <c r="T88" s="22"/>
      <c r="U88" s="22"/>
      <c r="V88" s="22"/>
      <c r="W88" s="22"/>
      <c r="X88" s="27"/>
    </row>
    <row r="89" spans="1:24" ht="15.6" thickTop="1" thickBot="1" x14ac:dyDescent="0.35">
      <c r="A89" s="22"/>
      <c r="B89" s="22"/>
      <c r="C89" s="22"/>
      <c r="D89" s="22"/>
      <c r="E89" s="22"/>
      <c r="F89" s="22"/>
      <c r="G89" s="22"/>
      <c r="H89" s="37"/>
      <c r="I89" s="132">
        <f>SUM(I81:I88)</f>
        <v>24858.73</v>
      </c>
      <c r="K89" s="24"/>
      <c r="L89" s="56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7"/>
    </row>
    <row r="90" spans="1:24" ht="15" thickTop="1" x14ac:dyDescent="0.3">
      <c r="A90" s="22"/>
      <c r="B90" s="22"/>
      <c r="C90" s="22"/>
      <c r="D90" s="22"/>
      <c r="E90" s="22"/>
      <c r="F90" s="22"/>
      <c r="G90" s="22"/>
      <c r="H90" s="37"/>
      <c r="I90" s="40"/>
      <c r="K90" s="24"/>
      <c r="L90" s="56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7"/>
    </row>
    <row r="91" spans="1:24" x14ac:dyDescent="0.3">
      <c r="A91" s="22"/>
      <c r="B91" s="22"/>
      <c r="C91" s="22"/>
      <c r="D91" s="22"/>
      <c r="E91" s="22"/>
      <c r="F91" s="22"/>
      <c r="G91" s="22"/>
      <c r="H91" s="37"/>
      <c r="I91" s="27"/>
      <c r="K91" s="24"/>
      <c r="L91" s="56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7"/>
    </row>
    <row r="92" spans="1:24" x14ac:dyDescent="0.3">
      <c r="A92" s="22"/>
      <c r="B92" s="22"/>
      <c r="C92" s="22"/>
      <c r="D92" s="22"/>
      <c r="E92" s="22"/>
      <c r="F92" s="22"/>
      <c r="G92" s="22"/>
      <c r="H92" s="22"/>
      <c r="I92" s="23"/>
      <c r="K92" s="24"/>
      <c r="L92" s="56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7"/>
    </row>
    <row r="93" spans="1:24" ht="15" thickBot="1" x14ac:dyDescent="0.35">
      <c r="A93" s="22"/>
      <c r="B93" s="22"/>
      <c r="C93" s="22"/>
      <c r="D93" s="22"/>
      <c r="E93" s="22"/>
      <c r="F93" s="22"/>
      <c r="G93" s="22"/>
      <c r="H93" s="22"/>
      <c r="I93" s="23"/>
      <c r="K93" s="24"/>
      <c r="L93" s="56"/>
      <c r="M93" s="22"/>
      <c r="N93" s="35"/>
      <c r="O93" s="22"/>
      <c r="P93" s="22"/>
      <c r="Q93" s="22"/>
      <c r="R93" s="22"/>
      <c r="S93" s="22"/>
      <c r="T93" s="22"/>
      <c r="U93" s="22"/>
      <c r="V93" s="22"/>
      <c r="W93" s="22"/>
      <c r="X93" s="27"/>
    </row>
    <row r="94" spans="1:24" ht="15" thickTop="1" x14ac:dyDescent="0.3">
      <c r="A94" s="22"/>
      <c r="B94" s="22"/>
      <c r="C94" s="22"/>
      <c r="D94" s="22"/>
      <c r="E94" s="22"/>
      <c r="F94" s="22"/>
      <c r="G94" s="22"/>
      <c r="H94" s="22"/>
      <c r="I94" s="23"/>
      <c r="K94" s="24"/>
      <c r="L94" s="56"/>
      <c r="M94" s="22"/>
      <c r="N94" s="63"/>
      <c r="O94" s="22"/>
      <c r="P94" s="22"/>
      <c r="Q94" s="22"/>
      <c r="R94" s="22"/>
      <c r="S94" s="22"/>
      <c r="T94" s="22"/>
      <c r="U94" s="22"/>
      <c r="V94" s="22"/>
      <c r="W94" s="22"/>
      <c r="X94" s="27"/>
    </row>
    <row r="95" spans="1:24" x14ac:dyDescent="0.3">
      <c r="A95" s="22"/>
      <c r="B95" s="22"/>
      <c r="C95" s="22"/>
      <c r="D95" s="22"/>
      <c r="E95" s="22"/>
      <c r="F95" s="22"/>
      <c r="G95" s="22"/>
      <c r="H95" s="22"/>
      <c r="I95" s="23"/>
      <c r="K95" s="24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7"/>
    </row>
    <row r="96" spans="1:24" ht="15" thickBot="1" x14ac:dyDescent="0.35">
      <c r="A96" s="133">
        <f t="shared" ref="A96:G96" si="22">SUM(A81:A95)</f>
        <v>4329.59</v>
      </c>
      <c r="B96" s="133">
        <f t="shared" si="22"/>
        <v>3884.05</v>
      </c>
      <c r="C96" s="133">
        <f t="shared" si="22"/>
        <v>3804.59</v>
      </c>
      <c r="D96" s="133">
        <f t="shared" si="22"/>
        <v>3451.99</v>
      </c>
      <c r="E96" s="133">
        <f t="shared" si="22"/>
        <v>485</v>
      </c>
      <c r="F96" s="133">
        <f t="shared" si="22"/>
        <v>5081.84</v>
      </c>
      <c r="G96" s="133">
        <f t="shared" si="22"/>
        <v>4749.79</v>
      </c>
      <c r="H96" s="149">
        <f>SUM(A96:G96)+I89</f>
        <v>50645.58</v>
      </c>
      <c r="I96" s="150" t="s">
        <v>7</v>
      </c>
      <c r="K96" s="34">
        <f>SUM(K82:K95)</f>
        <v>3782</v>
      </c>
      <c r="L96" s="16">
        <f t="shared" ref="L96:X96" si="23">SUM(L82:L95)</f>
        <v>50</v>
      </c>
      <c r="M96" s="34">
        <f>SUM(M82:M95)</f>
        <v>4646</v>
      </c>
      <c r="N96" s="34">
        <f t="shared" si="23"/>
        <v>347.6</v>
      </c>
      <c r="O96" s="34">
        <f>SUM(O82:O95)</f>
        <v>4858</v>
      </c>
      <c r="P96" s="34">
        <f t="shared" si="23"/>
        <v>110</v>
      </c>
      <c r="Q96" s="34">
        <f t="shared" si="23"/>
        <v>3762</v>
      </c>
      <c r="R96" s="34">
        <f t="shared" si="23"/>
        <v>1295</v>
      </c>
      <c r="S96" s="34">
        <v>0</v>
      </c>
      <c r="T96" s="34">
        <v>0</v>
      </c>
      <c r="U96" s="34">
        <f t="shared" si="23"/>
        <v>5159</v>
      </c>
      <c r="V96" s="34">
        <f t="shared" si="23"/>
        <v>230.5</v>
      </c>
      <c r="W96" s="34">
        <f t="shared" si="23"/>
        <v>3926</v>
      </c>
      <c r="X96" s="16">
        <f t="shared" si="23"/>
        <v>1886.5</v>
      </c>
    </row>
    <row r="97" spans="1:24" ht="15.6" thickTop="1" thickBot="1" x14ac:dyDescent="0.35">
      <c r="A97" s="133">
        <v>4329.59</v>
      </c>
      <c r="B97" s="133">
        <v>3884.05</v>
      </c>
      <c r="C97" s="133">
        <v>3804.59</v>
      </c>
      <c r="D97" s="133">
        <v>3451.99</v>
      </c>
      <c r="E97" s="133">
        <v>485</v>
      </c>
      <c r="F97" s="133">
        <v>5081.84</v>
      </c>
      <c r="G97" s="133">
        <v>4749.79</v>
      </c>
      <c r="H97" s="149">
        <f>SUM(A97:G97)+I89</f>
        <v>50645.58</v>
      </c>
      <c r="I97" s="151" t="s">
        <v>1</v>
      </c>
      <c r="K97" s="34">
        <v>3782</v>
      </c>
      <c r="L97" s="34">
        <v>50</v>
      </c>
      <c r="M97" s="34">
        <v>4646</v>
      </c>
      <c r="N97" s="34">
        <v>347.6</v>
      </c>
      <c r="O97" s="34">
        <v>4858</v>
      </c>
      <c r="P97" s="34">
        <v>110</v>
      </c>
      <c r="Q97" s="34">
        <v>3762</v>
      </c>
      <c r="R97" s="34">
        <v>1295</v>
      </c>
      <c r="S97" s="34">
        <v>844</v>
      </c>
      <c r="T97" s="34">
        <v>43</v>
      </c>
      <c r="U97" s="34">
        <v>5159</v>
      </c>
      <c r="V97" s="34">
        <v>230.5</v>
      </c>
      <c r="W97" s="34">
        <v>3926</v>
      </c>
      <c r="X97" s="34">
        <v>1886.5</v>
      </c>
    </row>
    <row r="98" spans="1:24" ht="15.6" thickTop="1" thickBot="1" x14ac:dyDescent="0.35">
      <c r="A98" s="63">
        <f t="shared" ref="A98:H98" si="24">A96-A97</f>
        <v>0</v>
      </c>
      <c r="B98" s="63">
        <f t="shared" si="24"/>
        <v>0</v>
      </c>
      <c r="C98" s="63">
        <f t="shared" si="24"/>
        <v>0</v>
      </c>
      <c r="D98" s="63">
        <f t="shared" si="24"/>
        <v>0</v>
      </c>
      <c r="E98" s="63">
        <f t="shared" si="24"/>
        <v>0</v>
      </c>
      <c r="F98" s="63">
        <f t="shared" si="24"/>
        <v>0</v>
      </c>
      <c r="G98" s="63">
        <f t="shared" si="24"/>
        <v>0</v>
      </c>
      <c r="H98" s="63">
        <f t="shared" si="24"/>
        <v>0</v>
      </c>
      <c r="I98" s="22"/>
      <c r="K98" s="152">
        <f>K96-K97</f>
        <v>0</v>
      </c>
      <c r="L98" s="152">
        <f t="shared" ref="L98:X98" si="25">L96-L97</f>
        <v>0</v>
      </c>
      <c r="M98" s="152">
        <f>M97-M96</f>
        <v>0</v>
      </c>
      <c r="N98" s="152">
        <f t="shared" si="25"/>
        <v>0</v>
      </c>
      <c r="O98" s="152">
        <f>O97-O96</f>
        <v>0</v>
      </c>
      <c r="P98" s="152">
        <f t="shared" si="25"/>
        <v>0</v>
      </c>
      <c r="Q98" s="152">
        <f t="shared" si="25"/>
        <v>0</v>
      </c>
      <c r="R98" s="152">
        <f t="shared" si="25"/>
        <v>0</v>
      </c>
      <c r="S98" s="152">
        <f t="shared" si="25"/>
        <v>-844</v>
      </c>
      <c r="T98" s="152">
        <f t="shared" si="25"/>
        <v>-43</v>
      </c>
      <c r="U98" s="152">
        <f t="shared" si="25"/>
        <v>0</v>
      </c>
      <c r="V98" s="152">
        <f t="shared" si="25"/>
        <v>0</v>
      </c>
      <c r="W98" s="152">
        <f t="shared" si="25"/>
        <v>0</v>
      </c>
      <c r="X98" s="146">
        <f t="shared" si="25"/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8BCD-2766-4F3C-9E76-0EE212A3E1E8}">
  <dimension ref="A1:X80"/>
  <sheetViews>
    <sheetView topLeftCell="C56" workbookViewId="0">
      <selection activeCell="W68" sqref="W68"/>
    </sheetView>
  </sheetViews>
  <sheetFormatPr defaultRowHeight="14.4" x14ac:dyDescent="0.3"/>
  <cols>
    <col min="1" max="1" width="11.6640625" customWidth="1"/>
    <col min="2" max="2" width="11" customWidth="1"/>
    <col min="3" max="3" width="11.33203125" customWidth="1"/>
    <col min="4" max="4" width="11.88671875" customWidth="1"/>
    <col min="5" max="5" width="13.5546875" customWidth="1"/>
    <col min="6" max="6" width="11.109375" customWidth="1"/>
    <col min="7" max="7" width="11.33203125" customWidth="1"/>
    <col min="8" max="8" width="11" customWidth="1"/>
    <col min="9" max="9" width="13.44140625" customWidth="1"/>
    <col min="11" max="11" width="10.33203125" customWidth="1"/>
    <col min="12" max="12" width="11" customWidth="1"/>
    <col min="13" max="13" width="11.109375" customWidth="1"/>
    <col min="14" max="14" width="10.6640625" customWidth="1"/>
    <col min="15" max="15" width="10" customWidth="1"/>
    <col min="17" max="17" width="11.6640625" customWidth="1"/>
    <col min="18" max="18" width="12.88671875" customWidth="1"/>
    <col min="19" max="19" width="10.44140625" customWidth="1"/>
    <col min="20" max="20" width="12.88671875" customWidth="1"/>
    <col min="21" max="21" width="10.44140625" customWidth="1"/>
    <col min="22" max="22" width="12.33203125" bestFit="1" customWidth="1"/>
    <col min="23" max="23" width="10" bestFit="1" customWidth="1"/>
    <col min="24" max="24" width="12.33203125" bestFit="1" customWidth="1"/>
  </cols>
  <sheetData>
    <row r="1" spans="1:24" ht="15" thickBot="1" x14ac:dyDescent="0.35"/>
    <row r="2" spans="1:24" x14ac:dyDescent="0.3">
      <c r="A2" s="157">
        <v>45840</v>
      </c>
      <c r="B2" s="157">
        <v>45841</v>
      </c>
      <c r="C2" s="157">
        <v>45842</v>
      </c>
      <c r="D2" s="157">
        <v>45843</v>
      </c>
      <c r="E2" s="157">
        <v>45844</v>
      </c>
      <c r="F2" s="157">
        <v>45845</v>
      </c>
      <c r="G2" s="157">
        <v>45846</v>
      </c>
      <c r="H2" s="157"/>
      <c r="I2" s="13" t="s">
        <v>8</v>
      </c>
      <c r="K2" s="59">
        <v>45840</v>
      </c>
      <c r="L2" s="59"/>
      <c r="M2" s="59">
        <v>45841</v>
      </c>
      <c r="N2" s="59"/>
      <c r="O2" s="59">
        <v>45842</v>
      </c>
      <c r="P2" s="59"/>
      <c r="Q2" s="59">
        <v>45843</v>
      </c>
      <c r="R2" s="59"/>
      <c r="S2" s="59">
        <v>45844</v>
      </c>
      <c r="T2" s="59"/>
      <c r="U2" s="59">
        <v>45845</v>
      </c>
      <c r="V2" s="59"/>
      <c r="W2" s="59">
        <v>45846</v>
      </c>
      <c r="X2" s="59"/>
    </row>
    <row r="3" spans="1:24" ht="15" thickBot="1" x14ac:dyDescent="0.35">
      <c r="A3" s="22">
        <v>2026.87</v>
      </c>
      <c r="B3" s="22">
        <v>889</v>
      </c>
      <c r="C3" s="22">
        <v>1684.46</v>
      </c>
      <c r="D3" s="22">
        <v>1588.88</v>
      </c>
      <c r="E3" s="22">
        <v>120</v>
      </c>
      <c r="F3" s="22">
        <v>820</v>
      </c>
      <c r="G3" s="22">
        <v>1862.49</v>
      </c>
      <c r="H3" s="15"/>
      <c r="I3" s="15">
        <v>3299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43" t="s">
        <v>11</v>
      </c>
    </row>
    <row r="4" spans="1:24" x14ac:dyDescent="0.3">
      <c r="A4" s="22">
        <v>1700</v>
      </c>
      <c r="B4" s="22">
        <v>1820</v>
      </c>
      <c r="C4" s="22">
        <v>1860</v>
      </c>
      <c r="D4" s="22">
        <v>1520</v>
      </c>
      <c r="E4" s="22">
        <v>575</v>
      </c>
      <c r="F4" s="22">
        <v>2255</v>
      </c>
      <c r="G4" s="22">
        <v>1840</v>
      </c>
      <c r="H4" s="15"/>
      <c r="I4" s="15">
        <v>520.44000000000005</v>
      </c>
      <c r="K4" s="75">
        <v>370</v>
      </c>
      <c r="L4" s="76">
        <v>104</v>
      </c>
      <c r="M4" s="77">
        <v>20</v>
      </c>
      <c r="N4" s="77">
        <v>57.5</v>
      </c>
      <c r="O4" s="77">
        <v>870</v>
      </c>
      <c r="P4" s="77">
        <v>30</v>
      </c>
      <c r="Q4" s="63">
        <v>3480</v>
      </c>
      <c r="R4" s="77">
        <v>1290</v>
      </c>
      <c r="S4" s="63">
        <v>980</v>
      </c>
      <c r="T4" s="22">
        <v>15</v>
      </c>
      <c r="U4" s="63">
        <v>290</v>
      </c>
      <c r="V4" s="63">
        <v>172.5</v>
      </c>
      <c r="W4" s="63">
        <v>670</v>
      </c>
      <c r="X4" s="40">
        <v>60</v>
      </c>
    </row>
    <row r="5" spans="1:24" x14ac:dyDescent="0.3">
      <c r="A5" s="22">
        <v>744</v>
      </c>
      <c r="B5" s="26">
        <v>1766.65</v>
      </c>
      <c r="C5" s="22">
        <v>405</v>
      </c>
      <c r="D5" s="26">
        <v>792</v>
      </c>
      <c r="E5" s="26"/>
      <c r="F5" s="22">
        <v>1862.49</v>
      </c>
      <c r="G5" s="22">
        <v>705</v>
      </c>
      <c r="H5" s="15"/>
      <c r="I5" s="15">
        <v>2622</v>
      </c>
      <c r="K5" s="21">
        <v>4290</v>
      </c>
      <c r="L5" s="79">
        <v>50</v>
      </c>
      <c r="M5" s="80">
        <v>300</v>
      </c>
      <c r="N5" s="43">
        <v>149.9</v>
      </c>
      <c r="O5" s="43">
        <v>2700</v>
      </c>
      <c r="P5" s="43"/>
      <c r="Q5" s="22">
        <v>420</v>
      </c>
      <c r="R5" s="80">
        <v>60</v>
      </c>
      <c r="S5" s="22">
        <v>224</v>
      </c>
      <c r="T5" s="22"/>
      <c r="U5" s="22">
        <v>450</v>
      </c>
      <c r="V5" s="22">
        <v>50</v>
      </c>
      <c r="W5" s="22">
        <v>3230</v>
      </c>
      <c r="X5" s="27">
        <v>409.5</v>
      </c>
    </row>
    <row r="6" spans="1:24" x14ac:dyDescent="0.3">
      <c r="A6" s="22"/>
      <c r="B6" s="25"/>
      <c r="C6" s="22"/>
      <c r="D6" s="25"/>
      <c r="E6" s="22"/>
      <c r="F6" s="22"/>
      <c r="G6" s="22"/>
      <c r="H6" s="15"/>
      <c r="I6" s="15">
        <v>5820.3</v>
      </c>
      <c r="K6" s="21">
        <v>350</v>
      </c>
      <c r="L6" s="79"/>
      <c r="M6" s="84">
        <v>228</v>
      </c>
      <c r="N6" s="43"/>
      <c r="O6" s="43">
        <v>136</v>
      </c>
      <c r="P6" s="43"/>
      <c r="Q6" s="22">
        <v>300</v>
      </c>
      <c r="R6" s="84">
        <v>121.2</v>
      </c>
      <c r="S6" s="22"/>
      <c r="T6" s="22"/>
      <c r="U6" s="22">
        <v>4510</v>
      </c>
      <c r="V6" s="22"/>
      <c r="W6" s="22">
        <v>292</v>
      </c>
      <c r="X6" s="27">
        <v>37.5</v>
      </c>
    </row>
    <row r="7" spans="1:24" x14ac:dyDescent="0.3">
      <c r="A7" s="22"/>
      <c r="B7" s="22"/>
      <c r="C7" s="22"/>
      <c r="D7" s="22"/>
      <c r="E7" s="22"/>
      <c r="F7" s="22"/>
      <c r="G7" s="22"/>
      <c r="H7" s="15"/>
      <c r="I7" s="15">
        <v>4455.3999999999996</v>
      </c>
      <c r="K7" s="21">
        <v>230</v>
      </c>
      <c r="M7" s="43">
        <v>2820</v>
      </c>
      <c r="N7" s="43"/>
      <c r="O7" s="43">
        <v>240</v>
      </c>
      <c r="P7" s="43"/>
      <c r="Q7" s="22">
        <v>28</v>
      </c>
      <c r="R7" s="43"/>
      <c r="S7" s="22"/>
      <c r="T7" s="22"/>
      <c r="U7" s="22">
        <v>370</v>
      </c>
      <c r="V7" s="22"/>
      <c r="W7" s="22">
        <v>260</v>
      </c>
      <c r="X7" s="27">
        <v>25</v>
      </c>
    </row>
    <row r="8" spans="1:24" x14ac:dyDescent="0.3">
      <c r="A8" s="22"/>
      <c r="B8" s="22"/>
      <c r="C8" s="22"/>
      <c r="D8" s="22"/>
      <c r="E8" s="22"/>
      <c r="F8" s="22"/>
      <c r="G8" s="22"/>
      <c r="H8" s="15"/>
      <c r="I8" s="15">
        <v>1500.69</v>
      </c>
      <c r="K8" s="128"/>
      <c r="L8" s="79"/>
      <c r="M8" s="43">
        <v>510</v>
      </c>
      <c r="N8" s="43"/>
      <c r="O8" s="43">
        <v>72</v>
      </c>
      <c r="P8" s="43"/>
      <c r="Q8" s="22"/>
      <c r="R8" s="43"/>
      <c r="S8" s="22"/>
      <c r="T8" s="22"/>
      <c r="U8" s="22"/>
      <c r="V8" s="22"/>
      <c r="W8" s="22">
        <v>28</v>
      </c>
      <c r="X8" s="27"/>
    </row>
    <row r="9" spans="1:24" x14ac:dyDescent="0.3">
      <c r="A9" s="22"/>
      <c r="B9" s="22"/>
      <c r="C9" s="22"/>
      <c r="D9" s="22"/>
      <c r="E9" s="22"/>
      <c r="F9" s="22"/>
      <c r="G9" s="22"/>
      <c r="H9" s="160"/>
      <c r="I9" s="15">
        <v>6360</v>
      </c>
      <c r="K9" s="128"/>
      <c r="L9" s="79"/>
      <c r="M9" s="43"/>
      <c r="N9" s="43"/>
      <c r="O9" s="43"/>
      <c r="P9" s="43"/>
      <c r="Q9" s="22"/>
      <c r="R9" s="43"/>
      <c r="S9" s="22"/>
      <c r="T9" s="22"/>
      <c r="U9" s="22"/>
      <c r="V9" s="22"/>
      <c r="W9" s="22"/>
      <c r="X9" s="27"/>
    </row>
    <row r="10" spans="1:24" ht="15" thickBot="1" x14ac:dyDescent="0.35">
      <c r="A10" s="22"/>
      <c r="B10" s="22"/>
      <c r="C10" s="22"/>
      <c r="D10" s="22"/>
      <c r="E10" s="22"/>
      <c r="F10" s="22"/>
      <c r="G10" s="22"/>
      <c r="H10" s="65"/>
      <c r="I10" s="15">
        <v>2014.5</v>
      </c>
      <c r="K10" s="21"/>
      <c r="L10" s="79"/>
      <c r="M10" s="43"/>
      <c r="N10" s="43"/>
      <c r="O10" s="43"/>
      <c r="P10" s="43"/>
      <c r="Q10" s="22"/>
      <c r="R10" s="43"/>
      <c r="S10" s="22"/>
      <c r="T10" s="22"/>
      <c r="U10" s="22"/>
      <c r="V10" s="22"/>
      <c r="W10" s="22"/>
      <c r="X10" s="27"/>
    </row>
    <row r="11" spans="1:24" ht="15.6" thickTop="1" thickBot="1" x14ac:dyDescent="0.35">
      <c r="A11" s="22"/>
      <c r="B11" s="22"/>
      <c r="C11" s="22"/>
      <c r="D11" s="22"/>
      <c r="E11" s="22"/>
      <c r="F11" s="22"/>
      <c r="G11" s="22"/>
      <c r="H11" s="37"/>
      <c r="I11" s="132">
        <f>SUM(I3:I10)</f>
        <v>26592.329999999998</v>
      </c>
      <c r="K11" s="24"/>
      <c r="L11" s="5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7"/>
    </row>
    <row r="12" spans="1:24" ht="15" thickTop="1" x14ac:dyDescent="0.3">
      <c r="A12" s="22"/>
      <c r="B12" s="22"/>
      <c r="C12" s="22"/>
      <c r="D12" s="22"/>
      <c r="E12" s="22"/>
      <c r="F12" s="22"/>
      <c r="G12" s="22"/>
      <c r="H12" s="37"/>
      <c r="I12" s="40"/>
      <c r="K12" s="24"/>
      <c r="L12" s="56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7"/>
    </row>
    <row r="13" spans="1:24" x14ac:dyDescent="0.3">
      <c r="A13" s="22"/>
      <c r="B13" s="22"/>
      <c r="C13" s="22"/>
      <c r="D13" s="22"/>
      <c r="E13" s="22"/>
      <c r="F13" s="22"/>
      <c r="G13" s="22"/>
      <c r="H13" s="37"/>
      <c r="I13" s="27"/>
      <c r="K13" s="24"/>
      <c r="L13" s="5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7"/>
    </row>
    <row r="14" spans="1:24" x14ac:dyDescent="0.3">
      <c r="A14" s="22"/>
      <c r="B14" s="22"/>
      <c r="C14" s="22"/>
      <c r="D14" s="22"/>
      <c r="E14" s="22"/>
      <c r="F14" s="22"/>
      <c r="G14" s="22"/>
      <c r="H14" s="22"/>
      <c r="I14" s="23"/>
      <c r="K14" s="24"/>
      <c r="L14" s="56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7"/>
    </row>
    <row r="15" spans="1:24" ht="15" thickBot="1" x14ac:dyDescent="0.35">
      <c r="A15" s="22"/>
      <c r="B15" s="22"/>
      <c r="C15" s="22"/>
      <c r="D15" s="22"/>
      <c r="E15" s="22"/>
      <c r="F15" s="22"/>
      <c r="G15" s="22"/>
      <c r="H15" s="22"/>
      <c r="I15" s="23"/>
      <c r="K15" s="24"/>
      <c r="L15" s="56"/>
      <c r="M15" s="22"/>
      <c r="N15" s="35"/>
      <c r="O15" s="22"/>
      <c r="P15" s="22"/>
      <c r="Q15" s="22"/>
      <c r="R15" s="22"/>
      <c r="S15" s="22"/>
      <c r="T15" s="22"/>
      <c r="U15" s="22"/>
      <c r="V15" s="22"/>
      <c r="W15" s="22"/>
      <c r="X15" s="27"/>
    </row>
    <row r="16" spans="1:24" ht="15" thickTop="1" x14ac:dyDescent="0.3">
      <c r="A16" s="22"/>
      <c r="B16" s="22"/>
      <c r="C16" s="22"/>
      <c r="D16" s="22"/>
      <c r="E16" s="22"/>
      <c r="F16" s="22"/>
      <c r="G16" s="22"/>
      <c r="H16" s="22"/>
      <c r="I16" s="23"/>
      <c r="K16" s="24"/>
      <c r="L16" s="56"/>
      <c r="M16" s="22"/>
      <c r="N16" s="63"/>
      <c r="O16" s="22"/>
      <c r="P16" s="22"/>
      <c r="Q16" s="22"/>
      <c r="R16" s="22"/>
      <c r="S16" s="22"/>
      <c r="T16" s="22"/>
      <c r="U16" s="22"/>
      <c r="V16" s="22"/>
      <c r="W16" s="22"/>
      <c r="X16" s="27"/>
    </row>
    <row r="17" spans="1:24" x14ac:dyDescent="0.3">
      <c r="A17" s="22"/>
      <c r="B17" s="22"/>
      <c r="C17" s="22"/>
      <c r="D17" s="22"/>
      <c r="E17" s="22"/>
      <c r="F17" s="22"/>
      <c r="G17" s="22"/>
      <c r="H17" s="22"/>
      <c r="I17" s="23"/>
      <c r="K17" s="24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7"/>
    </row>
    <row r="18" spans="1:24" ht="15" thickBot="1" x14ac:dyDescent="0.35">
      <c r="A18" s="133">
        <f t="shared" ref="A18:G18" si="0">SUM(A3:A17)</f>
        <v>4470.87</v>
      </c>
      <c r="B18" s="133">
        <f t="shared" si="0"/>
        <v>4475.6499999999996</v>
      </c>
      <c r="C18" s="133">
        <f t="shared" si="0"/>
        <v>3949.46</v>
      </c>
      <c r="D18" s="133">
        <f t="shared" si="0"/>
        <v>3900.88</v>
      </c>
      <c r="E18" s="133">
        <f t="shared" si="0"/>
        <v>695</v>
      </c>
      <c r="F18" s="133">
        <f t="shared" si="0"/>
        <v>4937.49</v>
      </c>
      <c r="G18" s="133">
        <f t="shared" si="0"/>
        <v>4407.49</v>
      </c>
      <c r="H18" s="149">
        <f>SUM(A18:G18)+I11</f>
        <v>53429.17</v>
      </c>
      <c r="I18" s="150" t="s">
        <v>7</v>
      </c>
      <c r="K18" s="34">
        <f>SUM(K4:K17)</f>
        <v>5240</v>
      </c>
      <c r="L18" s="16">
        <f t="shared" ref="L18:X18" si="1">SUM(L4:L17)</f>
        <v>154</v>
      </c>
      <c r="M18" s="34">
        <f>SUM(M4:M17)</f>
        <v>3878</v>
      </c>
      <c r="N18" s="34">
        <f t="shared" si="1"/>
        <v>207.4</v>
      </c>
      <c r="O18" s="34">
        <f>SUM(O4:O17)</f>
        <v>4018</v>
      </c>
      <c r="P18" s="34">
        <f t="shared" si="1"/>
        <v>30</v>
      </c>
      <c r="Q18" s="34">
        <f t="shared" si="1"/>
        <v>4228</v>
      </c>
      <c r="R18" s="34">
        <f t="shared" si="1"/>
        <v>1471.2</v>
      </c>
      <c r="S18" s="34">
        <v>1204</v>
      </c>
      <c r="T18" s="34">
        <v>15</v>
      </c>
      <c r="U18" s="34">
        <f t="shared" si="1"/>
        <v>5620</v>
      </c>
      <c r="V18" s="34">
        <f t="shared" si="1"/>
        <v>222.5</v>
      </c>
      <c r="W18" s="34">
        <f t="shared" si="1"/>
        <v>4480</v>
      </c>
      <c r="X18" s="16">
        <f t="shared" si="1"/>
        <v>532</v>
      </c>
    </row>
    <row r="19" spans="1:24" ht="15.6" thickTop="1" thickBot="1" x14ac:dyDescent="0.35">
      <c r="A19" s="133">
        <v>4470.87</v>
      </c>
      <c r="B19" s="133">
        <v>4475.6499999999996</v>
      </c>
      <c r="C19" s="133">
        <v>3949.46</v>
      </c>
      <c r="D19" s="133">
        <v>3900.88</v>
      </c>
      <c r="E19" s="133">
        <v>695</v>
      </c>
      <c r="F19" s="133">
        <v>4937.49</v>
      </c>
      <c r="G19" s="133">
        <v>4407.49</v>
      </c>
      <c r="H19" s="149">
        <f>SUM(A19:G19)+I11</f>
        <v>53429.17</v>
      </c>
      <c r="I19" s="151" t="s">
        <v>1</v>
      </c>
      <c r="K19" s="34">
        <v>5240</v>
      </c>
      <c r="L19" s="34">
        <v>154</v>
      </c>
      <c r="M19" s="34">
        <v>3878</v>
      </c>
      <c r="N19" s="34">
        <v>207.4</v>
      </c>
      <c r="O19" s="34">
        <v>4018</v>
      </c>
      <c r="P19" s="34">
        <v>30</v>
      </c>
      <c r="Q19" s="34">
        <v>4228</v>
      </c>
      <c r="R19" s="34">
        <v>1471.2</v>
      </c>
      <c r="S19" s="34">
        <v>1204</v>
      </c>
      <c r="T19" s="34">
        <v>15</v>
      </c>
      <c r="U19" s="34">
        <v>5620</v>
      </c>
      <c r="V19" s="34">
        <v>222.5</v>
      </c>
      <c r="W19" s="34">
        <v>4480</v>
      </c>
      <c r="X19" s="34"/>
    </row>
    <row r="20" spans="1:24" ht="15.6" thickTop="1" thickBot="1" x14ac:dyDescent="0.35">
      <c r="A20" s="63">
        <f t="shared" ref="A20:H20" si="2">A18-A19</f>
        <v>0</v>
      </c>
      <c r="B20" s="63">
        <f t="shared" si="2"/>
        <v>0</v>
      </c>
      <c r="C20" s="63">
        <f t="shared" si="2"/>
        <v>0</v>
      </c>
      <c r="D20" s="63">
        <f t="shared" si="2"/>
        <v>0</v>
      </c>
      <c r="E20" s="63">
        <f t="shared" si="2"/>
        <v>0</v>
      </c>
      <c r="F20" s="63">
        <f t="shared" si="2"/>
        <v>0</v>
      </c>
      <c r="G20" s="63">
        <f t="shared" si="2"/>
        <v>0</v>
      </c>
      <c r="H20" s="63">
        <f t="shared" si="2"/>
        <v>0</v>
      </c>
      <c r="I20" s="22"/>
      <c r="K20" s="152">
        <f>K18-K19</f>
        <v>0</v>
      </c>
      <c r="L20" s="152">
        <f t="shared" ref="L20:X20" si="3">L18-L19</f>
        <v>0</v>
      </c>
      <c r="M20" s="152">
        <f>M19-M18</f>
        <v>0</v>
      </c>
      <c r="N20" s="152">
        <f t="shared" si="3"/>
        <v>0</v>
      </c>
      <c r="O20" s="152">
        <f>O19-O18</f>
        <v>0</v>
      </c>
      <c r="P20" s="152">
        <f t="shared" si="3"/>
        <v>0</v>
      </c>
      <c r="Q20" s="152">
        <f t="shared" si="3"/>
        <v>0</v>
      </c>
      <c r="R20" s="152">
        <f t="shared" si="3"/>
        <v>0</v>
      </c>
      <c r="S20" s="152">
        <f t="shared" si="3"/>
        <v>0</v>
      </c>
      <c r="T20" s="152">
        <f t="shared" si="3"/>
        <v>0</v>
      </c>
      <c r="U20" s="152">
        <f t="shared" si="3"/>
        <v>0</v>
      </c>
      <c r="V20" s="152">
        <f t="shared" si="3"/>
        <v>0</v>
      </c>
      <c r="W20" s="152">
        <f t="shared" si="3"/>
        <v>0</v>
      </c>
      <c r="X20" s="146">
        <f t="shared" si="3"/>
        <v>532</v>
      </c>
    </row>
    <row r="21" spans="1:24" ht="15" thickBot="1" x14ac:dyDescent="0.35"/>
    <row r="22" spans="1:24" x14ac:dyDescent="0.3">
      <c r="A22" s="157">
        <v>45847</v>
      </c>
      <c r="B22" s="157">
        <v>45848</v>
      </c>
      <c r="C22" s="157">
        <v>45849</v>
      </c>
      <c r="D22" s="157">
        <v>45850</v>
      </c>
      <c r="E22" s="157">
        <v>45851</v>
      </c>
      <c r="F22" s="157">
        <v>45852</v>
      </c>
      <c r="G22" s="157">
        <v>45853</v>
      </c>
      <c r="H22" s="157"/>
      <c r="I22" s="13" t="s">
        <v>8</v>
      </c>
      <c r="K22" s="59">
        <v>45847</v>
      </c>
      <c r="L22" s="59"/>
      <c r="M22" s="59">
        <v>45848</v>
      </c>
      <c r="N22" s="59"/>
      <c r="O22" s="59">
        <v>45849</v>
      </c>
      <c r="P22" s="59"/>
      <c r="Q22" s="59">
        <v>45850</v>
      </c>
      <c r="R22" s="59"/>
      <c r="S22" s="59">
        <v>45851</v>
      </c>
      <c r="T22" s="59"/>
      <c r="U22" s="59">
        <v>45852</v>
      </c>
      <c r="V22" s="59"/>
      <c r="W22" s="59">
        <v>45853</v>
      </c>
      <c r="X22" s="59"/>
    </row>
    <row r="23" spans="1:24" ht="15" thickBot="1" x14ac:dyDescent="0.35">
      <c r="A23" s="22">
        <v>1017</v>
      </c>
      <c r="B23" s="22">
        <v>1588.62</v>
      </c>
      <c r="C23" s="22">
        <v>1554.35</v>
      </c>
      <c r="D23" s="22">
        <v>657</v>
      </c>
      <c r="E23" s="22">
        <v>360</v>
      </c>
      <c r="F23" s="22">
        <v>1896.76</v>
      </c>
      <c r="G23" s="22">
        <v>645</v>
      </c>
      <c r="H23" s="15"/>
      <c r="I23" s="15">
        <v>3299</v>
      </c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43" t="s">
        <v>11</v>
      </c>
    </row>
    <row r="24" spans="1:24" x14ac:dyDescent="0.3">
      <c r="A24" s="22">
        <v>1595</v>
      </c>
      <c r="B24" s="22">
        <v>1700</v>
      </c>
      <c r="C24" s="22">
        <v>2035</v>
      </c>
      <c r="D24" s="22">
        <v>1170</v>
      </c>
      <c r="E24" s="22">
        <v>120</v>
      </c>
      <c r="F24" s="22">
        <v>1830</v>
      </c>
      <c r="G24" s="22">
        <v>1675</v>
      </c>
      <c r="H24" s="15"/>
      <c r="I24" s="15">
        <v>6360</v>
      </c>
      <c r="K24" s="75">
        <v>28</v>
      </c>
      <c r="L24" s="76">
        <v>75</v>
      </c>
      <c r="M24" s="77">
        <v>3068</v>
      </c>
      <c r="N24" s="77">
        <v>7.5</v>
      </c>
      <c r="O24" s="77">
        <v>800</v>
      </c>
      <c r="P24" s="77">
        <v>52.5</v>
      </c>
      <c r="Q24" s="63">
        <v>260</v>
      </c>
      <c r="R24" s="77">
        <v>45</v>
      </c>
      <c r="S24" s="63">
        <v>700</v>
      </c>
      <c r="T24" s="40">
        <v>15</v>
      </c>
      <c r="U24" s="63">
        <v>440</v>
      </c>
      <c r="V24" s="63">
        <v>156</v>
      </c>
      <c r="W24" s="63">
        <v>600</v>
      </c>
      <c r="X24" s="40">
        <v>37.5</v>
      </c>
    </row>
    <row r="25" spans="1:24" x14ac:dyDescent="0.3">
      <c r="A25" s="22">
        <v>1458.51</v>
      </c>
      <c r="B25" s="26">
        <v>500</v>
      </c>
      <c r="C25" s="22">
        <v>935</v>
      </c>
      <c r="D25" s="26">
        <v>2205.61</v>
      </c>
      <c r="E25" s="26"/>
      <c r="F25" s="22">
        <v>710</v>
      </c>
      <c r="G25" s="22">
        <v>1588.62</v>
      </c>
      <c r="H25" s="15"/>
      <c r="I25" s="15">
        <v>3172</v>
      </c>
      <c r="K25" s="21">
        <v>190</v>
      </c>
      <c r="L25" s="79">
        <v>1200</v>
      </c>
      <c r="M25" s="80">
        <v>420</v>
      </c>
      <c r="N25" s="43">
        <v>30</v>
      </c>
      <c r="O25" s="43">
        <v>4878</v>
      </c>
      <c r="P25" s="43"/>
      <c r="Q25" s="22">
        <v>2858</v>
      </c>
      <c r="R25" s="80"/>
      <c r="S25" s="22">
        <v>84</v>
      </c>
      <c r="T25" s="27"/>
      <c r="U25" s="22">
        <v>4932</v>
      </c>
      <c r="V25" s="22">
        <v>60</v>
      </c>
      <c r="W25" s="22">
        <v>4372</v>
      </c>
      <c r="X25" s="27">
        <v>279.89999999999998</v>
      </c>
    </row>
    <row r="26" spans="1:24" x14ac:dyDescent="0.3">
      <c r="A26" s="22"/>
      <c r="B26" s="25"/>
      <c r="C26" s="22"/>
      <c r="D26" s="25"/>
      <c r="E26" s="22"/>
      <c r="F26" s="22"/>
      <c r="G26" s="22"/>
      <c r="H26" s="15"/>
      <c r="I26" s="15">
        <v>2006.5</v>
      </c>
      <c r="K26" s="21">
        <v>324</v>
      </c>
      <c r="L26" s="79"/>
      <c r="M26" s="84">
        <v>580</v>
      </c>
      <c r="N26" s="43"/>
      <c r="O26" s="43">
        <v>272</v>
      </c>
      <c r="P26" s="43"/>
      <c r="Q26" s="22">
        <v>0</v>
      </c>
      <c r="R26" s="84"/>
      <c r="S26" s="22"/>
      <c r="T26" s="27"/>
      <c r="U26" s="22">
        <v>430</v>
      </c>
      <c r="V26" s="22">
        <v>777</v>
      </c>
      <c r="W26" s="22">
        <v>318</v>
      </c>
      <c r="X26" s="27">
        <v>26</v>
      </c>
    </row>
    <row r="27" spans="1:24" x14ac:dyDescent="0.3">
      <c r="A27" s="22"/>
      <c r="B27" s="22"/>
      <c r="C27" s="22"/>
      <c r="D27" s="22"/>
      <c r="E27" s="22"/>
      <c r="F27" s="22"/>
      <c r="G27" s="22"/>
      <c r="H27" s="15"/>
      <c r="I27" s="15">
        <v>5560.08</v>
      </c>
      <c r="K27" s="21">
        <v>4430</v>
      </c>
      <c r="M27" s="43"/>
      <c r="N27" s="43"/>
      <c r="O27" s="43"/>
      <c r="P27" s="43"/>
      <c r="Q27" s="22"/>
      <c r="R27" s="43"/>
      <c r="S27" s="22"/>
      <c r="T27" s="27"/>
      <c r="U27" s="22"/>
      <c r="V27" s="22" t="s">
        <v>14</v>
      </c>
      <c r="W27" s="22"/>
      <c r="X27" s="27"/>
    </row>
    <row r="28" spans="1:24" x14ac:dyDescent="0.3">
      <c r="A28" s="22"/>
      <c r="B28" s="22"/>
      <c r="C28" s="22"/>
      <c r="D28" s="22"/>
      <c r="E28" s="22"/>
      <c r="F28" s="22"/>
      <c r="G28" s="22"/>
      <c r="H28" s="15"/>
      <c r="I28" s="15">
        <v>5930.03</v>
      </c>
      <c r="K28" s="128">
        <v>640</v>
      </c>
      <c r="L28" s="79"/>
      <c r="M28" s="43"/>
      <c r="N28" s="43"/>
      <c r="O28" s="43"/>
      <c r="P28" s="43"/>
      <c r="Q28" s="22"/>
      <c r="R28" s="43"/>
      <c r="S28" s="22"/>
      <c r="T28" s="27"/>
      <c r="U28" s="22"/>
      <c r="V28" s="22"/>
      <c r="W28" s="22"/>
      <c r="X28" s="27"/>
    </row>
    <row r="29" spans="1:24" x14ac:dyDescent="0.3">
      <c r="A29" s="22"/>
      <c r="B29" s="22"/>
      <c r="C29" s="22"/>
      <c r="D29" s="22"/>
      <c r="E29" s="22"/>
      <c r="F29" s="22"/>
      <c r="G29" s="22"/>
      <c r="H29" s="160"/>
      <c r="I29" s="15">
        <v>780.66</v>
      </c>
      <c r="K29" s="128"/>
      <c r="L29" s="79"/>
      <c r="M29" s="43"/>
      <c r="N29" s="43"/>
      <c r="O29" s="43"/>
      <c r="P29" s="43"/>
      <c r="Q29" s="22"/>
      <c r="R29" s="43"/>
      <c r="S29" s="22"/>
      <c r="T29" s="27"/>
      <c r="U29" s="22"/>
      <c r="V29" s="22"/>
      <c r="W29" s="22"/>
      <c r="X29" s="27"/>
    </row>
    <row r="30" spans="1:24" ht="15" thickBot="1" x14ac:dyDescent="0.35">
      <c r="A30" s="22"/>
      <c r="B30" s="22"/>
      <c r="C30" s="22"/>
      <c r="D30" s="22"/>
      <c r="E30" s="22"/>
      <c r="F30" s="22"/>
      <c r="G30" s="22"/>
      <c r="H30" s="65"/>
      <c r="I30" s="15"/>
      <c r="K30" s="21"/>
      <c r="L30" s="79"/>
      <c r="M30" s="43"/>
      <c r="N30" s="43"/>
      <c r="O30" s="43"/>
      <c r="P30" s="43"/>
      <c r="Q30" s="22"/>
      <c r="R30" s="43"/>
      <c r="S30" s="22"/>
      <c r="T30" s="27"/>
      <c r="U30" s="22"/>
      <c r="V30" s="22"/>
      <c r="W30" s="22"/>
      <c r="X30" s="27"/>
    </row>
    <row r="31" spans="1:24" ht="15.6" thickTop="1" thickBot="1" x14ac:dyDescent="0.35">
      <c r="A31" s="22"/>
      <c r="B31" s="22"/>
      <c r="C31" s="22"/>
      <c r="D31" s="22"/>
      <c r="E31" s="22"/>
      <c r="F31" s="22"/>
      <c r="G31" s="22"/>
      <c r="H31" s="37"/>
      <c r="I31" s="132">
        <f>SUM(I23:I30)</f>
        <v>27108.27</v>
      </c>
      <c r="K31" s="24"/>
      <c r="L31" s="56"/>
      <c r="M31" s="22"/>
      <c r="N31" s="22"/>
      <c r="O31" s="22"/>
      <c r="P31" s="22"/>
      <c r="Q31" s="22"/>
      <c r="R31" s="22"/>
      <c r="S31" s="22"/>
      <c r="T31" s="27"/>
      <c r="U31" s="22"/>
      <c r="V31" s="22"/>
      <c r="W31" s="22"/>
      <c r="X31" s="27"/>
    </row>
    <row r="32" spans="1:24" ht="15" thickTop="1" x14ac:dyDescent="0.3">
      <c r="A32" s="22"/>
      <c r="B32" s="22"/>
      <c r="C32" s="22"/>
      <c r="D32" s="22"/>
      <c r="E32" s="22"/>
      <c r="F32" s="22"/>
      <c r="G32" s="22"/>
      <c r="H32" s="37"/>
      <c r="I32" s="40"/>
      <c r="K32" s="24"/>
      <c r="L32" s="56"/>
      <c r="M32" s="22"/>
      <c r="N32" s="22"/>
      <c r="O32" s="22"/>
      <c r="P32" s="22"/>
      <c r="Q32" s="22"/>
      <c r="R32" s="22"/>
      <c r="S32" s="22"/>
      <c r="T32" s="27"/>
      <c r="U32" s="22"/>
      <c r="V32" s="22"/>
      <c r="W32" s="22"/>
      <c r="X32" s="27"/>
    </row>
    <row r="33" spans="1:24" x14ac:dyDescent="0.3">
      <c r="A33" s="22"/>
      <c r="B33" s="22"/>
      <c r="C33" s="22"/>
      <c r="D33" s="22"/>
      <c r="E33" s="22"/>
      <c r="F33" s="22"/>
      <c r="G33" s="22"/>
      <c r="H33" s="37"/>
      <c r="I33" s="27"/>
      <c r="K33" s="24"/>
      <c r="L33" s="56"/>
      <c r="M33" s="22"/>
      <c r="N33" s="22"/>
      <c r="O33" s="22"/>
      <c r="P33" s="22"/>
      <c r="Q33" s="22"/>
      <c r="R33" s="22"/>
      <c r="S33" s="22"/>
      <c r="T33" s="27"/>
      <c r="U33" s="22"/>
      <c r="V33" s="22"/>
      <c r="W33" s="22"/>
      <c r="X33" s="27"/>
    </row>
    <row r="34" spans="1:24" x14ac:dyDescent="0.3">
      <c r="A34" s="22"/>
      <c r="B34" s="22"/>
      <c r="C34" s="22"/>
      <c r="D34" s="22"/>
      <c r="E34" s="22"/>
      <c r="F34" s="22"/>
      <c r="G34" s="22"/>
      <c r="H34" s="22"/>
      <c r="I34" s="23"/>
      <c r="K34" s="24"/>
      <c r="L34" s="56"/>
      <c r="M34" s="22"/>
      <c r="N34" s="22"/>
      <c r="O34" s="22"/>
      <c r="P34" s="22"/>
      <c r="Q34" s="22"/>
      <c r="R34" s="22"/>
      <c r="S34" s="22"/>
      <c r="T34" s="27"/>
      <c r="U34" s="22"/>
      <c r="V34" s="22"/>
      <c r="W34" s="22"/>
      <c r="X34" s="27"/>
    </row>
    <row r="35" spans="1:24" ht="15" thickBot="1" x14ac:dyDescent="0.35">
      <c r="A35" s="22"/>
      <c r="B35" s="22"/>
      <c r="C35" s="22"/>
      <c r="D35" s="22"/>
      <c r="E35" s="22"/>
      <c r="F35" s="22"/>
      <c r="G35" s="22"/>
      <c r="H35" s="22"/>
      <c r="I35" s="23"/>
      <c r="K35" s="24"/>
      <c r="L35" s="56"/>
      <c r="M35" s="22"/>
      <c r="N35" s="35"/>
      <c r="O35" s="22"/>
      <c r="P35" s="22"/>
      <c r="Q35" s="22"/>
      <c r="R35" s="22"/>
      <c r="S35" s="22"/>
      <c r="T35" s="27"/>
      <c r="U35" s="22"/>
      <c r="V35" s="22"/>
      <c r="W35" s="22"/>
      <c r="X35" s="27"/>
    </row>
    <row r="36" spans="1:24" ht="15" thickTop="1" x14ac:dyDescent="0.3">
      <c r="A36" s="22"/>
      <c r="B36" s="22"/>
      <c r="C36" s="22"/>
      <c r="D36" s="22"/>
      <c r="E36" s="22"/>
      <c r="F36" s="22"/>
      <c r="G36" s="22"/>
      <c r="H36" s="22"/>
      <c r="I36" s="23"/>
      <c r="K36" s="24"/>
      <c r="L36" s="56"/>
      <c r="M36" s="22"/>
      <c r="N36" s="63"/>
      <c r="O36" s="22"/>
      <c r="P36" s="22"/>
      <c r="Q36" s="22"/>
      <c r="R36" s="22"/>
      <c r="S36" s="22"/>
      <c r="T36" s="27"/>
      <c r="U36" s="22"/>
      <c r="V36" s="22"/>
      <c r="W36" s="22"/>
      <c r="X36" s="27"/>
    </row>
    <row r="37" spans="1:24" x14ac:dyDescent="0.3">
      <c r="A37" s="22"/>
      <c r="B37" s="22"/>
      <c r="C37" s="22"/>
      <c r="D37" s="22"/>
      <c r="E37" s="22"/>
      <c r="F37" s="22"/>
      <c r="G37" s="22"/>
      <c r="H37" s="22"/>
      <c r="I37" s="23"/>
      <c r="K37" s="24"/>
      <c r="L37" s="22"/>
      <c r="M37" s="22"/>
      <c r="N37" s="22"/>
      <c r="O37" s="22"/>
      <c r="P37" s="22"/>
      <c r="Q37" s="22"/>
      <c r="R37" s="22"/>
      <c r="S37" s="22"/>
      <c r="T37" s="27"/>
      <c r="U37" s="22"/>
      <c r="V37" s="22"/>
      <c r="W37" s="22"/>
      <c r="X37" s="27"/>
    </row>
    <row r="38" spans="1:24" ht="15" thickBot="1" x14ac:dyDescent="0.35">
      <c r="A38" s="133">
        <f t="shared" ref="A38:G38" si="4">SUM(A23:A37)</f>
        <v>4070.51</v>
      </c>
      <c r="B38" s="133">
        <f t="shared" si="4"/>
        <v>3788.62</v>
      </c>
      <c r="C38" s="133">
        <f t="shared" si="4"/>
        <v>4524.3500000000004</v>
      </c>
      <c r="D38" s="133">
        <f t="shared" si="4"/>
        <v>4032.61</v>
      </c>
      <c r="E38" s="133">
        <f t="shared" si="4"/>
        <v>480</v>
      </c>
      <c r="F38" s="133">
        <f t="shared" si="4"/>
        <v>4436.76</v>
      </c>
      <c r="G38" s="133">
        <f t="shared" si="4"/>
        <v>3908.62</v>
      </c>
      <c r="H38" s="149">
        <f>SUM(A38:G38)+I31</f>
        <v>52349.74</v>
      </c>
      <c r="I38" s="150" t="s">
        <v>7</v>
      </c>
      <c r="K38" s="34">
        <f>SUM(K24:K37)</f>
        <v>5612</v>
      </c>
      <c r="L38" s="16">
        <f t="shared" ref="L38" si="5">SUM(L24:L37)</f>
        <v>1275</v>
      </c>
      <c r="M38" s="34">
        <f>SUM(M24:M37)</f>
        <v>4068</v>
      </c>
      <c r="N38" s="34">
        <f t="shared" ref="N38" si="6">SUM(N24:N37)</f>
        <v>37.5</v>
      </c>
      <c r="O38" s="34">
        <f>SUM(O24:O37)</f>
        <v>5950</v>
      </c>
      <c r="P38" s="34">
        <f t="shared" ref="P38:T38" si="7">SUM(P24:P37)</f>
        <v>52.5</v>
      </c>
      <c r="Q38" s="34">
        <f t="shared" si="7"/>
        <v>3118</v>
      </c>
      <c r="R38" s="34">
        <f t="shared" si="7"/>
        <v>45</v>
      </c>
      <c r="S38" s="34">
        <f t="shared" si="7"/>
        <v>784</v>
      </c>
      <c r="T38" s="16">
        <f t="shared" si="7"/>
        <v>15</v>
      </c>
      <c r="U38" s="34">
        <f t="shared" ref="U38:X38" si="8">SUM(U24:U37)</f>
        <v>5802</v>
      </c>
      <c r="V38" s="34">
        <f t="shared" si="8"/>
        <v>993</v>
      </c>
      <c r="W38" s="34">
        <f t="shared" si="8"/>
        <v>5290</v>
      </c>
      <c r="X38" s="16">
        <f t="shared" si="8"/>
        <v>343.4</v>
      </c>
    </row>
    <row r="39" spans="1:24" ht="15.6" thickTop="1" thickBot="1" x14ac:dyDescent="0.35">
      <c r="A39" s="133">
        <v>4070.51</v>
      </c>
      <c r="B39" s="133">
        <v>3788.62</v>
      </c>
      <c r="C39" s="133">
        <v>4524.3500000000004</v>
      </c>
      <c r="D39" s="133">
        <v>4032.61</v>
      </c>
      <c r="E39" s="133">
        <v>480</v>
      </c>
      <c r="F39" s="133">
        <v>4436.76</v>
      </c>
      <c r="G39" s="133">
        <v>3908.62</v>
      </c>
      <c r="H39" s="149">
        <f>SUM(A39:G39)+I31</f>
        <v>52349.74</v>
      </c>
      <c r="I39" s="151" t="s">
        <v>1</v>
      </c>
      <c r="K39" s="34">
        <v>5612</v>
      </c>
      <c r="L39" s="34">
        <v>1275</v>
      </c>
      <c r="M39" s="34">
        <f>1956+2112</f>
        <v>4068</v>
      </c>
      <c r="N39" s="34">
        <f>7.5+30</f>
        <v>37.5</v>
      </c>
      <c r="O39" s="34">
        <f>2006+3944</f>
        <v>5950</v>
      </c>
      <c r="P39" s="34">
        <f>22.5+30</f>
        <v>52.5</v>
      </c>
      <c r="Q39" s="34">
        <v>3118</v>
      </c>
      <c r="R39" s="34">
        <v>45</v>
      </c>
      <c r="S39" s="34">
        <v>784</v>
      </c>
      <c r="T39" s="34">
        <v>15</v>
      </c>
      <c r="U39" s="34">
        <f>2532+3270</f>
        <v>5802</v>
      </c>
      <c r="V39" s="34">
        <f>985.5+7.5</f>
        <v>993</v>
      </c>
      <c r="W39" s="34">
        <f>1732+3558</f>
        <v>5290</v>
      </c>
      <c r="X39" s="34">
        <f>287.4+56</f>
        <v>343.4</v>
      </c>
    </row>
    <row r="40" spans="1:24" ht="15.6" thickTop="1" thickBot="1" x14ac:dyDescent="0.35">
      <c r="A40" s="63">
        <f t="shared" ref="A40:H40" si="9">A38-A39</f>
        <v>0</v>
      </c>
      <c r="B40" s="63">
        <f>B38-B39</f>
        <v>0</v>
      </c>
      <c r="C40" s="63">
        <f t="shared" si="9"/>
        <v>0</v>
      </c>
      <c r="D40" s="63">
        <f t="shared" si="9"/>
        <v>0</v>
      </c>
      <c r="E40" s="63">
        <f t="shared" si="9"/>
        <v>0</v>
      </c>
      <c r="F40" s="63">
        <f t="shared" si="9"/>
        <v>0</v>
      </c>
      <c r="G40" s="63">
        <f t="shared" si="9"/>
        <v>0</v>
      </c>
      <c r="H40" s="63">
        <f t="shared" si="9"/>
        <v>0</v>
      </c>
      <c r="I40" s="22"/>
      <c r="K40" s="152">
        <f>K38-K39</f>
        <v>0</v>
      </c>
      <c r="L40" s="152">
        <f t="shared" ref="L40:X40" si="10">L38-L39</f>
        <v>0</v>
      </c>
      <c r="M40" s="152">
        <f t="shared" si="10"/>
        <v>0</v>
      </c>
      <c r="N40" s="152">
        <f t="shared" si="10"/>
        <v>0</v>
      </c>
      <c r="O40" s="152">
        <f t="shared" si="10"/>
        <v>0</v>
      </c>
      <c r="P40" s="152">
        <f t="shared" si="10"/>
        <v>0</v>
      </c>
      <c r="Q40" s="152">
        <f t="shared" si="10"/>
        <v>0</v>
      </c>
      <c r="R40" s="152">
        <f t="shared" si="10"/>
        <v>0</v>
      </c>
      <c r="S40" s="152">
        <f t="shared" si="10"/>
        <v>0</v>
      </c>
      <c r="T40" s="152">
        <f t="shared" si="10"/>
        <v>0</v>
      </c>
      <c r="U40" s="152">
        <f t="shared" si="10"/>
        <v>0</v>
      </c>
      <c r="V40" s="152">
        <f t="shared" si="10"/>
        <v>0</v>
      </c>
      <c r="W40" s="152">
        <f t="shared" si="10"/>
        <v>0</v>
      </c>
      <c r="X40" s="152">
        <f t="shared" si="10"/>
        <v>0</v>
      </c>
    </row>
    <row r="41" spans="1:24" ht="15" thickBot="1" x14ac:dyDescent="0.35"/>
    <row r="42" spans="1:24" x14ac:dyDescent="0.3">
      <c r="A42" s="157">
        <v>45854</v>
      </c>
      <c r="B42" s="157">
        <f>A42+1</f>
        <v>45855</v>
      </c>
      <c r="C42" s="157">
        <f t="shared" ref="C42:G42" si="11">B42+1</f>
        <v>45856</v>
      </c>
      <c r="D42" s="157">
        <f t="shared" si="11"/>
        <v>45857</v>
      </c>
      <c r="E42" s="157">
        <f t="shared" si="11"/>
        <v>45858</v>
      </c>
      <c r="F42" s="157">
        <f t="shared" si="11"/>
        <v>45859</v>
      </c>
      <c r="G42" s="157">
        <f t="shared" si="11"/>
        <v>45860</v>
      </c>
      <c r="H42" s="157"/>
      <c r="I42" s="13" t="s">
        <v>8</v>
      </c>
      <c r="K42" s="59">
        <v>45854</v>
      </c>
      <c r="L42" s="59"/>
      <c r="M42" s="59">
        <f>K42+1</f>
        <v>45855</v>
      </c>
      <c r="N42" s="59"/>
      <c r="O42" s="59">
        <f t="shared" ref="O42" si="12">M42+1</f>
        <v>45856</v>
      </c>
      <c r="P42" s="59"/>
      <c r="Q42" s="59">
        <f t="shared" ref="Q42" si="13">O42+1</f>
        <v>45857</v>
      </c>
      <c r="R42" s="59"/>
      <c r="S42" s="59">
        <f t="shared" ref="S42" si="14">Q42+1</f>
        <v>45858</v>
      </c>
      <c r="T42" s="59"/>
      <c r="U42" s="59">
        <f t="shared" ref="U42" si="15">S42+1</f>
        <v>45859</v>
      </c>
      <c r="V42" s="59"/>
      <c r="W42" s="59">
        <f t="shared" ref="W42" si="16">U42+1</f>
        <v>45860</v>
      </c>
      <c r="X42" s="59"/>
    </row>
    <row r="43" spans="1:24" ht="15" thickBot="1" x14ac:dyDescent="0.35">
      <c r="A43" s="22">
        <v>830</v>
      </c>
      <c r="B43" s="22">
        <v>1684.46</v>
      </c>
      <c r="C43" s="22">
        <v>700</v>
      </c>
      <c r="D43" s="22">
        <v>1588.88</v>
      </c>
      <c r="E43" s="22">
        <v>120</v>
      </c>
      <c r="F43" s="22">
        <v>405</v>
      </c>
      <c r="G43" s="22">
        <v>1040</v>
      </c>
      <c r="H43" s="15"/>
      <c r="I43" s="15">
        <v>3172</v>
      </c>
      <c r="K43" s="124" t="s">
        <v>10</v>
      </c>
      <c r="L43" s="125" t="s">
        <v>11</v>
      </c>
      <c r="M43" s="126" t="s">
        <v>10</v>
      </c>
      <c r="N43" s="126" t="s">
        <v>11</v>
      </c>
      <c r="O43" s="126" t="s">
        <v>10</v>
      </c>
      <c r="P43" s="126" t="s">
        <v>11</v>
      </c>
      <c r="Q43" s="126" t="s">
        <v>10</v>
      </c>
      <c r="R43" s="126" t="s">
        <v>11</v>
      </c>
      <c r="S43" s="126" t="s">
        <v>10</v>
      </c>
      <c r="T43" s="126" t="s">
        <v>11</v>
      </c>
      <c r="U43" s="126" t="s">
        <v>10</v>
      </c>
      <c r="V43" s="126" t="s">
        <v>11</v>
      </c>
      <c r="W43" s="126" t="s">
        <v>10</v>
      </c>
      <c r="X43" s="143" t="s">
        <v>11</v>
      </c>
    </row>
    <row r="44" spans="1:24" x14ac:dyDescent="0.3">
      <c r="A44" s="22">
        <v>1820</v>
      </c>
      <c r="B44" s="22">
        <v>1870</v>
      </c>
      <c r="C44" s="22">
        <v>2250</v>
      </c>
      <c r="D44" s="22">
        <v>1270</v>
      </c>
      <c r="E44" s="22">
        <v>335</v>
      </c>
      <c r="F44" s="22">
        <v>2035</v>
      </c>
      <c r="G44" s="22">
        <v>1775</v>
      </c>
      <c r="H44" s="15"/>
      <c r="I44" s="15">
        <v>6360</v>
      </c>
      <c r="K44" s="75">
        <v>28</v>
      </c>
      <c r="L44" s="76">
        <v>137.5</v>
      </c>
      <c r="M44" s="77">
        <v>700</v>
      </c>
      <c r="N44" s="77">
        <v>1980</v>
      </c>
      <c r="O44" s="77">
        <v>910</v>
      </c>
      <c r="P44" s="77">
        <v>45</v>
      </c>
      <c r="Q44" s="63">
        <v>0</v>
      </c>
      <c r="R44" s="77">
        <v>409.5</v>
      </c>
      <c r="S44" s="63">
        <v>84</v>
      </c>
      <c r="T44" s="40">
        <v>15</v>
      </c>
      <c r="U44" s="63">
        <v>510</v>
      </c>
      <c r="V44" s="63">
        <v>223.9</v>
      </c>
      <c r="W44" s="63">
        <v>180</v>
      </c>
      <c r="X44" s="40">
        <v>97.5</v>
      </c>
    </row>
    <row r="45" spans="1:24" x14ac:dyDescent="0.3">
      <c r="A45" s="22">
        <v>2122.71</v>
      </c>
      <c r="B45" s="22">
        <v>560</v>
      </c>
      <c r="C45" s="26">
        <v>1814.57</v>
      </c>
      <c r="D45" s="22">
        <v>765</v>
      </c>
      <c r="E45" s="26"/>
      <c r="F45" s="22">
        <v>2040.52</v>
      </c>
      <c r="G45" s="22">
        <v>2204.9</v>
      </c>
      <c r="H45" s="15"/>
      <c r="I45" s="15">
        <v>3487</v>
      </c>
      <c r="K45" s="21">
        <v>190</v>
      </c>
      <c r="L45" s="79"/>
      <c r="M45" s="80">
        <v>3426</v>
      </c>
      <c r="N45" s="43">
        <v>30</v>
      </c>
      <c r="O45" s="43">
        <v>5646</v>
      </c>
      <c r="P45" s="43"/>
      <c r="Q45" s="22">
        <v>3964</v>
      </c>
      <c r="R45" s="80">
        <v>117.5</v>
      </c>
      <c r="S45" s="22">
        <v>740</v>
      </c>
      <c r="T45" s="27"/>
      <c r="U45" s="22">
        <v>410</v>
      </c>
      <c r="V45" s="22">
        <v>219.9</v>
      </c>
      <c r="W45" s="22">
        <v>344</v>
      </c>
      <c r="X45" s="27"/>
    </row>
    <row r="46" spans="1:24" x14ac:dyDescent="0.3">
      <c r="A46" s="22"/>
      <c r="B46" s="22"/>
      <c r="C46" s="25"/>
      <c r="D46" s="22"/>
      <c r="E46" s="22"/>
      <c r="F46" s="22"/>
      <c r="G46" s="22"/>
      <c r="H46" s="15"/>
      <c r="I46" s="15">
        <v>644</v>
      </c>
      <c r="K46" s="21">
        <v>350</v>
      </c>
      <c r="L46" s="79"/>
      <c r="M46" s="84">
        <v>520</v>
      </c>
      <c r="N46" s="43">
        <v>69.900000000000006</v>
      </c>
      <c r="O46" s="43">
        <v>320</v>
      </c>
      <c r="P46" s="43"/>
      <c r="Q46" s="22">
        <v>576</v>
      </c>
      <c r="R46" s="84"/>
      <c r="S46" s="22"/>
      <c r="T46" s="27"/>
      <c r="U46" s="22">
        <v>4640</v>
      </c>
      <c r="V46" s="22"/>
      <c r="W46" s="22">
        <v>3280</v>
      </c>
      <c r="X46" s="27"/>
    </row>
    <row r="47" spans="1:24" x14ac:dyDescent="0.3">
      <c r="A47" s="22"/>
      <c r="B47" s="22"/>
      <c r="C47" s="22"/>
      <c r="D47" s="22"/>
      <c r="E47" s="22"/>
      <c r="F47" s="22"/>
      <c r="G47" s="22"/>
      <c r="H47" s="15"/>
      <c r="I47" s="15">
        <v>5917</v>
      </c>
      <c r="K47" s="21">
        <v>4670</v>
      </c>
      <c r="M47" s="43"/>
      <c r="N47" s="43"/>
      <c r="O47" s="43"/>
      <c r="P47" s="43"/>
      <c r="Q47" s="22"/>
      <c r="R47" s="43"/>
      <c r="S47" s="22"/>
      <c r="T47" s="27"/>
      <c r="U47" s="22">
        <v>700</v>
      </c>
      <c r="V47" s="22"/>
      <c r="W47" s="22">
        <v>370</v>
      </c>
      <c r="X47" s="27"/>
    </row>
    <row r="48" spans="1:24" x14ac:dyDescent="0.3">
      <c r="A48" s="22"/>
      <c r="B48" s="22"/>
      <c r="C48" s="22"/>
      <c r="D48" s="22"/>
      <c r="E48" s="22"/>
      <c r="F48" s="22"/>
      <c r="G48" s="22"/>
      <c r="H48" s="15"/>
      <c r="I48" s="15">
        <v>1040.8800000000001</v>
      </c>
      <c r="K48" s="128">
        <v>490</v>
      </c>
      <c r="L48" s="79"/>
      <c r="M48" s="43"/>
      <c r="N48" s="43"/>
      <c r="O48" s="43"/>
      <c r="P48" s="43"/>
      <c r="Q48" s="22"/>
      <c r="R48" s="43"/>
      <c r="S48" s="22"/>
      <c r="T48" s="27"/>
      <c r="U48" s="22"/>
      <c r="V48" s="22"/>
      <c r="W48" s="22"/>
      <c r="X48" s="27"/>
    </row>
    <row r="49" spans="1:24" x14ac:dyDescent="0.3">
      <c r="A49" s="22"/>
      <c r="B49" s="22"/>
      <c r="C49" s="22"/>
      <c r="D49" s="22"/>
      <c r="E49" s="22"/>
      <c r="F49" s="22"/>
      <c r="G49" s="22"/>
      <c r="H49" s="160"/>
      <c r="I49" s="15">
        <v>5820.3</v>
      </c>
      <c r="K49" s="128"/>
      <c r="L49" s="79"/>
      <c r="M49" s="43"/>
      <c r="N49" s="43"/>
      <c r="O49" s="43"/>
      <c r="P49" s="43"/>
      <c r="Q49" s="22"/>
      <c r="R49" s="43"/>
      <c r="S49" s="22"/>
      <c r="T49" s="27"/>
      <c r="U49" s="22"/>
      <c r="V49" s="22"/>
      <c r="W49" s="22"/>
      <c r="X49" s="27"/>
    </row>
    <row r="50" spans="1:24" ht="15" thickBot="1" x14ac:dyDescent="0.35">
      <c r="A50" s="22"/>
      <c r="B50" s="22"/>
      <c r="C50" s="22"/>
      <c r="D50" s="22"/>
      <c r="E50" s="22"/>
      <c r="F50" s="22"/>
      <c r="G50" s="22"/>
      <c r="H50" s="65"/>
      <c r="I50" s="15"/>
      <c r="K50" s="21"/>
      <c r="L50" s="79"/>
      <c r="M50" s="43"/>
      <c r="N50" s="43"/>
      <c r="O50" s="43"/>
      <c r="P50" s="43"/>
      <c r="Q50" s="22"/>
      <c r="R50" s="43"/>
      <c r="S50" s="22"/>
      <c r="T50" s="27"/>
      <c r="U50" s="22"/>
      <c r="V50" s="22"/>
      <c r="W50" s="22"/>
      <c r="X50" s="27"/>
    </row>
    <row r="51" spans="1:24" ht="15.6" thickTop="1" thickBot="1" x14ac:dyDescent="0.35">
      <c r="A51" s="22"/>
      <c r="B51" s="22"/>
      <c r="C51" s="22"/>
      <c r="D51" s="22"/>
      <c r="E51" s="22"/>
      <c r="F51" s="22"/>
      <c r="G51" s="22"/>
      <c r="H51" s="37"/>
      <c r="I51" s="132">
        <f>SUM(I43:I50)</f>
        <v>26441.18</v>
      </c>
      <c r="K51" s="24"/>
      <c r="L51" s="56"/>
      <c r="M51" s="22"/>
      <c r="N51" s="22"/>
      <c r="O51" s="22"/>
      <c r="P51" s="22"/>
      <c r="Q51" s="22"/>
      <c r="R51" s="22"/>
      <c r="S51" s="22"/>
      <c r="T51" s="27"/>
      <c r="U51" s="22"/>
      <c r="V51" s="22"/>
      <c r="W51" s="22"/>
      <c r="X51" s="27"/>
    </row>
    <row r="52" spans="1:24" ht="15" thickTop="1" x14ac:dyDescent="0.3">
      <c r="A52" s="22"/>
      <c r="B52" s="22"/>
      <c r="C52" s="22"/>
      <c r="D52" s="22"/>
      <c r="E52" s="22"/>
      <c r="F52" s="22"/>
      <c r="G52" s="22"/>
      <c r="H52" s="37"/>
      <c r="I52" s="40"/>
      <c r="K52" s="24"/>
      <c r="L52" s="56"/>
      <c r="M52" s="22"/>
      <c r="N52" s="22"/>
      <c r="O52" s="22"/>
      <c r="P52" s="22"/>
      <c r="Q52" s="22"/>
      <c r="R52" s="22"/>
      <c r="S52" s="22"/>
      <c r="T52" s="27"/>
      <c r="U52" s="22"/>
      <c r="V52" s="22"/>
      <c r="W52" s="22"/>
      <c r="X52" s="27"/>
    </row>
    <row r="53" spans="1:24" x14ac:dyDescent="0.3">
      <c r="A53" s="22"/>
      <c r="B53" s="22"/>
      <c r="C53" s="22"/>
      <c r="D53" s="22"/>
      <c r="E53" s="22"/>
      <c r="F53" s="22"/>
      <c r="G53" s="22"/>
      <c r="H53" s="37"/>
      <c r="I53" s="27"/>
      <c r="K53" s="24"/>
      <c r="L53" s="56"/>
      <c r="M53" s="22"/>
      <c r="N53" s="22"/>
      <c r="O53" s="22"/>
      <c r="P53" s="22"/>
      <c r="Q53" s="22"/>
      <c r="R53" s="22"/>
      <c r="S53" s="22"/>
      <c r="T53" s="27"/>
      <c r="U53" s="22"/>
      <c r="V53" s="22"/>
      <c r="W53" s="22"/>
      <c r="X53" s="27"/>
    </row>
    <row r="54" spans="1:24" x14ac:dyDescent="0.3">
      <c r="A54" s="22"/>
      <c r="B54" s="22"/>
      <c r="C54" s="22"/>
      <c r="D54" s="22"/>
      <c r="E54" s="22"/>
      <c r="F54" s="22"/>
      <c r="G54" s="22"/>
      <c r="H54" s="22"/>
      <c r="I54" s="23"/>
      <c r="K54" s="24"/>
      <c r="L54" s="56"/>
      <c r="M54" s="22"/>
      <c r="N54" s="22"/>
      <c r="O54" s="22"/>
      <c r="P54" s="22"/>
      <c r="Q54" s="22"/>
      <c r="R54" s="22"/>
      <c r="S54" s="22"/>
      <c r="T54" s="27"/>
      <c r="U54" s="22"/>
      <c r="V54" s="22"/>
      <c r="W54" s="22"/>
      <c r="X54" s="27"/>
    </row>
    <row r="55" spans="1:24" x14ac:dyDescent="0.3">
      <c r="A55" s="22"/>
      <c r="B55" s="22"/>
      <c r="C55" s="22"/>
      <c r="D55" s="22"/>
      <c r="E55" s="22"/>
      <c r="F55" s="22"/>
      <c r="G55" s="22"/>
      <c r="H55" s="22"/>
      <c r="I55" s="23"/>
      <c r="K55" s="24"/>
      <c r="L55" s="56"/>
      <c r="M55" s="22"/>
      <c r="N55" s="22"/>
      <c r="O55" s="22"/>
      <c r="P55" s="22"/>
      <c r="Q55" s="22"/>
      <c r="R55" s="22"/>
      <c r="S55" s="22"/>
      <c r="T55" s="27"/>
      <c r="U55" s="22"/>
      <c r="V55" s="22"/>
      <c r="W55" s="22"/>
      <c r="X55" s="27"/>
    </row>
    <row r="56" spans="1:24" x14ac:dyDescent="0.3">
      <c r="A56" s="22"/>
      <c r="B56" s="22"/>
      <c r="C56" s="22"/>
      <c r="D56" s="22"/>
      <c r="E56" s="22"/>
      <c r="F56" s="22"/>
      <c r="G56" s="22"/>
      <c r="H56" s="22"/>
      <c r="I56" s="23"/>
      <c r="K56" s="24"/>
      <c r="L56" s="56"/>
      <c r="M56" s="22"/>
      <c r="N56" s="22"/>
      <c r="O56" s="22"/>
      <c r="P56" s="22"/>
      <c r="Q56" s="22"/>
      <c r="R56" s="22"/>
      <c r="S56" s="22"/>
      <c r="T56" s="27"/>
      <c r="U56" s="22"/>
      <c r="V56" s="22"/>
      <c r="W56" s="22"/>
      <c r="X56" s="27"/>
    </row>
    <row r="57" spans="1:24" x14ac:dyDescent="0.3">
      <c r="A57" s="22"/>
      <c r="B57" s="22"/>
      <c r="C57" s="22"/>
      <c r="D57" s="22"/>
      <c r="E57" s="22"/>
      <c r="F57" s="22"/>
      <c r="G57" s="22"/>
      <c r="H57" s="22"/>
      <c r="I57" s="23"/>
      <c r="K57" s="24"/>
      <c r="L57" s="22"/>
      <c r="M57" s="22"/>
      <c r="N57" s="22"/>
      <c r="O57" s="22"/>
      <c r="P57" s="22"/>
      <c r="Q57" s="22"/>
      <c r="R57" s="22"/>
      <c r="S57" s="22"/>
      <c r="T57" s="27"/>
      <c r="U57" s="22"/>
      <c r="V57" s="22"/>
      <c r="W57" s="22"/>
      <c r="X57" s="27"/>
    </row>
    <row r="58" spans="1:24" ht="15" thickBot="1" x14ac:dyDescent="0.35">
      <c r="A58" s="133">
        <f t="shared" ref="A58:G58" si="17">SUM(A43:A57)</f>
        <v>4772.71</v>
      </c>
      <c r="B58" s="133">
        <f t="shared" ref="B58:D58" si="18">SUM(B43:B57)</f>
        <v>4114.46</v>
      </c>
      <c r="C58" s="133">
        <f t="shared" si="18"/>
        <v>4764.57</v>
      </c>
      <c r="D58" s="133">
        <f t="shared" si="18"/>
        <v>3623.88</v>
      </c>
      <c r="E58" s="133">
        <f t="shared" si="17"/>
        <v>455</v>
      </c>
      <c r="F58" s="133">
        <f t="shared" si="17"/>
        <v>4480.5200000000004</v>
      </c>
      <c r="G58" s="133">
        <f t="shared" si="17"/>
        <v>5019.8999999999996</v>
      </c>
      <c r="H58" s="149">
        <f>SUM(A58:G58)+I51</f>
        <v>53672.22</v>
      </c>
      <c r="I58" s="150" t="s">
        <v>7</v>
      </c>
      <c r="K58" s="34">
        <f>SUM(K44:K57)</f>
        <v>5728</v>
      </c>
      <c r="L58" s="16">
        <f t="shared" ref="L58" si="19">SUM(L44:L57)</f>
        <v>137.5</v>
      </c>
      <c r="M58" s="34">
        <f>SUM(M44:M57)</f>
        <v>4646</v>
      </c>
      <c r="N58" s="34">
        <f t="shared" ref="N58" si="20">SUM(N44:N57)</f>
        <v>2079.9</v>
      </c>
      <c r="O58" s="34">
        <f>SUM(O44:O57)</f>
        <v>6876</v>
      </c>
      <c r="P58" s="34">
        <f t="shared" ref="P58:X58" si="21">SUM(P44:P57)</f>
        <v>45</v>
      </c>
      <c r="Q58" s="34">
        <f t="shared" si="21"/>
        <v>4540</v>
      </c>
      <c r="R58" s="34">
        <f t="shared" si="21"/>
        <v>527</v>
      </c>
      <c r="S58" s="34">
        <f t="shared" si="21"/>
        <v>824</v>
      </c>
      <c r="T58" s="16">
        <f t="shared" si="21"/>
        <v>15</v>
      </c>
      <c r="U58" s="34">
        <f t="shared" si="21"/>
        <v>6260</v>
      </c>
      <c r="V58" s="34">
        <f t="shared" si="21"/>
        <v>443.8</v>
      </c>
      <c r="W58" s="34">
        <f t="shared" si="21"/>
        <v>4174</v>
      </c>
      <c r="X58" s="16">
        <f t="shared" si="21"/>
        <v>97.5</v>
      </c>
    </row>
    <row r="59" spans="1:24" ht="15.6" thickTop="1" thickBot="1" x14ac:dyDescent="0.35">
      <c r="A59" s="133">
        <v>4772.71</v>
      </c>
      <c r="B59" s="133">
        <v>4114.46</v>
      </c>
      <c r="C59" s="133">
        <v>4764.57</v>
      </c>
      <c r="D59" s="133">
        <v>3623.88</v>
      </c>
      <c r="E59" s="133">
        <v>455</v>
      </c>
      <c r="F59" s="133">
        <v>4480.5200000000004</v>
      </c>
      <c r="G59" s="133">
        <v>5019.8999999999996</v>
      </c>
      <c r="H59" s="149">
        <f>SUM(A59:G59)+I51</f>
        <v>53672.22</v>
      </c>
      <c r="I59" s="151" t="s">
        <v>1</v>
      </c>
      <c r="K59" s="34">
        <v>5728</v>
      </c>
      <c r="L59" s="34">
        <v>137.5</v>
      </c>
      <c r="M59" s="34">
        <f>2554+2092</f>
        <v>4646</v>
      </c>
      <c r="N59" s="34">
        <v>2079.9</v>
      </c>
      <c r="O59" s="34">
        <f>4484+2392</f>
        <v>6876</v>
      </c>
      <c r="P59" s="34">
        <v>45</v>
      </c>
      <c r="Q59" s="34">
        <f>1456+3084</f>
        <v>4540</v>
      </c>
      <c r="R59" s="34">
        <f>70+457</f>
        <v>527</v>
      </c>
      <c r="S59" s="34">
        <v>824</v>
      </c>
      <c r="T59" s="34">
        <v>15</v>
      </c>
      <c r="U59" s="34">
        <v>6260</v>
      </c>
      <c r="V59" s="34">
        <f>154.5+289.3</f>
        <v>443.8</v>
      </c>
      <c r="W59" s="34">
        <v>4174</v>
      </c>
      <c r="X59" s="34">
        <v>97.5</v>
      </c>
    </row>
    <row r="60" spans="1:24" ht="15.6" thickTop="1" thickBot="1" x14ac:dyDescent="0.35">
      <c r="A60" s="63">
        <f t="shared" ref="A60:D60" si="22">A58-A59</f>
        <v>0</v>
      </c>
      <c r="B60" s="63">
        <f t="shared" si="22"/>
        <v>0</v>
      </c>
      <c r="C60" s="63">
        <f t="shared" si="22"/>
        <v>0</v>
      </c>
      <c r="D60" s="63">
        <f t="shared" si="22"/>
        <v>0</v>
      </c>
      <c r="E60" s="63">
        <f t="shared" ref="E60:H60" si="23">E58-E59</f>
        <v>0</v>
      </c>
      <c r="F60" s="63">
        <f t="shared" si="23"/>
        <v>0</v>
      </c>
      <c r="G60" s="63">
        <f t="shared" si="23"/>
        <v>0</v>
      </c>
      <c r="H60" s="63">
        <f t="shared" si="23"/>
        <v>0</v>
      </c>
      <c r="I60" s="22"/>
      <c r="K60" s="152">
        <f>K58-K59</f>
        <v>0</v>
      </c>
      <c r="L60" s="152">
        <f t="shared" ref="L60" si="24">L58-L59</f>
        <v>0</v>
      </c>
      <c r="M60" s="152">
        <f>M59-M58</f>
        <v>0</v>
      </c>
      <c r="N60" s="152">
        <f t="shared" ref="N60" si="25">N58-N59</f>
        <v>0</v>
      </c>
      <c r="O60" s="152">
        <f>O59-O58</f>
        <v>0</v>
      </c>
      <c r="P60" s="152">
        <f t="shared" ref="P60:X60" si="26">P58-P59</f>
        <v>0</v>
      </c>
      <c r="Q60" s="152">
        <f t="shared" si="26"/>
        <v>0</v>
      </c>
      <c r="R60" s="152">
        <f t="shared" si="26"/>
        <v>0</v>
      </c>
      <c r="S60" s="152">
        <f t="shared" si="26"/>
        <v>0</v>
      </c>
      <c r="T60" s="146">
        <f t="shared" si="26"/>
        <v>0</v>
      </c>
      <c r="U60" s="152">
        <f t="shared" si="26"/>
        <v>0</v>
      </c>
      <c r="V60" s="152">
        <f t="shared" si="26"/>
        <v>0</v>
      </c>
      <c r="W60" s="152">
        <f t="shared" si="26"/>
        <v>0</v>
      </c>
      <c r="X60" s="146">
        <f t="shared" si="26"/>
        <v>0</v>
      </c>
    </row>
    <row r="61" spans="1:24" ht="15" thickBot="1" x14ac:dyDescent="0.35"/>
    <row r="62" spans="1:24" x14ac:dyDescent="0.3">
      <c r="A62" s="157">
        <v>45861</v>
      </c>
      <c r="B62" s="157">
        <f>A62+1</f>
        <v>45862</v>
      </c>
      <c r="C62" s="157">
        <f t="shared" ref="C62" si="27">B62+1</f>
        <v>45863</v>
      </c>
      <c r="D62" s="157">
        <f t="shared" ref="D62" si="28">C62+1</f>
        <v>45864</v>
      </c>
      <c r="E62" s="157">
        <f t="shared" ref="E62" si="29">D62+1</f>
        <v>45865</v>
      </c>
      <c r="F62" s="157">
        <f t="shared" ref="F62" si="30">E62+1</f>
        <v>45866</v>
      </c>
      <c r="G62" s="157">
        <f t="shared" ref="G62" si="31">F62+1</f>
        <v>45867</v>
      </c>
      <c r="H62" s="157"/>
      <c r="I62" s="13" t="s">
        <v>8</v>
      </c>
      <c r="K62" s="59">
        <v>45861</v>
      </c>
      <c r="L62" s="59"/>
      <c r="M62" s="59">
        <f>K62+1</f>
        <v>45862</v>
      </c>
      <c r="N62" s="59"/>
      <c r="O62" s="59">
        <f t="shared" ref="O62" si="32">M62+1</f>
        <v>45863</v>
      </c>
      <c r="P62" s="59"/>
      <c r="Q62" s="59">
        <f t="shared" ref="Q62" si="33">O62+1</f>
        <v>45864</v>
      </c>
      <c r="R62" s="59"/>
      <c r="S62" s="59">
        <f t="shared" ref="S62" si="34">Q62+1</f>
        <v>45865</v>
      </c>
      <c r="T62" s="59"/>
      <c r="U62" s="59">
        <f t="shared" ref="U62" si="35">S62+1</f>
        <v>45866</v>
      </c>
      <c r="V62" s="59"/>
      <c r="W62" s="59">
        <f t="shared" ref="W62" si="36">U62+1</f>
        <v>45867</v>
      </c>
      <c r="X62" s="59"/>
    </row>
    <row r="63" spans="1:24" ht="15" thickBot="1" x14ac:dyDescent="0.35">
      <c r="A63" s="22">
        <v>535</v>
      </c>
      <c r="B63" s="22">
        <v>1978.95</v>
      </c>
      <c r="C63" s="22">
        <v>230</v>
      </c>
      <c r="D63" s="22">
        <v>487</v>
      </c>
      <c r="E63" s="22">
        <v>335</v>
      </c>
      <c r="F63" s="22">
        <v>1150.3699999999999</v>
      </c>
      <c r="G63" s="22">
        <v>345</v>
      </c>
      <c r="H63" s="15"/>
      <c r="I63" s="15">
        <v>3136</v>
      </c>
      <c r="K63" s="124" t="s">
        <v>10</v>
      </c>
      <c r="L63" s="125" t="s">
        <v>11</v>
      </c>
      <c r="M63" s="126" t="s">
        <v>10</v>
      </c>
      <c r="N63" s="126" t="s">
        <v>11</v>
      </c>
      <c r="O63" s="126" t="s">
        <v>10</v>
      </c>
      <c r="P63" s="126" t="s">
        <v>11</v>
      </c>
      <c r="Q63" s="126" t="s">
        <v>10</v>
      </c>
      <c r="R63" s="126" t="s">
        <v>11</v>
      </c>
      <c r="S63" s="126" t="s">
        <v>10</v>
      </c>
      <c r="T63" s="126" t="s">
        <v>11</v>
      </c>
      <c r="U63" s="126" t="s">
        <v>10</v>
      </c>
      <c r="V63" s="126" t="s">
        <v>11</v>
      </c>
      <c r="W63" s="126" t="s">
        <v>10</v>
      </c>
      <c r="X63" s="143" t="s">
        <v>11</v>
      </c>
    </row>
    <row r="64" spans="1:24" x14ac:dyDescent="0.3">
      <c r="A64" s="22">
        <v>1460</v>
      </c>
      <c r="B64" s="22">
        <v>885</v>
      </c>
      <c r="C64" s="22">
        <v>1700</v>
      </c>
      <c r="D64" s="22">
        <v>1335</v>
      </c>
      <c r="E64" s="22"/>
      <c r="F64" s="22">
        <v>1810</v>
      </c>
      <c r="G64" s="22">
        <v>980</v>
      </c>
      <c r="H64" s="15"/>
      <c r="I64" s="15">
        <v>718.5</v>
      </c>
      <c r="K64" s="75">
        <v>350</v>
      </c>
      <c r="L64" s="76">
        <v>974</v>
      </c>
      <c r="M64" s="77">
        <v>350</v>
      </c>
      <c r="N64" s="77">
        <v>1620</v>
      </c>
      <c r="O64" s="77">
        <v>490</v>
      </c>
      <c r="P64" s="77">
        <v>156</v>
      </c>
      <c r="Q64" s="63">
        <v>2436</v>
      </c>
      <c r="R64" s="77">
        <v>1050</v>
      </c>
      <c r="S64" s="63">
        <v>844</v>
      </c>
      <c r="T64" s="40">
        <v>15</v>
      </c>
      <c r="U64" s="63">
        <v>650</v>
      </c>
      <c r="V64" s="63">
        <v>162</v>
      </c>
      <c r="W64" s="63">
        <v>250</v>
      </c>
      <c r="X64" s="40">
        <v>1800</v>
      </c>
    </row>
    <row r="65" spans="1:24" x14ac:dyDescent="0.3">
      <c r="A65" s="22">
        <v>1718.73</v>
      </c>
      <c r="B65" s="22">
        <v>520</v>
      </c>
      <c r="C65" s="26">
        <v>1718.73</v>
      </c>
      <c r="D65" s="22">
        <v>2205.61</v>
      </c>
      <c r="E65" s="26"/>
      <c r="F65" s="22">
        <v>614</v>
      </c>
      <c r="G65" s="22">
        <v>2026.87</v>
      </c>
      <c r="H65" s="15"/>
      <c r="I65" s="15">
        <v>3680</v>
      </c>
      <c r="K65" s="21">
        <v>4552</v>
      </c>
      <c r="L65" s="79">
        <v>37.5</v>
      </c>
      <c r="M65" s="80">
        <v>3004</v>
      </c>
      <c r="N65" s="43">
        <v>228.7</v>
      </c>
      <c r="O65" s="43">
        <v>5090</v>
      </c>
      <c r="P65" s="43">
        <v>180</v>
      </c>
      <c r="Q65" s="22">
        <v>320</v>
      </c>
      <c r="R65" s="80">
        <v>127.5</v>
      </c>
      <c r="S65" s="22">
        <v>100</v>
      </c>
      <c r="T65" s="27"/>
      <c r="U65" s="22">
        <v>4630</v>
      </c>
      <c r="V65" s="22">
        <v>533.5</v>
      </c>
      <c r="W65" s="22">
        <v>410</v>
      </c>
      <c r="X65" s="27">
        <v>55</v>
      </c>
    </row>
    <row r="66" spans="1:24" x14ac:dyDescent="0.3">
      <c r="A66" s="22"/>
      <c r="B66" s="22"/>
      <c r="C66" s="25"/>
      <c r="D66" s="22"/>
      <c r="E66" s="22"/>
      <c r="F66" s="22"/>
      <c r="G66" s="22"/>
      <c r="H66" s="15"/>
      <c r="I66" s="15">
        <v>560</v>
      </c>
      <c r="K66" s="21">
        <v>278</v>
      </c>
      <c r="L66" s="79"/>
      <c r="M66" s="84">
        <v>550</v>
      </c>
      <c r="N66" s="43"/>
      <c r="O66" s="43">
        <v>390</v>
      </c>
      <c r="P66" s="43"/>
      <c r="Q66" s="22"/>
      <c r="R66" s="84"/>
      <c r="S66" s="22"/>
      <c r="T66" s="27"/>
      <c r="U66" s="22">
        <v>350</v>
      </c>
      <c r="V66" s="22"/>
      <c r="W66" s="22">
        <v>3720</v>
      </c>
      <c r="X66" s="27"/>
    </row>
    <row r="67" spans="1:24" x14ac:dyDescent="0.3">
      <c r="A67" s="22"/>
      <c r="B67" s="22"/>
      <c r="C67" s="22"/>
      <c r="D67" s="22"/>
      <c r="E67" s="22"/>
      <c r="F67" s="22"/>
      <c r="G67" s="22"/>
      <c r="H67" s="15"/>
      <c r="I67" s="15">
        <v>5054</v>
      </c>
      <c r="K67" s="21"/>
      <c r="L67" s="8"/>
      <c r="M67" s="43"/>
      <c r="N67" s="43"/>
      <c r="O67" s="43"/>
      <c r="P67" s="43"/>
      <c r="Q67" s="22"/>
      <c r="R67" s="43"/>
      <c r="S67" s="22"/>
      <c r="T67" s="27"/>
      <c r="U67" s="22"/>
      <c r="V67" s="22"/>
      <c r="W67" s="22">
        <v>170</v>
      </c>
      <c r="X67" s="27"/>
    </row>
    <row r="68" spans="1:24" x14ac:dyDescent="0.3">
      <c r="A68" s="22"/>
      <c r="B68" s="22"/>
      <c r="C68" s="22"/>
      <c r="D68" s="22"/>
      <c r="E68" s="22"/>
      <c r="F68" s="22"/>
      <c r="G68" s="22"/>
      <c r="H68" s="15"/>
      <c r="I68" s="15">
        <v>5936</v>
      </c>
      <c r="K68" s="128"/>
      <c r="L68" s="79"/>
      <c r="M68" s="43"/>
      <c r="N68" s="43"/>
      <c r="O68" s="43"/>
      <c r="P68" s="43"/>
      <c r="Q68" s="22"/>
      <c r="R68" s="43"/>
      <c r="S68" s="22"/>
      <c r="T68" s="27"/>
      <c r="U68" s="22"/>
      <c r="V68" s="22"/>
      <c r="W68" s="22"/>
      <c r="X68" s="27"/>
    </row>
    <row r="69" spans="1:24" x14ac:dyDescent="0.3">
      <c r="A69" s="22"/>
      <c r="B69" s="22"/>
      <c r="C69" s="22"/>
      <c r="D69" s="22"/>
      <c r="E69" s="22"/>
      <c r="F69" s="22"/>
      <c r="G69" s="22"/>
      <c r="H69" s="160"/>
      <c r="I69" s="15">
        <v>1588.62</v>
      </c>
      <c r="K69" s="128"/>
      <c r="L69" s="79"/>
      <c r="M69" s="43"/>
      <c r="N69" s="43"/>
      <c r="O69" s="43"/>
      <c r="P69" s="43"/>
      <c r="Q69" s="22"/>
      <c r="R69" s="43"/>
      <c r="S69" s="22"/>
      <c r="T69" s="27"/>
      <c r="U69" s="22"/>
      <c r="V69" s="22"/>
      <c r="W69" s="22"/>
      <c r="X69" s="27"/>
    </row>
    <row r="70" spans="1:24" x14ac:dyDescent="0.3">
      <c r="A70" s="22"/>
      <c r="B70" s="22"/>
      <c r="C70" s="22"/>
      <c r="D70" s="22"/>
      <c r="E70" s="22"/>
      <c r="F70" s="22"/>
      <c r="G70" s="22"/>
      <c r="H70" s="65"/>
      <c r="I70" s="15">
        <v>5969.12</v>
      </c>
      <c r="K70" s="21"/>
      <c r="L70" s="79"/>
      <c r="M70" s="43"/>
      <c r="N70" s="43"/>
      <c r="O70" s="43"/>
      <c r="P70" s="43"/>
      <c r="Q70" s="22"/>
      <c r="R70" s="43"/>
      <c r="S70" s="22"/>
      <c r="T70" s="27"/>
      <c r="U70" s="22"/>
      <c r="V70" s="22"/>
      <c r="W70" s="22"/>
      <c r="X70" s="27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15">
        <v>5820.3</v>
      </c>
      <c r="K71" s="24"/>
      <c r="L71" s="56"/>
      <c r="M71" s="22"/>
      <c r="N71" s="22"/>
      <c r="O71" s="22"/>
      <c r="P71" s="22"/>
      <c r="Q71" s="22"/>
      <c r="R71" s="22"/>
      <c r="S71" s="22"/>
      <c r="T71" s="27"/>
      <c r="U71" s="22"/>
      <c r="V71" s="22"/>
      <c r="W71" s="22"/>
      <c r="X71" s="27"/>
    </row>
    <row r="72" spans="1:24" ht="15" thickBot="1" x14ac:dyDescent="0.35">
      <c r="A72" s="22"/>
      <c r="B72" s="22"/>
      <c r="C72" s="22"/>
      <c r="D72" s="22"/>
      <c r="E72" s="22"/>
      <c r="F72" s="22"/>
      <c r="G72" s="22"/>
      <c r="H72" s="37"/>
      <c r="I72" s="15"/>
      <c r="K72" s="24"/>
      <c r="L72" s="56"/>
      <c r="M72" s="22"/>
      <c r="N72" s="22"/>
      <c r="O72" s="22"/>
      <c r="P72" s="22"/>
      <c r="Q72" s="22"/>
      <c r="R72" s="22"/>
      <c r="S72" s="22"/>
      <c r="T72" s="27"/>
      <c r="U72" s="22"/>
      <c r="V72" s="22"/>
      <c r="W72" s="22"/>
      <c r="X72" s="27"/>
    </row>
    <row r="73" spans="1:24" ht="15.6" thickTop="1" thickBot="1" x14ac:dyDescent="0.35">
      <c r="A73" s="22"/>
      <c r="B73" s="22"/>
      <c r="C73" s="22"/>
      <c r="D73" s="22"/>
      <c r="E73" s="22"/>
      <c r="F73" s="22"/>
      <c r="G73" s="22"/>
      <c r="H73" s="37"/>
      <c r="I73" s="132">
        <f>SUM(I63:I72)</f>
        <v>32462.539999999997</v>
      </c>
      <c r="K73" s="24"/>
      <c r="L73" s="56"/>
      <c r="M73" s="22"/>
      <c r="N73" s="22"/>
      <c r="O73" s="22"/>
      <c r="P73" s="22"/>
      <c r="Q73" s="22"/>
      <c r="R73" s="22"/>
      <c r="S73" s="22"/>
      <c r="T73" s="27"/>
      <c r="U73" s="22"/>
      <c r="V73" s="22"/>
      <c r="W73" s="22"/>
      <c r="X73" s="27"/>
    </row>
    <row r="74" spans="1:24" ht="15" thickTop="1" x14ac:dyDescent="0.3">
      <c r="A74" s="22"/>
      <c r="B74" s="22"/>
      <c r="C74" s="22"/>
      <c r="D74" s="22"/>
      <c r="E74" s="22"/>
      <c r="F74" s="22"/>
      <c r="G74" s="22"/>
      <c r="H74" s="22"/>
      <c r="I74" s="40"/>
      <c r="K74" s="24"/>
      <c r="L74" s="56"/>
      <c r="M74" s="22"/>
      <c r="N74" s="22"/>
      <c r="O74" s="22"/>
      <c r="P74" s="22"/>
      <c r="Q74" s="22"/>
      <c r="R74" s="22"/>
      <c r="S74" s="22"/>
      <c r="T74" s="27"/>
      <c r="U74" s="22"/>
      <c r="V74" s="22"/>
      <c r="W74" s="22"/>
      <c r="X74" s="27"/>
    </row>
    <row r="75" spans="1:24" x14ac:dyDescent="0.3">
      <c r="A75" s="22"/>
      <c r="B75" s="22"/>
      <c r="C75" s="22"/>
      <c r="D75" s="22"/>
      <c r="E75" s="22"/>
      <c r="F75" s="22"/>
      <c r="G75" s="22"/>
      <c r="H75" s="22"/>
      <c r="I75" s="23"/>
      <c r="K75" s="24"/>
      <c r="L75" s="56"/>
      <c r="M75" s="22"/>
      <c r="N75" s="22"/>
      <c r="O75" s="22"/>
      <c r="P75" s="22"/>
      <c r="Q75" s="22"/>
      <c r="R75" s="22"/>
      <c r="S75" s="22"/>
      <c r="T75" s="27"/>
      <c r="U75" s="22"/>
      <c r="V75" s="22"/>
      <c r="W75" s="22"/>
      <c r="X75" s="27"/>
    </row>
    <row r="76" spans="1:24" x14ac:dyDescent="0.3">
      <c r="A76" s="22"/>
      <c r="B76" s="22"/>
      <c r="C76" s="22"/>
      <c r="D76" s="22"/>
      <c r="E76" s="22"/>
      <c r="F76" s="22"/>
      <c r="G76" s="22"/>
      <c r="H76" s="22"/>
      <c r="I76" s="23"/>
      <c r="K76" s="24"/>
      <c r="L76" s="56"/>
      <c r="M76" s="22"/>
      <c r="N76" s="22"/>
      <c r="O76" s="22"/>
      <c r="P76" s="22"/>
      <c r="Q76" s="22"/>
      <c r="R76" s="22"/>
      <c r="S76" s="22"/>
      <c r="T76" s="27"/>
      <c r="U76" s="22"/>
      <c r="V76" s="22"/>
      <c r="W76" s="22"/>
      <c r="X76" s="27"/>
    </row>
    <row r="77" spans="1:24" x14ac:dyDescent="0.3">
      <c r="A77" s="22"/>
      <c r="B77" s="22"/>
      <c r="C77" s="22"/>
      <c r="D77" s="22"/>
      <c r="E77" s="22"/>
      <c r="F77" s="22"/>
      <c r="G77" s="22"/>
      <c r="H77" s="22"/>
      <c r="I77" s="23"/>
      <c r="K77" s="24"/>
      <c r="L77" s="22"/>
      <c r="M77" s="22"/>
      <c r="N77" s="22"/>
      <c r="O77" s="22"/>
      <c r="P77" s="22"/>
      <c r="Q77" s="22"/>
      <c r="R77" s="22"/>
      <c r="S77" s="22"/>
      <c r="T77" s="27"/>
      <c r="U77" s="22"/>
      <c r="V77" s="22"/>
      <c r="W77" s="22"/>
      <c r="X77" s="27"/>
    </row>
    <row r="78" spans="1:24" ht="15" thickBot="1" x14ac:dyDescent="0.35">
      <c r="A78" s="133">
        <f t="shared" ref="A78:G78" si="37">SUM(A63:A77)</f>
        <v>3713.73</v>
      </c>
      <c r="B78" s="133">
        <f t="shared" si="37"/>
        <v>3383.95</v>
      </c>
      <c r="C78" s="133">
        <f t="shared" si="37"/>
        <v>3648.73</v>
      </c>
      <c r="D78" s="133">
        <f t="shared" si="37"/>
        <v>4027.61</v>
      </c>
      <c r="E78" s="133">
        <f t="shared" si="37"/>
        <v>335</v>
      </c>
      <c r="F78" s="133">
        <f t="shared" si="37"/>
        <v>3574.37</v>
      </c>
      <c r="G78" s="133">
        <f t="shared" si="37"/>
        <v>3351.87</v>
      </c>
      <c r="H78" s="149">
        <f>SUM(A78:G78)+I73</f>
        <v>54497.799999999996</v>
      </c>
      <c r="I78" s="150" t="s">
        <v>7</v>
      </c>
      <c r="K78" s="34">
        <f>SUM(K64:K77)</f>
        <v>5180</v>
      </c>
      <c r="L78" s="16">
        <f t="shared" ref="L78" si="38">SUM(L64:L77)</f>
        <v>1011.5</v>
      </c>
      <c r="M78" s="34">
        <f>SUM(M64:M77)</f>
        <v>3904</v>
      </c>
      <c r="N78" s="34">
        <f t="shared" ref="N78" si="39">SUM(N64:N77)</f>
        <v>1848.7</v>
      </c>
      <c r="O78" s="34">
        <f>SUM(O64:O77)</f>
        <v>5970</v>
      </c>
      <c r="P78" s="34">
        <f t="shared" ref="P78:X78" si="40">SUM(P64:P77)</f>
        <v>336</v>
      </c>
      <c r="Q78" s="34">
        <f t="shared" si="40"/>
        <v>2756</v>
      </c>
      <c r="R78" s="34">
        <f t="shared" si="40"/>
        <v>1177.5</v>
      </c>
      <c r="S78" s="34">
        <f t="shared" si="40"/>
        <v>944</v>
      </c>
      <c r="T78" s="16">
        <f t="shared" si="40"/>
        <v>15</v>
      </c>
      <c r="U78" s="34">
        <f t="shared" si="40"/>
        <v>5630</v>
      </c>
      <c r="V78" s="34">
        <f t="shared" si="40"/>
        <v>695.5</v>
      </c>
      <c r="W78" s="34">
        <f t="shared" si="40"/>
        <v>4550</v>
      </c>
      <c r="X78" s="16">
        <f t="shared" si="40"/>
        <v>1855</v>
      </c>
    </row>
    <row r="79" spans="1:24" ht="15.6" thickTop="1" thickBot="1" x14ac:dyDescent="0.35">
      <c r="A79" s="133">
        <v>3713.73</v>
      </c>
      <c r="B79" s="22">
        <v>3383.95</v>
      </c>
      <c r="C79" s="133">
        <v>3648.73</v>
      </c>
      <c r="D79" s="133">
        <v>4027.61</v>
      </c>
      <c r="E79" s="133">
        <v>335</v>
      </c>
      <c r="F79" s="133">
        <v>3574.37</v>
      </c>
      <c r="G79" s="133">
        <v>3351.87</v>
      </c>
      <c r="H79" s="149">
        <f>SUM(A79:G79)+I73</f>
        <v>54497.799999999996</v>
      </c>
      <c r="I79" s="151" t="s">
        <v>1</v>
      </c>
      <c r="K79" s="34">
        <v>5180</v>
      </c>
      <c r="L79" s="34">
        <v>1011.5</v>
      </c>
      <c r="M79" s="34">
        <v>3904</v>
      </c>
      <c r="N79" s="34">
        <v>1848.7</v>
      </c>
      <c r="O79" s="34">
        <f>2082+3888</f>
        <v>5970</v>
      </c>
      <c r="P79" s="34">
        <v>336</v>
      </c>
      <c r="Q79" s="34">
        <v>2756</v>
      </c>
      <c r="R79" s="34">
        <v>1177.5</v>
      </c>
      <c r="S79" s="34">
        <v>944</v>
      </c>
      <c r="T79" s="34">
        <v>15</v>
      </c>
      <c r="U79" s="34">
        <f>1912+3718</f>
        <v>5630</v>
      </c>
      <c r="V79" s="34">
        <v>695.5</v>
      </c>
      <c r="W79" s="34">
        <v>4504</v>
      </c>
      <c r="X79" s="34">
        <v>1855</v>
      </c>
    </row>
    <row r="80" spans="1:24" ht="15.6" thickTop="1" thickBot="1" x14ac:dyDescent="0.35">
      <c r="A80" s="63">
        <f t="shared" ref="A80:H80" si="41">A78-A79</f>
        <v>0</v>
      </c>
      <c r="B80" s="63">
        <f t="shared" si="41"/>
        <v>0</v>
      </c>
      <c r="C80" s="63">
        <f t="shared" si="41"/>
        <v>0</v>
      </c>
      <c r="D80" s="63">
        <f t="shared" si="41"/>
        <v>0</v>
      </c>
      <c r="E80" s="63">
        <f t="shared" si="41"/>
        <v>0</v>
      </c>
      <c r="F80" s="63">
        <f t="shared" si="41"/>
        <v>0</v>
      </c>
      <c r="G80" s="63">
        <f t="shared" si="41"/>
        <v>0</v>
      </c>
      <c r="H80" s="63">
        <f t="shared" si="41"/>
        <v>0</v>
      </c>
      <c r="I80" s="22"/>
      <c r="K80" s="152">
        <f>K78-K79</f>
        <v>0</v>
      </c>
      <c r="L80" s="152">
        <f t="shared" ref="L80" si="42">L78-L79</f>
        <v>0</v>
      </c>
      <c r="M80" s="152">
        <f>M79-M78</f>
        <v>0</v>
      </c>
      <c r="N80" s="152">
        <f t="shared" ref="N80" si="43">N78-N79</f>
        <v>0</v>
      </c>
      <c r="O80" s="152">
        <f>O79-O78</f>
        <v>0</v>
      </c>
      <c r="P80" s="152">
        <f t="shared" ref="P80:X80" si="44">P78-P79</f>
        <v>0</v>
      </c>
      <c r="Q80" s="152">
        <f t="shared" si="44"/>
        <v>0</v>
      </c>
      <c r="R80" s="152">
        <f t="shared" si="44"/>
        <v>0</v>
      </c>
      <c r="S80" s="152">
        <f t="shared" si="44"/>
        <v>0</v>
      </c>
      <c r="T80" s="146">
        <f t="shared" si="44"/>
        <v>0</v>
      </c>
      <c r="U80" s="152">
        <f t="shared" si="44"/>
        <v>0</v>
      </c>
      <c r="V80" s="152">
        <f t="shared" si="44"/>
        <v>0</v>
      </c>
      <c r="W80" s="152">
        <f t="shared" si="44"/>
        <v>46</v>
      </c>
      <c r="X80" s="146">
        <f t="shared" si="44"/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ADAE-D670-4DE6-8F3F-D2BF2C3F29C0}">
  <dimension ref="A1:Z441"/>
  <sheetViews>
    <sheetView topLeftCell="A414" zoomScaleNormal="100" workbookViewId="0">
      <selection activeCell="H448" sqref="H448"/>
    </sheetView>
  </sheetViews>
  <sheetFormatPr defaultRowHeight="14.4" x14ac:dyDescent="0.3"/>
  <cols>
    <col min="1" max="1" width="11.33203125" bestFit="1" customWidth="1"/>
    <col min="2" max="2" width="11" customWidth="1"/>
    <col min="3" max="3" width="11.6640625" customWidth="1"/>
    <col min="4" max="4" width="12.5546875" bestFit="1" customWidth="1"/>
    <col min="5" max="7" width="11.33203125" bestFit="1" customWidth="1"/>
    <col min="8" max="8" width="11.5546875" customWidth="1"/>
    <col min="9" max="9" width="12" customWidth="1"/>
    <col min="10" max="10" width="10" bestFit="1" customWidth="1"/>
    <col min="11" max="11" width="10.6640625" customWidth="1"/>
    <col min="12" max="12" width="10.33203125" customWidth="1"/>
    <col min="13" max="13" width="9.6640625" customWidth="1"/>
    <col min="14" max="14" width="11.88671875" customWidth="1"/>
    <col min="15" max="15" width="10" customWidth="1"/>
    <col min="16" max="16" width="11.109375" customWidth="1"/>
    <col min="17" max="17" width="10.88671875" customWidth="1"/>
    <col min="18" max="18" width="11.33203125" customWidth="1"/>
    <col min="19" max="19" width="12.44140625" customWidth="1"/>
    <col min="20" max="20" width="12.33203125" bestFit="1" customWidth="1"/>
    <col min="21" max="21" width="10.6640625" customWidth="1"/>
    <col min="22" max="22" width="11.88671875" customWidth="1"/>
    <col min="23" max="23" width="11.33203125" customWidth="1"/>
    <col min="24" max="24" width="12.33203125" bestFit="1" customWidth="1"/>
    <col min="27" max="27" width="12.33203125" bestFit="1" customWidth="1"/>
  </cols>
  <sheetData>
    <row r="1" spans="1:24" ht="15" thickBot="1" x14ac:dyDescent="0.35"/>
    <row r="2" spans="1:24" x14ac:dyDescent="0.3">
      <c r="A2" s="157">
        <v>45868</v>
      </c>
      <c r="B2" s="157">
        <f>A2+1</f>
        <v>45869</v>
      </c>
      <c r="C2" s="157">
        <f t="shared" ref="C2:G2" si="0">B2+1</f>
        <v>45870</v>
      </c>
      <c r="D2" s="157">
        <f t="shared" si="0"/>
        <v>45871</v>
      </c>
      <c r="E2" s="157">
        <f t="shared" si="0"/>
        <v>45872</v>
      </c>
      <c r="F2" s="157">
        <f t="shared" si="0"/>
        <v>45873</v>
      </c>
      <c r="G2" s="157">
        <f t="shared" si="0"/>
        <v>45874</v>
      </c>
      <c r="H2" s="157"/>
      <c r="I2" s="13" t="s">
        <v>8</v>
      </c>
      <c r="K2" s="59">
        <v>45868</v>
      </c>
      <c r="L2" s="59"/>
      <c r="M2" s="59">
        <f>K2+1</f>
        <v>45869</v>
      </c>
      <c r="N2" s="59"/>
      <c r="O2" s="59">
        <f t="shared" ref="O2" si="1">M2+1</f>
        <v>45870</v>
      </c>
      <c r="P2" s="59"/>
      <c r="Q2" s="59">
        <f t="shared" ref="Q2" si="2">O2+1</f>
        <v>45871</v>
      </c>
      <c r="R2" s="59"/>
      <c r="S2" s="59">
        <f t="shared" ref="S2" si="3">Q2+1</f>
        <v>45872</v>
      </c>
      <c r="T2" s="59"/>
      <c r="U2" s="59">
        <f t="shared" ref="U2" si="4">S2+1</f>
        <v>45873</v>
      </c>
      <c r="V2" s="59"/>
      <c r="W2" s="59">
        <f t="shared" ref="W2" si="5">U2+1</f>
        <v>45874</v>
      </c>
      <c r="X2" s="59"/>
    </row>
    <row r="3" spans="1:24" ht="15" thickBot="1" x14ac:dyDescent="0.35">
      <c r="A3" s="22">
        <v>410</v>
      </c>
      <c r="B3" s="22">
        <v>1125</v>
      </c>
      <c r="C3" s="22">
        <v>1978.95</v>
      </c>
      <c r="D3" s="22">
        <v>452</v>
      </c>
      <c r="E3" s="22">
        <v>240</v>
      </c>
      <c r="F3" s="22">
        <v>709</v>
      </c>
      <c r="G3" s="22">
        <v>515</v>
      </c>
      <c r="H3" s="15"/>
      <c r="I3" s="15">
        <v>780.66</v>
      </c>
      <c r="K3" s="124" t="s">
        <v>10</v>
      </c>
      <c r="L3" s="125" t="s">
        <v>11</v>
      </c>
      <c r="M3" s="126" t="s">
        <v>10</v>
      </c>
      <c r="N3" s="126" t="s">
        <v>11</v>
      </c>
      <c r="O3" s="126" t="s">
        <v>10</v>
      </c>
      <c r="P3" s="126" t="s">
        <v>11</v>
      </c>
      <c r="Q3" s="126" t="s">
        <v>10</v>
      </c>
      <c r="R3" s="126" t="s">
        <v>11</v>
      </c>
      <c r="S3" s="126" t="s">
        <v>10</v>
      </c>
      <c r="T3" s="126" t="s">
        <v>11</v>
      </c>
      <c r="U3" s="126" t="s">
        <v>10</v>
      </c>
      <c r="V3" s="126" t="s">
        <v>11</v>
      </c>
      <c r="W3" s="126" t="s">
        <v>10</v>
      </c>
      <c r="X3" s="143" t="s">
        <v>11</v>
      </c>
    </row>
    <row r="4" spans="1:24" x14ac:dyDescent="0.3">
      <c r="A4" s="22">
        <v>1355</v>
      </c>
      <c r="B4" s="22">
        <v>660</v>
      </c>
      <c r="C4" s="22">
        <v>1480</v>
      </c>
      <c r="D4" s="22">
        <v>945</v>
      </c>
      <c r="E4" s="22"/>
      <c r="F4" s="22">
        <v>2110</v>
      </c>
      <c r="G4" s="22">
        <v>2010</v>
      </c>
      <c r="H4" s="15"/>
      <c r="I4" s="15">
        <v>801</v>
      </c>
      <c r="K4" s="75">
        <v>490</v>
      </c>
      <c r="L4" s="76">
        <v>133</v>
      </c>
      <c r="M4" s="77">
        <v>490</v>
      </c>
      <c r="N4" s="77">
        <v>2665.4</v>
      </c>
      <c r="O4" s="77">
        <v>370</v>
      </c>
      <c r="P4" s="77">
        <v>180</v>
      </c>
      <c r="Q4" s="63">
        <v>360</v>
      </c>
      <c r="R4" s="77">
        <v>125.5</v>
      </c>
      <c r="S4" s="63">
        <v>84</v>
      </c>
      <c r="T4" s="40"/>
      <c r="U4" s="63">
        <v>190</v>
      </c>
      <c r="V4" s="63">
        <v>156</v>
      </c>
      <c r="W4" s="63">
        <v>250</v>
      </c>
      <c r="X4" s="77">
        <v>117.5</v>
      </c>
    </row>
    <row r="5" spans="1:24" x14ac:dyDescent="0.3">
      <c r="A5" s="22">
        <v>1718.73</v>
      </c>
      <c r="B5" s="22">
        <v>1458.51</v>
      </c>
      <c r="C5" s="44">
        <v>330</v>
      </c>
      <c r="D5" s="22">
        <v>1588.88</v>
      </c>
      <c r="E5" s="46"/>
      <c r="F5" s="22">
        <v>1862.49</v>
      </c>
      <c r="G5" s="22">
        <v>2122.71</v>
      </c>
      <c r="H5" s="15"/>
      <c r="I5" s="15">
        <v>848</v>
      </c>
      <c r="K5" s="21">
        <v>4282</v>
      </c>
      <c r="L5" s="79">
        <v>162.9</v>
      </c>
      <c r="M5" s="80">
        <v>3010</v>
      </c>
      <c r="N5" s="43">
        <v>50</v>
      </c>
      <c r="O5" s="43">
        <v>5064</v>
      </c>
      <c r="P5" s="43">
        <v>287.5</v>
      </c>
      <c r="Q5" s="22">
        <v>388</v>
      </c>
      <c r="R5" s="80">
        <v>1420</v>
      </c>
      <c r="S5" s="22">
        <v>100</v>
      </c>
      <c r="T5" s="27"/>
      <c r="U5" s="22">
        <v>266</v>
      </c>
      <c r="V5" s="22">
        <v>298.5</v>
      </c>
      <c r="W5" s="22">
        <v>410</v>
      </c>
      <c r="X5" s="43">
        <v>161.19999999999999</v>
      </c>
    </row>
    <row r="6" spans="1:24" x14ac:dyDescent="0.3">
      <c r="A6" s="22"/>
      <c r="B6" s="22"/>
      <c r="C6" s="41"/>
      <c r="D6" s="22"/>
      <c r="E6" s="22"/>
      <c r="F6" s="22"/>
      <c r="G6" s="22"/>
      <c r="H6" s="15"/>
      <c r="I6" s="15">
        <v>3248</v>
      </c>
      <c r="K6" s="21">
        <v>290</v>
      </c>
      <c r="L6" s="79"/>
      <c r="M6" s="84">
        <v>180</v>
      </c>
      <c r="N6" s="43"/>
      <c r="O6" s="43">
        <v>310</v>
      </c>
      <c r="P6" s="43"/>
      <c r="Q6" s="22">
        <v>2540</v>
      </c>
      <c r="R6" s="84"/>
      <c r="S6" s="22">
        <v>820</v>
      </c>
      <c r="T6" s="27"/>
      <c r="U6" s="22">
        <v>3860</v>
      </c>
      <c r="V6" s="22">
        <v>316</v>
      </c>
      <c r="W6" s="22">
        <v>3290</v>
      </c>
      <c r="X6" s="43"/>
    </row>
    <row r="7" spans="1:24" x14ac:dyDescent="0.3">
      <c r="A7" s="22"/>
      <c r="B7" s="22"/>
      <c r="C7" s="22"/>
      <c r="D7" s="22"/>
      <c r="E7" s="22"/>
      <c r="F7" s="22"/>
      <c r="G7" s="22"/>
      <c r="H7" s="15"/>
      <c r="I7" s="15">
        <v>3352</v>
      </c>
      <c r="K7" s="21"/>
      <c r="L7" s="8"/>
      <c r="M7" s="43"/>
      <c r="N7" s="43"/>
      <c r="O7" s="43"/>
      <c r="P7" s="43"/>
      <c r="Q7" s="22"/>
      <c r="R7" s="43"/>
      <c r="S7" s="22"/>
      <c r="T7" s="27"/>
      <c r="U7" s="22">
        <v>350</v>
      </c>
      <c r="V7" s="22">
        <v>1047</v>
      </c>
      <c r="W7" s="22">
        <v>370</v>
      </c>
      <c r="X7" s="43"/>
    </row>
    <row r="8" spans="1:24" x14ac:dyDescent="0.3">
      <c r="A8" s="22"/>
      <c r="B8" s="22"/>
      <c r="C8" s="22"/>
      <c r="D8" s="22"/>
      <c r="E8" s="22"/>
      <c r="F8" s="22"/>
      <c r="G8" s="22"/>
      <c r="H8" s="15"/>
      <c r="I8" s="15">
        <v>4919</v>
      </c>
      <c r="K8" s="128"/>
      <c r="L8" s="79"/>
      <c r="M8" s="43"/>
      <c r="N8" s="43"/>
      <c r="O8" s="43"/>
      <c r="P8" s="43"/>
      <c r="Q8" s="22"/>
      <c r="R8" s="43"/>
      <c r="S8" s="22"/>
      <c r="T8" s="27"/>
      <c r="U8" s="22"/>
      <c r="V8" s="22"/>
      <c r="W8" s="22"/>
      <c r="X8" s="43"/>
    </row>
    <row r="9" spans="1:24" x14ac:dyDescent="0.3">
      <c r="A9" s="22"/>
      <c r="B9" s="22"/>
      <c r="C9" s="22"/>
      <c r="D9" s="22"/>
      <c r="E9" s="22"/>
      <c r="F9" s="22"/>
      <c r="G9" s="22"/>
      <c r="H9" s="160"/>
      <c r="I9" s="15">
        <v>5820.3</v>
      </c>
      <c r="K9" s="128"/>
      <c r="L9" s="79"/>
      <c r="M9" s="43"/>
      <c r="N9" s="43"/>
      <c r="O9" s="43"/>
      <c r="P9" s="43"/>
      <c r="Q9" s="22"/>
      <c r="R9" s="43"/>
      <c r="S9" s="22"/>
      <c r="T9" s="27"/>
      <c r="U9" s="22"/>
      <c r="V9" s="22"/>
      <c r="W9" s="22"/>
      <c r="X9" s="43"/>
    </row>
    <row r="10" spans="1:24" x14ac:dyDescent="0.3">
      <c r="A10" s="22"/>
      <c r="B10" s="22"/>
      <c r="C10" s="22"/>
      <c r="D10" s="22"/>
      <c r="E10" s="22"/>
      <c r="F10" s="22"/>
      <c r="G10" s="22"/>
      <c r="H10" s="65"/>
      <c r="I10" s="15">
        <v>5956.09</v>
      </c>
      <c r="K10" s="21"/>
      <c r="L10" s="79"/>
      <c r="M10" s="43"/>
      <c r="N10" s="43"/>
      <c r="O10" s="43"/>
      <c r="P10" s="43"/>
      <c r="Q10" s="22"/>
      <c r="R10" s="43"/>
      <c r="S10" s="22"/>
      <c r="T10" s="27"/>
      <c r="U10" s="22"/>
      <c r="V10" s="22"/>
      <c r="W10" s="22"/>
      <c r="X10" s="43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15">
        <v>6254</v>
      </c>
      <c r="K11" s="24"/>
      <c r="L11" s="56"/>
      <c r="M11" s="22"/>
      <c r="N11" s="22"/>
      <c r="O11" s="22"/>
      <c r="P11" s="22"/>
      <c r="Q11" s="22"/>
      <c r="R11" s="22"/>
      <c r="S11" s="22"/>
      <c r="T11" s="27"/>
      <c r="U11" s="22"/>
      <c r="V11" s="22"/>
      <c r="W11" s="22"/>
      <c r="X11" s="22"/>
    </row>
    <row r="12" spans="1:24" ht="15" thickBot="1" x14ac:dyDescent="0.35">
      <c r="A12" s="22"/>
      <c r="B12" s="22"/>
      <c r="C12" s="22"/>
      <c r="D12" s="22"/>
      <c r="E12" s="22"/>
      <c r="F12" s="22"/>
      <c r="G12" s="22"/>
      <c r="H12" s="37"/>
      <c r="I12" s="15"/>
      <c r="K12" s="24"/>
      <c r="L12" s="56"/>
      <c r="M12" s="22"/>
      <c r="N12" s="22"/>
      <c r="O12" s="22"/>
      <c r="P12" s="22"/>
      <c r="Q12" s="22"/>
      <c r="R12" s="22"/>
      <c r="S12" s="22"/>
      <c r="T12" s="27"/>
      <c r="U12" s="22"/>
      <c r="V12" s="22"/>
      <c r="W12" s="22"/>
      <c r="X12" s="22"/>
    </row>
    <row r="13" spans="1:24" ht="15.6" thickTop="1" thickBot="1" x14ac:dyDescent="0.35">
      <c r="A13" s="22"/>
      <c r="B13" s="22"/>
      <c r="C13" s="22"/>
      <c r="D13" s="22"/>
      <c r="E13" s="22"/>
      <c r="F13" s="22"/>
      <c r="G13" s="22"/>
      <c r="H13" s="37"/>
      <c r="I13" s="132">
        <f>SUM(I3:I12)</f>
        <v>31979.05</v>
      </c>
      <c r="K13" s="24"/>
      <c r="L13" s="56"/>
      <c r="M13" s="22"/>
      <c r="N13" s="22"/>
      <c r="O13" s="22"/>
      <c r="P13" s="22"/>
      <c r="Q13" s="22"/>
      <c r="R13" s="22"/>
      <c r="S13" s="22"/>
      <c r="T13" s="27"/>
      <c r="U13" s="22"/>
      <c r="V13" s="22"/>
      <c r="W13" s="22"/>
      <c r="X13" s="22"/>
    </row>
    <row r="14" spans="1:24" ht="15" thickTop="1" x14ac:dyDescent="0.3">
      <c r="A14" s="22"/>
      <c r="B14" s="22"/>
      <c r="C14" s="22"/>
      <c r="D14" s="22"/>
      <c r="E14" s="22"/>
      <c r="F14" s="22"/>
      <c r="G14" s="22"/>
      <c r="H14" s="22"/>
      <c r="I14" s="40"/>
      <c r="K14" s="24"/>
      <c r="L14" s="56"/>
      <c r="M14" s="22"/>
      <c r="N14" s="22"/>
      <c r="O14" s="22"/>
      <c r="P14" s="22"/>
      <c r="Q14" s="22"/>
      <c r="R14" s="22"/>
      <c r="S14" s="22"/>
      <c r="T14" s="27"/>
      <c r="U14" s="22"/>
      <c r="V14" s="22"/>
      <c r="W14" s="22"/>
      <c r="X14" s="22"/>
    </row>
    <row r="15" spans="1:24" x14ac:dyDescent="0.3">
      <c r="A15" s="22"/>
      <c r="B15" s="22"/>
      <c r="C15" s="22"/>
      <c r="D15" s="22"/>
      <c r="E15" s="22"/>
      <c r="F15" s="22"/>
      <c r="G15" s="22"/>
      <c r="H15" s="22"/>
      <c r="I15" s="27"/>
      <c r="K15" s="24"/>
      <c r="L15" s="56"/>
      <c r="M15" s="22"/>
      <c r="N15" s="22"/>
      <c r="O15" s="22"/>
      <c r="P15" s="22"/>
      <c r="Q15" s="22"/>
      <c r="R15" s="22"/>
      <c r="S15" s="22"/>
      <c r="T15" s="27"/>
      <c r="U15" s="22"/>
      <c r="V15" s="22"/>
      <c r="W15" s="22"/>
      <c r="X15" s="22"/>
    </row>
    <row r="16" spans="1:24" x14ac:dyDescent="0.3">
      <c r="A16" s="22"/>
      <c r="B16" s="22"/>
      <c r="C16" s="22"/>
      <c r="D16" s="22"/>
      <c r="E16" s="22"/>
      <c r="F16" s="22"/>
      <c r="G16" s="22"/>
      <c r="H16" s="22"/>
      <c r="I16" s="27"/>
      <c r="K16" s="24"/>
      <c r="L16" s="56"/>
      <c r="M16" s="22"/>
      <c r="N16" s="22"/>
      <c r="O16" s="22"/>
      <c r="P16" s="22"/>
      <c r="Q16" s="22"/>
      <c r="R16" s="22"/>
      <c r="S16" s="22"/>
      <c r="T16" s="27"/>
      <c r="U16" s="22"/>
      <c r="V16" s="22"/>
      <c r="W16" s="22"/>
      <c r="X16" s="22"/>
    </row>
    <row r="17" spans="1:24" x14ac:dyDescent="0.3">
      <c r="A17" s="22"/>
      <c r="B17" s="22"/>
      <c r="C17" s="22"/>
      <c r="D17" s="22"/>
      <c r="E17" s="22"/>
      <c r="F17" s="22"/>
      <c r="G17" s="22"/>
      <c r="H17" s="22"/>
      <c r="I17" s="27"/>
      <c r="K17" s="24"/>
      <c r="L17" s="22"/>
      <c r="M17" s="22"/>
      <c r="N17" s="22"/>
      <c r="O17" s="22"/>
      <c r="P17" s="22"/>
      <c r="Q17" s="22"/>
      <c r="R17" s="22"/>
      <c r="S17" s="22"/>
      <c r="T17" s="27"/>
      <c r="U17" s="22"/>
      <c r="V17" s="22"/>
      <c r="W17" s="22"/>
      <c r="X17" s="22"/>
    </row>
    <row r="18" spans="1:24" ht="15" thickBot="1" x14ac:dyDescent="0.35">
      <c r="A18" s="133">
        <f>SUM(A3:A17)</f>
        <v>3483.73</v>
      </c>
      <c r="B18" s="133">
        <f>SUM(B3:B17)</f>
        <v>3243.51</v>
      </c>
      <c r="C18" s="133">
        <f t="shared" ref="C18:G18" si="6">SUM(C3:C17)</f>
        <v>3788.95</v>
      </c>
      <c r="D18" s="133">
        <f t="shared" si="6"/>
        <v>2985.88</v>
      </c>
      <c r="E18" s="133">
        <f t="shared" si="6"/>
        <v>240</v>
      </c>
      <c r="F18" s="133">
        <f t="shared" si="6"/>
        <v>4681.49</v>
      </c>
      <c r="G18" s="133">
        <f t="shared" si="6"/>
        <v>4647.71</v>
      </c>
      <c r="H18" s="149">
        <f>SUM(A18:G18)+I13</f>
        <v>55050.319999999992</v>
      </c>
      <c r="I18" s="150" t="s">
        <v>7</v>
      </c>
      <c r="K18" s="34">
        <f>SUM(K4:K17)</f>
        <v>5062</v>
      </c>
      <c r="L18" s="16">
        <f t="shared" ref="L18" si="7">SUM(L4:L17)</f>
        <v>295.89999999999998</v>
      </c>
      <c r="M18" s="34">
        <f>SUM(M4:M17)</f>
        <v>3680</v>
      </c>
      <c r="N18" s="34">
        <f t="shared" ref="N18" si="8">SUM(N4:N17)</f>
        <v>2715.4</v>
      </c>
      <c r="O18" s="34">
        <f>SUM(O4:O17)</f>
        <v>5744</v>
      </c>
      <c r="P18" s="34">
        <f t="shared" ref="P18:X18" si="9">SUM(P4:P17)</f>
        <v>467.5</v>
      </c>
      <c r="Q18" s="34">
        <f t="shared" si="9"/>
        <v>3288</v>
      </c>
      <c r="R18" s="34">
        <f t="shared" si="9"/>
        <v>1545.5</v>
      </c>
      <c r="S18" s="34">
        <f t="shared" si="9"/>
        <v>1004</v>
      </c>
      <c r="T18" s="16">
        <f t="shared" si="9"/>
        <v>0</v>
      </c>
      <c r="U18" s="34">
        <f t="shared" si="9"/>
        <v>4666</v>
      </c>
      <c r="V18" s="34">
        <f t="shared" si="9"/>
        <v>1817.5</v>
      </c>
      <c r="W18" s="34">
        <f t="shared" si="9"/>
        <v>4320</v>
      </c>
      <c r="X18" s="34">
        <f t="shared" si="9"/>
        <v>278.7</v>
      </c>
    </row>
    <row r="19" spans="1:24" ht="15.6" thickTop="1" thickBot="1" x14ac:dyDescent="0.35">
      <c r="A19" s="133">
        <v>3483.73</v>
      </c>
      <c r="B19" s="22">
        <v>3243.51</v>
      </c>
      <c r="C19" s="133">
        <v>3788.95</v>
      </c>
      <c r="D19" s="133">
        <v>2985.88</v>
      </c>
      <c r="E19" s="133">
        <v>240</v>
      </c>
      <c r="F19" s="133">
        <v>4681.49</v>
      </c>
      <c r="G19" s="133">
        <v>4647.71</v>
      </c>
      <c r="H19" s="149">
        <f>SUM(A19:G19)+I13</f>
        <v>55050.319999999992</v>
      </c>
      <c r="I19" s="151" t="s">
        <v>1</v>
      </c>
      <c r="K19" s="34">
        <v>5062</v>
      </c>
      <c r="L19" s="34">
        <v>295.89999999999998</v>
      </c>
      <c r="M19" s="34">
        <f>2138+1542</f>
        <v>3680</v>
      </c>
      <c r="N19" s="34">
        <f>7.5+2707.9</f>
        <v>2715.4</v>
      </c>
      <c r="O19" s="34">
        <v>5744</v>
      </c>
      <c r="P19" s="34">
        <f>30+437.5</f>
        <v>467.5</v>
      </c>
      <c r="Q19" s="34">
        <v>3288</v>
      </c>
      <c r="R19" s="34">
        <v>1545.5</v>
      </c>
      <c r="S19" s="34">
        <v>1004</v>
      </c>
      <c r="T19" s="34">
        <v>0</v>
      </c>
      <c r="U19" s="34">
        <v>4666</v>
      </c>
      <c r="V19" s="34">
        <v>1832.5</v>
      </c>
      <c r="W19" s="34">
        <v>4320</v>
      </c>
      <c r="X19" s="34">
        <v>278.7</v>
      </c>
    </row>
    <row r="20" spans="1:24" ht="15.6" thickTop="1" thickBot="1" x14ac:dyDescent="0.35">
      <c r="A20" s="63">
        <f t="shared" ref="A20:H20" si="10">A18-A19</f>
        <v>0</v>
      </c>
      <c r="B20" s="63">
        <f t="shared" si="10"/>
        <v>0</v>
      </c>
      <c r="C20" s="63">
        <f t="shared" si="10"/>
        <v>0</v>
      </c>
      <c r="D20" s="63">
        <f t="shared" si="10"/>
        <v>0</v>
      </c>
      <c r="E20" s="63">
        <f t="shared" si="10"/>
        <v>0</v>
      </c>
      <c r="F20" s="63">
        <f t="shared" si="10"/>
        <v>0</v>
      </c>
      <c r="G20" s="63">
        <f t="shared" si="10"/>
        <v>0</v>
      </c>
      <c r="H20" s="63">
        <f t="shared" si="10"/>
        <v>0</v>
      </c>
      <c r="I20" s="22"/>
      <c r="K20" s="152">
        <f>K18-K19</f>
        <v>0</v>
      </c>
      <c r="L20" s="152">
        <f t="shared" ref="L20" si="11">L18-L19</f>
        <v>0</v>
      </c>
      <c r="M20" s="152">
        <f>M19-M18</f>
        <v>0</v>
      </c>
      <c r="N20" s="152">
        <f t="shared" ref="N20" si="12">N18-N19</f>
        <v>0</v>
      </c>
      <c r="O20" s="152">
        <f>O19-O18</f>
        <v>0</v>
      </c>
      <c r="P20" s="152">
        <f t="shared" ref="P20:X20" si="13">P18-P19</f>
        <v>0</v>
      </c>
      <c r="Q20" s="152">
        <f t="shared" si="13"/>
        <v>0</v>
      </c>
      <c r="R20" s="152">
        <f t="shared" si="13"/>
        <v>0</v>
      </c>
      <c r="S20" s="152">
        <f t="shared" si="13"/>
        <v>0</v>
      </c>
      <c r="T20" s="146">
        <f t="shared" si="13"/>
        <v>0</v>
      </c>
      <c r="U20" s="152">
        <f t="shared" si="13"/>
        <v>0</v>
      </c>
      <c r="V20" s="152">
        <f t="shared" si="13"/>
        <v>-15</v>
      </c>
      <c r="W20" s="152">
        <f t="shared" si="13"/>
        <v>0</v>
      </c>
      <c r="X20" s="152">
        <f t="shared" si="13"/>
        <v>0</v>
      </c>
    </row>
    <row r="21" spans="1:24" ht="15" thickBot="1" x14ac:dyDescent="0.35"/>
    <row r="22" spans="1:24" x14ac:dyDescent="0.3">
      <c r="A22" s="157">
        <v>45875</v>
      </c>
      <c r="B22" s="157">
        <f>A22+1</f>
        <v>45876</v>
      </c>
      <c r="C22" s="157">
        <f t="shared" ref="C22" si="14">B22+1</f>
        <v>45877</v>
      </c>
      <c r="D22" s="157">
        <f t="shared" ref="D22" si="15">C22+1</f>
        <v>45878</v>
      </c>
      <c r="E22" s="157">
        <f t="shared" ref="E22" si="16">D22+1</f>
        <v>45879</v>
      </c>
      <c r="F22" s="157">
        <f t="shared" ref="F22" si="17">E22+1</f>
        <v>45880</v>
      </c>
      <c r="G22" s="157">
        <f t="shared" ref="G22" si="18">F22+1</f>
        <v>45881</v>
      </c>
      <c r="H22" s="157"/>
      <c r="I22" s="13" t="s">
        <v>8</v>
      </c>
      <c r="K22" s="59">
        <v>45875</v>
      </c>
      <c r="L22" s="59"/>
      <c r="M22" s="59">
        <f>K22+1</f>
        <v>45876</v>
      </c>
      <c r="N22" s="59"/>
      <c r="O22" s="59">
        <f t="shared" ref="O22" si="19">M22+1</f>
        <v>45877</v>
      </c>
      <c r="P22" s="59"/>
      <c r="Q22" s="59">
        <f t="shared" ref="Q22" si="20">O22+1</f>
        <v>45878</v>
      </c>
      <c r="R22" s="59"/>
      <c r="S22" s="59">
        <f t="shared" ref="S22" si="21">Q22+1</f>
        <v>45879</v>
      </c>
      <c r="T22" s="59"/>
      <c r="U22" s="59">
        <f t="shared" ref="U22" si="22">S22+1</f>
        <v>45880</v>
      </c>
      <c r="V22" s="59"/>
      <c r="W22" s="59">
        <f t="shared" ref="W22" si="23">U22+1</f>
        <v>45881</v>
      </c>
      <c r="X22" s="59"/>
    </row>
    <row r="23" spans="1:24" ht="15" thickBot="1" x14ac:dyDescent="0.35">
      <c r="A23" s="22">
        <v>425</v>
      </c>
      <c r="B23" s="22">
        <v>1978.95</v>
      </c>
      <c r="C23" s="22">
        <v>360</v>
      </c>
      <c r="D23" s="22">
        <v>590</v>
      </c>
      <c r="E23" s="22">
        <v>215</v>
      </c>
      <c r="F23" s="22">
        <v>2170.63</v>
      </c>
      <c r="G23" s="22">
        <v>615</v>
      </c>
      <c r="H23" s="15"/>
      <c r="I23" s="15">
        <v>984</v>
      </c>
      <c r="K23" s="124" t="s">
        <v>10</v>
      </c>
      <c r="L23" s="125" t="s">
        <v>11</v>
      </c>
      <c r="M23" s="126" t="s">
        <v>10</v>
      </c>
      <c r="N23" s="126" t="s">
        <v>11</v>
      </c>
      <c r="O23" s="126" t="s">
        <v>10</v>
      </c>
      <c r="P23" s="126" t="s">
        <v>11</v>
      </c>
      <c r="Q23" s="126" t="s">
        <v>10</v>
      </c>
      <c r="R23" s="126" t="s">
        <v>11</v>
      </c>
      <c r="S23" s="126" t="s">
        <v>10</v>
      </c>
      <c r="T23" s="126" t="s">
        <v>11</v>
      </c>
      <c r="U23" s="126" t="s">
        <v>10</v>
      </c>
      <c r="V23" s="126" t="s">
        <v>11</v>
      </c>
      <c r="W23" s="126" t="s">
        <v>10</v>
      </c>
      <c r="X23" s="143" t="s">
        <v>11</v>
      </c>
    </row>
    <row r="24" spans="1:24" x14ac:dyDescent="0.3">
      <c r="A24" s="22">
        <v>1795</v>
      </c>
      <c r="B24" s="22">
        <f>1460+120</f>
        <v>1580</v>
      </c>
      <c r="C24" s="22">
        <v>1835</v>
      </c>
      <c r="D24" s="22">
        <v>1170</v>
      </c>
      <c r="E24" s="22">
        <v>120</v>
      </c>
      <c r="F24" s="22">
        <v>2094</v>
      </c>
      <c r="G24" s="22">
        <v>1285</v>
      </c>
      <c r="H24" s="15"/>
      <c r="I24" s="15">
        <v>1696</v>
      </c>
      <c r="K24" s="75">
        <v>380</v>
      </c>
      <c r="L24" s="76">
        <v>104</v>
      </c>
      <c r="M24" s="77">
        <v>210</v>
      </c>
      <c r="N24" s="77">
        <v>50</v>
      </c>
      <c r="O24" s="77">
        <v>290</v>
      </c>
      <c r="P24" s="77">
        <v>57.5</v>
      </c>
      <c r="Q24" s="77">
        <v>250</v>
      </c>
      <c r="R24" s="77">
        <v>28</v>
      </c>
      <c r="S24" s="77">
        <v>84</v>
      </c>
      <c r="T24" s="40">
        <v>15</v>
      </c>
      <c r="U24" s="77">
        <v>630</v>
      </c>
      <c r="V24" s="63">
        <v>17.5</v>
      </c>
      <c r="W24" s="77">
        <v>160</v>
      </c>
      <c r="X24" s="77">
        <v>24</v>
      </c>
    </row>
    <row r="25" spans="1:24" x14ac:dyDescent="0.3">
      <c r="A25" s="22">
        <v>2300.7399999999998</v>
      </c>
      <c r="B25" s="44">
        <v>570</v>
      </c>
      <c r="C25" s="22">
        <v>2074.79</v>
      </c>
      <c r="D25" s="22">
        <v>2205.16</v>
      </c>
      <c r="E25" s="46"/>
      <c r="F25" s="22">
        <v>455</v>
      </c>
      <c r="G25" s="22">
        <v>2360.63</v>
      </c>
      <c r="H25" s="15"/>
      <c r="I25" s="15">
        <v>3348</v>
      </c>
      <c r="K25" s="21">
        <v>298</v>
      </c>
      <c r="L25" s="79">
        <v>57.5</v>
      </c>
      <c r="M25" s="43">
        <v>2380</v>
      </c>
      <c r="N25" s="43">
        <v>132</v>
      </c>
      <c r="O25" s="43">
        <v>344</v>
      </c>
      <c r="P25" s="43">
        <v>156</v>
      </c>
      <c r="Q25" s="43">
        <v>164</v>
      </c>
      <c r="R25" s="80">
        <v>57.5</v>
      </c>
      <c r="S25" s="43">
        <v>840</v>
      </c>
      <c r="T25" s="27"/>
      <c r="U25" s="43">
        <v>4210</v>
      </c>
      <c r="V25" s="22">
        <v>452.3</v>
      </c>
      <c r="W25" s="43">
        <v>338</v>
      </c>
      <c r="X25" s="43">
        <v>50</v>
      </c>
    </row>
    <row r="26" spans="1:24" x14ac:dyDescent="0.3">
      <c r="A26" s="22"/>
      <c r="B26" s="41"/>
      <c r="C26" s="22"/>
      <c r="D26" s="22"/>
      <c r="E26" s="22"/>
      <c r="F26" s="22"/>
      <c r="G26" s="22"/>
      <c r="H26" s="15"/>
      <c r="I26" s="15">
        <v>4666</v>
      </c>
      <c r="K26" s="21">
        <v>4510</v>
      </c>
      <c r="L26" s="79">
        <v>25.3</v>
      </c>
      <c r="M26" s="43">
        <v>280</v>
      </c>
      <c r="N26" s="43"/>
      <c r="O26" s="43">
        <v>4340</v>
      </c>
      <c r="P26" s="43">
        <v>60</v>
      </c>
      <c r="Q26" s="43">
        <v>1850</v>
      </c>
      <c r="R26" s="84">
        <v>1320</v>
      </c>
      <c r="S26" s="43"/>
      <c r="T26" s="27"/>
      <c r="U26" s="43">
        <v>356</v>
      </c>
      <c r="V26" s="22">
        <v>193.5</v>
      </c>
      <c r="W26" s="43">
        <v>3110</v>
      </c>
      <c r="X26" s="43">
        <v>70</v>
      </c>
    </row>
    <row r="27" spans="1:24" x14ac:dyDescent="0.3">
      <c r="A27" s="22"/>
      <c r="B27" s="22"/>
      <c r="C27" s="22"/>
      <c r="D27" s="22"/>
      <c r="E27" s="22"/>
      <c r="F27" s="22"/>
      <c r="G27" s="22"/>
      <c r="H27" s="15"/>
      <c r="I27" s="15">
        <v>5820.3</v>
      </c>
      <c r="K27" s="21">
        <v>300</v>
      </c>
      <c r="L27" s="8"/>
      <c r="M27" s="43">
        <v>380</v>
      </c>
      <c r="N27" s="43"/>
      <c r="O27" s="43">
        <v>370</v>
      </c>
      <c r="P27" s="43"/>
      <c r="Q27" s="43"/>
      <c r="R27" s="43"/>
      <c r="S27" s="43"/>
      <c r="T27" s="27"/>
      <c r="U27" s="43">
        <v>250</v>
      </c>
      <c r="V27" s="22"/>
      <c r="W27" s="43">
        <v>210</v>
      </c>
      <c r="X27" s="43">
        <v>426</v>
      </c>
    </row>
    <row r="28" spans="1:24" x14ac:dyDescent="0.3">
      <c r="A28" s="22"/>
      <c r="B28" s="22"/>
      <c r="C28" s="22"/>
      <c r="D28" s="22"/>
      <c r="E28" s="22"/>
      <c r="F28" s="22"/>
      <c r="G28" s="22"/>
      <c r="H28" s="15"/>
      <c r="I28" s="15">
        <v>6341.04</v>
      </c>
      <c r="K28" s="128"/>
      <c r="L28" s="79"/>
      <c r="M28" s="43"/>
      <c r="N28" s="43"/>
      <c r="O28" s="43"/>
      <c r="P28" s="43"/>
      <c r="Q28" s="43"/>
      <c r="R28" s="43"/>
      <c r="S28" s="43"/>
      <c r="T28" s="27"/>
      <c r="U28" s="43"/>
      <c r="V28" s="22"/>
      <c r="W28" s="43"/>
      <c r="X28" s="43"/>
    </row>
    <row r="29" spans="1:24" x14ac:dyDescent="0.3">
      <c r="A29" s="22"/>
      <c r="B29" s="22"/>
      <c r="C29" s="22"/>
      <c r="D29" s="22"/>
      <c r="E29" s="22"/>
      <c r="F29" s="22"/>
      <c r="G29" s="22"/>
      <c r="H29" s="160"/>
      <c r="I29" s="15">
        <v>1600</v>
      </c>
      <c r="K29" s="128"/>
      <c r="L29" s="79"/>
      <c r="M29" s="43"/>
      <c r="N29" s="43"/>
      <c r="O29" s="43"/>
      <c r="P29" s="43"/>
      <c r="Q29" s="43"/>
      <c r="R29" s="43"/>
      <c r="S29" s="43"/>
      <c r="T29" s="27"/>
      <c r="U29" s="43"/>
      <c r="V29" s="22"/>
      <c r="W29" s="43"/>
      <c r="X29" s="43"/>
    </row>
    <row r="30" spans="1:24" x14ac:dyDescent="0.3">
      <c r="A30" s="22"/>
      <c r="B30" s="22"/>
      <c r="C30" s="22"/>
      <c r="D30" s="22"/>
      <c r="E30" s="22"/>
      <c r="F30" s="22"/>
      <c r="G30" s="22"/>
      <c r="H30" s="65"/>
      <c r="I30" s="15">
        <v>6360</v>
      </c>
      <c r="K30" s="21"/>
      <c r="L30" s="79"/>
      <c r="M30" s="43"/>
      <c r="N30" s="43"/>
      <c r="O30" s="43"/>
      <c r="P30" s="43"/>
      <c r="Q30" s="43"/>
      <c r="R30" s="43"/>
      <c r="S30" s="43"/>
      <c r="T30" s="27"/>
      <c r="U30" s="43"/>
      <c r="V30" s="22"/>
      <c r="W30" s="43"/>
      <c r="X30" s="43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15"/>
      <c r="K31" s="24"/>
      <c r="L31" s="56"/>
      <c r="M31" s="22"/>
      <c r="N31" s="22"/>
      <c r="O31" s="22"/>
      <c r="P31" s="22"/>
      <c r="Q31" s="22"/>
      <c r="R31" s="22"/>
      <c r="S31" s="22"/>
      <c r="T31" s="27"/>
      <c r="U31" s="22"/>
      <c r="V31" s="22"/>
      <c r="W31" s="22"/>
      <c r="X31" s="22"/>
    </row>
    <row r="32" spans="1:24" ht="15" thickBot="1" x14ac:dyDescent="0.35">
      <c r="A32" s="22"/>
      <c r="B32" s="22"/>
      <c r="C32" s="22"/>
      <c r="D32" s="22"/>
      <c r="E32" s="22"/>
      <c r="F32" s="22"/>
      <c r="G32" s="22"/>
      <c r="H32" s="37"/>
      <c r="I32" s="15"/>
      <c r="K32" s="24"/>
      <c r="L32" s="56"/>
      <c r="M32" s="22"/>
      <c r="N32" s="22"/>
      <c r="O32" s="22"/>
      <c r="P32" s="22"/>
      <c r="Q32" s="22"/>
      <c r="R32" s="22"/>
      <c r="S32" s="22"/>
      <c r="T32" s="27"/>
      <c r="U32" s="22"/>
      <c r="V32" s="22"/>
      <c r="W32" s="22"/>
      <c r="X32" s="22"/>
    </row>
    <row r="33" spans="1:24" ht="15.6" thickTop="1" thickBot="1" x14ac:dyDescent="0.35">
      <c r="A33" s="22"/>
      <c r="B33" s="22"/>
      <c r="C33" s="22"/>
      <c r="D33" s="22"/>
      <c r="E33" s="22"/>
      <c r="F33" s="22"/>
      <c r="G33" s="22"/>
      <c r="H33" s="37"/>
      <c r="I33" s="132">
        <f>SUM(I23:I32)</f>
        <v>30815.34</v>
      </c>
      <c r="K33" s="24"/>
      <c r="L33" s="56"/>
      <c r="M33" s="22"/>
      <c r="N33" s="22"/>
      <c r="O33" s="22"/>
      <c r="P33" s="22"/>
      <c r="Q33" s="22"/>
      <c r="R33" s="22"/>
      <c r="S33" s="22"/>
      <c r="T33" s="27"/>
      <c r="U33" s="22"/>
      <c r="V33" s="22"/>
      <c r="W33" s="22"/>
      <c r="X33" s="22"/>
    </row>
    <row r="34" spans="1:24" ht="15" thickTop="1" x14ac:dyDescent="0.3">
      <c r="A34" s="22"/>
      <c r="B34" s="22"/>
      <c r="C34" s="22"/>
      <c r="D34" s="22"/>
      <c r="E34" s="22"/>
      <c r="F34" s="22"/>
      <c r="G34" s="22"/>
      <c r="H34" s="22"/>
      <c r="I34" s="40"/>
      <c r="K34" s="24"/>
      <c r="L34" s="56"/>
      <c r="M34" s="22"/>
      <c r="N34" s="22"/>
      <c r="O34" s="22"/>
      <c r="P34" s="22"/>
      <c r="Q34" s="22"/>
      <c r="R34" s="22"/>
      <c r="S34" s="22"/>
      <c r="T34" s="27"/>
      <c r="U34" s="22"/>
      <c r="V34" s="22"/>
      <c r="W34" s="22"/>
      <c r="X34" s="22"/>
    </row>
    <row r="35" spans="1:24" x14ac:dyDescent="0.3">
      <c r="A35" s="22"/>
      <c r="B35" s="22"/>
      <c r="C35" s="22"/>
      <c r="D35" s="22"/>
      <c r="E35" s="22"/>
      <c r="F35" s="22"/>
      <c r="G35" s="22"/>
      <c r="H35" s="22"/>
      <c r="I35" s="27"/>
      <c r="K35" s="24"/>
      <c r="L35" s="56"/>
      <c r="M35" s="22"/>
      <c r="N35" s="22"/>
      <c r="O35" s="22"/>
      <c r="P35" s="22"/>
      <c r="Q35" s="22"/>
      <c r="R35" s="22"/>
      <c r="S35" s="22"/>
      <c r="T35" s="27"/>
      <c r="U35" s="22"/>
      <c r="V35" s="22"/>
      <c r="W35" s="22"/>
      <c r="X35" s="22"/>
    </row>
    <row r="36" spans="1:24" x14ac:dyDescent="0.3">
      <c r="A36" s="22"/>
      <c r="B36" s="22"/>
      <c r="C36" s="22"/>
      <c r="D36" s="22"/>
      <c r="E36" s="22"/>
      <c r="F36" s="22"/>
      <c r="G36" s="22"/>
      <c r="H36" s="22"/>
      <c r="I36" s="27"/>
      <c r="K36" s="24"/>
      <c r="L36" s="56"/>
      <c r="M36" s="22"/>
      <c r="N36" s="22"/>
      <c r="O36" s="22"/>
      <c r="P36" s="22"/>
      <c r="Q36" s="22"/>
      <c r="R36" s="22"/>
      <c r="S36" s="22"/>
      <c r="T36" s="27"/>
      <c r="U36" s="22"/>
      <c r="V36" s="22"/>
      <c r="W36" s="22"/>
      <c r="X36" s="22"/>
    </row>
    <row r="37" spans="1:24" x14ac:dyDescent="0.3">
      <c r="A37" s="22"/>
      <c r="B37" s="22"/>
      <c r="C37" s="22"/>
      <c r="D37" s="22"/>
      <c r="E37" s="22"/>
      <c r="F37" s="22"/>
      <c r="G37" s="22"/>
      <c r="H37" s="22"/>
      <c r="I37" s="27"/>
      <c r="K37" s="24"/>
      <c r="L37" s="22"/>
      <c r="M37" s="22"/>
      <c r="N37" s="22"/>
      <c r="O37" s="22"/>
      <c r="P37" s="22"/>
      <c r="Q37" s="22"/>
      <c r="R37" s="22"/>
      <c r="S37" s="22"/>
      <c r="T37" s="27"/>
      <c r="U37" s="22"/>
      <c r="V37" s="22"/>
      <c r="W37" s="22"/>
      <c r="X37" s="22"/>
    </row>
    <row r="38" spans="1:24" ht="15" thickBot="1" x14ac:dyDescent="0.35">
      <c r="A38" s="140">
        <f t="shared" ref="A38:G38" si="24">SUM(A23:A37)</f>
        <v>4520.74</v>
      </c>
      <c r="B38" s="140">
        <f t="shared" si="24"/>
        <v>4128.95</v>
      </c>
      <c r="C38" s="162">
        <f t="shared" si="24"/>
        <v>4269.79</v>
      </c>
      <c r="D38" s="140">
        <f t="shared" si="24"/>
        <v>3965.16</v>
      </c>
      <c r="E38" s="140">
        <f t="shared" si="24"/>
        <v>335</v>
      </c>
      <c r="F38" s="140">
        <f t="shared" si="24"/>
        <v>4719.63</v>
      </c>
      <c r="G38" s="140">
        <f t="shared" si="24"/>
        <v>4260.63</v>
      </c>
      <c r="H38" s="149">
        <f>SUM(A38:G38)+I33</f>
        <v>57015.240000000005</v>
      </c>
      <c r="I38" s="150" t="s">
        <v>7</v>
      </c>
      <c r="K38" s="34">
        <f>SUM(K24:K37)</f>
        <v>5488</v>
      </c>
      <c r="L38" s="16">
        <f t="shared" ref="L38" si="25">SUM(L24:L37)</f>
        <v>186.8</v>
      </c>
      <c r="M38" s="34">
        <f>SUM(M24:M37)</f>
        <v>3250</v>
      </c>
      <c r="N38" s="34">
        <f t="shared" ref="N38" si="26">SUM(N24:N37)</f>
        <v>182</v>
      </c>
      <c r="O38" s="34">
        <f>SUM(O24:O37)</f>
        <v>5344</v>
      </c>
      <c r="P38" s="34">
        <f t="shared" ref="P38:X38" si="27">SUM(P24:P37)</f>
        <v>273.5</v>
      </c>
      <c r="Q38" s="34">
        <f>SUM(Q24:Q37)</f>
        <v>2264</v>
      </c>
      <c r="R38" s="34">
        <f t="shared" si="27"/>
        <v>1405.5</v>
      </c>
      <c r="S38" s="34">
        <f>SUM(S24:S37)</f>
        <v>924</v>
      </c>
      <c r="T38" s="16">
        <f t="shared" si="27"/>
        <v>15</v>
      </c>
      <c r="U38" s="34">
        <f>SUM(U24:U37)</f>
        <v>5446</v>
      </c>
      <c r="V38" s="34">
        <f t="shared" si="27"/>
        <v>663.3</v>
      </c>
      <c r="W38" s="34">
        <f>SUM(W24:W37)</f>
        <v>3818</v>
      </c>
      <c r="X38" s="34">
        <f t="shared" si="27"/>
        <v>570</v>
      </c>
    </row>
    <row r="39" spans="1:24" ht="15" thickBot="1" x14ac:dyDescent="0.35">
      <c r="A39" s="63">
        <v>4520.74</v>
      </c>
      <c r="B39" s="161">
        <v>4128.95</v>
      </c>
      <c r="C39" s="61">
        <v>4269.79</v>
      </c>
      <c r="D39" s="63">
        <v>3965.16</v>
      </c>
      <c r="E39" s="63">
        <v>335</v>
      </c>
      <c r="F39" s="63">
        <v>4719.63</v>
      </c>
      <c r="G39" s="63">
        <v>4260.63</v>
      </c>
      <c r="H39" s="149">
        <f>SUM(A39:G39)+I33</f>
        <v>57015.240000000005</v>
      </c>
      <c r="I39" s="151" t="s">
        <v>1</v>
      </c>
      <c r="K39" s="34">
        <v>5488</v>
      </c>
      <c r="L39" s="34">
        <v>186.8</v>
      </c>
      <c r="M39" s="34">
        <v>3250</v>
      </c>
      <c r="N39" s="34">
        <v>182</v>
      </c>
      <c r="O39" s="34">
        <v>5344</v>
      </c>
      <c r="P39" s="34">
        <v>299.5</v>
      </c>
      <c r="Q39" s="34">
        <v>2264</v>
      </c>
      <c r="R39" s="34">
        <v>1405.5</v>
      </c>
      <c r="S39" s="34">
        <v>924</v>
      </c>
      <c r="T39" s="34">
        <v>15</v>
      </c>
      <c r="U39" s="34">
        <f>1614+3832</f>
        <v>5446</v>
      </c>
      <c r="V39" s="34">
        <f>469.8+193.5</f>
        <v>663.3</v>
      </c>
      <c r="W39" s="34">
        <v>3818</v>
      </c>
      <c r="X39" s="34">
        <v>570</v>
      </c>
    </row>
    <row r="40" spans="1:24" ht="15.6" thickTop="1" thickBot="1" x14ac:dyDescent="0.35">
      <c r="A40" s="63">
        <f t="shared" ref="A40" si="28">A38-A39</f>
        <v>0</v>
      </c>
      <c r="B40" s="63">
        <f t="shared" ref="B40:D40" si="29">B38-B39</f>
        <v>0</v>
      </c>
      <c r="C40" s="63">
        <f t="shared" si="29"/>
        <v>0</v>
      </c>
      <c r="D40" s="63">
        <f t="shared" si="29"/>
        <v>0</v>
      </c>
      <c r="E40" s="63">
        <f t="shared" ref="E40:H40" si="30">E38-E39</f>
        <v>0</v>
      </c>
      <c r="F40" s="63">
        <f t="shared" si="30"/>
        <v>0</v>
      </c>
      <c r="G40" s="63">
        <f t="shared" si="30"/>
        <v>0</v>
      </c>
      <c r="H40" s="63">
        <f t="shared" si="30"/>
        <v>0</v>
      </c>
      <c r="I40" s="22"/>
      <c r="K40" s="152">
        <f>K38-K39</f>
        <v>0</v>
      </c>
      <c r="L40" s="152">
        <f t="shared" ref="L40" si="31">L38-L39</f>
        <v>0</v>
      </c>
      <c r="M40" s="152">
        <f>M39-M38</f>
        <v>0</v>
      </c>
      <c r="N40" s="152">
        <v>0</v>
      </c>
      <c r="O40" s="152">
        <f>O39-O38</f>
        <v>0</v>
      </c>
      <c r="P40" s="152">
        <f t="shared" ref="P40:X40" si="32">P38-P39</f>
        <v>-26</v>
      </c>
      <c r="Q40" s="152">
        <f>Q39-Q38</f>
        <v>0</v>
      </c>
      <c r="R40" s="152">
        <f t="shared" si="32"/>
        <v>0</v>
      </c>
      <c r="S40" s="152">
        <f>S39-S38</f>
        <v>0</v>
      </c>
      <c r="T40" s="146">
        <f t="shared" si="32"/>
        <v>0</v>
      </c>
      <c r="U40" s="152">
        <f>U39-U38</f>
        <v>0</v>
      </c>
      <c r="V40" s="152">
        <f t="shared" si="32"/>
        <v>0</v>
      </c>
      <c r="W40" s="152">
        <f>W39-W38</f>
        <v>0</v>
      </c>
      <c r="X40" s="152">
        <f t="shared" si="32"/>
        <v>0</v>
      </c>
    </row>
    <row r="41" spans="1:24" ht="15" thickBot="1" x14ac:dyDescent="0.35"/>
    <row r="42" spans="1:24" x14ac:dyDescent="0.3">
      <c r="A42" s="157">
        <v>45882</v>
      </c>
      <c r="B42" s="157">
        <f>A42+1</f>
        <v>45883</v>
      </c>
      <c r="C42" s="157">
        <f t="shared" ref="C42" si="33">B42+1</f>
        <v>45884</v>
      </c>
      <c r="D42" s="157">
        <f t="shared" ref="D42" si="34">C42+1</f>
        <v>45885</v>
      </c>
      <c r="E42" s="157">
        <f t="shared" ref="E42" si="35">D42+1</f>
        <v>45886</v>
      </c>
      <c r="F42" s="157">
        <f t="shared" ref="F42" si="36">E42+1</f>
        <v>45887</v>
      </c>
      <c r="G42" s="157">
        <f t="shared" ref="G42" si="37">F42+1</f>
        <v>45888</v>
      </c>
      <c r="H42" s="157"/>
      <c r="I42" s="13" t="s">
        <v>8</v>
      </c>
      <c r="K42" s="59">
        <v>45882</v>
      </c>
      <c r="L42" s="59"/>
      <c r="M42" s="59">
        <f>K42+1</f>
        <v>45883</v>
      </c>
      <c r="N42" s="59"/>
      <c r="O42" s="59">
        <f t="shared" ref="O42" si="38">M42+1</f>
        <v>45884</v>
      </c>
      <c r="P42" s="59"/>
      <c r="Q42" s="59">
        <f t="shared" ref="Q42" si="39">O42+1</f>
        <v>45885</v>
      </c>
      <c r="R42" s="59"/>
      <c r="S42" s="59">
        <f t="shared" ref="S42" si="40">Q42+1</f>
        <v>45886</v>
      </c>
      <c r="T42" s="59"/>
      <c r="U42" s="59">
        <f t="shared" ref="U42" si="41">S42+1</f>
        <v>45887</v>
      </c>
      <c r="V42" s="59"/>
      <c r="W42" s="59">
        <f t="shared" ref="W42" si="42">U42+1</f>
        <v>45888</v>
      </c>
      <c r="X42" s="59"/>
    </row>
    <row r="43" spans="1:24" ht="15" thickBot="1" x14ac:dyDescent="0.35">
      <c r="A43" s="22">
        <v>485</v>
      </c>
      <c r="B43" s="22">
        <v>717</v>
      </c>
      <c r="C43" s="22">
        <v>360</v>
      </c>
      <c r="D43" s="22">
        <v>617</v>
      </c>
      <c r="E43" s="22">
        <v>167</v>
      </c>
      <c r="F43" s="22">
        <v>594</v>
      </c>
      <c r="G43" s="22">
        <v>506</v>
      </c>
      <c r="H43" s="15"/>
      <c r="I43" s="15">
        <v>5936</v>
      </c>
      <c r="K43" s="124" t="s">
        <v>10</v>
      </c>
      <c r="L43" s="125" t="s">
        <v>11</v>
      </c>
      <c r="M43" s="126" t="s">
        <v>10</v>
      </c>
      <c r="N43" s="126" t="s">
        <v>11</v>
      </c>
      <c r="O43" s="126" t="s">
        <v>10</v>
      </c>
      <c r="P43" s="126" t="s">
        <v>11</v>
      </c>
      <c r="Q43" s="126" t="s">
        <v>10</v>
      </c>
      <c r="R43" s="126" t="s">
        <v>11</v>
      </c>
      <c r="S43" s="126" t="s">
        <v>10</v>
      </c>
      <c r="T43" s="126" t="s">
        <v>11</v>
      </c>
      <c r="U43" s="126" t="s">
        <v>10</v>
      </c>
      <c r="V43" s="126" t="s">
        <v>11</v>
      </c>
      <c r="W43" s="126" t="s">
        <v>10</v>
      </c>
      <c r="X43" s="143" t="s">
        <v>11</v>
      </c>
    </row>
    <row r="44" spans="1:24" x14ac:dyDescent="0.3">
      <c r="A44" s="22">
        <v>2010</v>
      </c>
      <c r="B44" s="22">
        <v>1270</v>
      </c>
      <c r="C44" s="22">
        <v>2100</v>
      </c>
      <c r="D44" s="22">
        <v>810</v>
      </c>
      <c r="E44" s="22">
        <v>405</v>
      </c>
      <c r="F44" s="22">
        <v>2045</v>
      </c>
      <c r="G44" s="22">
        <v>1615</v>
      </c>
      <c r="H44" s="15"/>
      <c r="I44" s="15">
        <v>1037</v>
      </c>
      <c r="K44" s="75">
        <v>190</v>
      </c>
      <c r="L44" s="76">
        <v>82.5</v>
      </c>
      <c r="M44" s="77">
        <v>390</v>
      </c>
      <c r="N44" s="77">
        <v>328</v>
      </c>
      <c r="O44" s="77">
        <v>350</v>
      </c>
      <c r="P44" s="77">
        <v>42.5</v>
      </c>
      <c r="Q44" s="77">
        <v>220</v>
      </c>
      <c r="R44" s="77">
        <v>30</v>
      </c>
      <c r="S44" s="77">
        <v>84</v>
      </c>
      <c r="T44" s="40">
        <v>15</v>
      </c>
      <c r="U44" s="77">
        <v>480</v>
      </c>
      <c r="V44" s="63">
        <v>45</v>
      </c>
      <c r="W44" s="77">
        <v>260</v>
      </c>
      <c r="X44" s="77">
        <v>108</v>
      </c>
    </row>
    <row r="45" spans="1:24" x14ac:dyDescent="0.3">
      <c r="A45" s="22">
        <v>2170.63</v>
      </c>
      <c r="B45" s="44">
        <v>2074.79</v>
      </c>
      <c r="C45" s="22">
        <v>2074.79</v>
      </c>
      <c r="D45" s="22">
        <v>2398</v>
      </c>
      <c r="E45" s="46"/>
      <c r="F45" s="22">
        <v>1848.84</v>
      </c>
      <c r="G45" s="22">
        <v>1908.73</v>
      </c>
      <c r="H45" s="15"/>
      <c r="I45" s="15">
        <v>3442</v>
      </c>
      <c r="K45" s="21">
        <v>298</v>
      </c>
      <c r="L45" s="79">
        <v>360</v>
      </c>
      <c r="M45" s="43">
        <v>254</v>
      </c>
      <c r="N45" s="43">
        <v>90</v>
      </c>
      <c r="O45" s="43">
        <v>344</v>
      </c>
      <c r="P45" s="43">
        <v>156</v>
      </c>
      <c r="Q45" s="43">
        <v>168</v>
      </c>
      <c r="R45" s="80">
        <v>80.5</v>
      </c>
      <c r="S45" s="43">
        <v>710</v>
      </c>
      <c r="T45" s="27"/>
      <c r="U45" s="43">
        <v>202</v>
      </c>
      <c r="V45" s="22">
        <v>156</v>
      </c>
      <c r="W45" s="43">
        <v>286</v>
      </c>
      <c r="X45" s="43"/>
    </row>
    <row r="46" spans="1:24" x14ac:dyDescent="0.3">
      <c r="A46" s="22"/>
      <c r="B46" s="41"/>
      <c r="C46" s="22"/>
      <c r="D46" s="22"/>
      <c r="E46" s="22"/>
      <c r="F46" s="22"/>
      <c r="G46" s="22"/>
      <c r="H46" s="15"/>
      <c r="I46" s="15">
        <v>1940</v>
      </c>
      <c r="K46" s="21">
        <v>3670</v>
      </c>
      <c r="L46" s="79">
        <v>130</v>
      </c>
      <c r="M46" s="43">
        <v>2480</v>
      </c>
      <c r="N46" s="43">
        <v>1860</v>
      </c>
      <c r="O46" s="43">
        <v>4160</v>
      </c>
      <c r="P46" s="43"/>
      <c r="Q46" s="43">
        <v>1500</v>
      </c>
      <c r="R46" s="84">
        <v>56</v>
      </c>
      <c r="S46" s="43"/>
      <c r="T46" s="27"/>
      <c r="U46" s="43">
        <v>3670</v>
      </c>
      <c r="V46" s="22"/>
      <c r="W46" s="43">
        <v>2390</v>
      </c>
      <c r="X46" s="43"/>
    </row>
    <row r="47" spans="1:24" x14ac:dyDescent="0.3">
      <c r="A47" s="22"/>
      <c r="B47" s="22"/>
      <c r="C47" s="22"/>
      <c r="D47" s="22"/>
      <c r="E47" s="22"/>
      <c r="F47" s="22"/>
      <c r="G47" s="22"/>
      <c r="H47" s="15"/>
      <c r="I47" s="15">
        <v>260.22000000000003</v>
      </c>
      <c r="K47" s="21">
        <v>490</v>
      </c>
      <c r="L47" s="8"/>
      <c r="M47" s="43">
        <v>630</v>
      </c>
      <c r="N47" s="43"/>
      <c r="O47" s="43">
        <v>490</v>
      </c>
      <c r="P47" s="43"/>
      <c r="Q47" s="43">
        <v>280</v>
      </c>
      <c r="R47" s="43">
        <v>1350</v>
      </c>
      <c r="S47" s="43"/>
      <c r="T47" s="27"/>
      <c r="U47" s="43">
        <v>420</v>
      </c>
      <c r="V47" s="22"/>
      <c r="W47" s="43">
        <v>220</v>
      </c>
      <c r="X47" s="43"/>
    </row>
    <row r="48" spans="1:24" x14ac:dyDescent="0.3">
      <c r="A48" s="22"/>
      <c r="B48" s="22"/>
      <c r="C48" s="22"/>
      <c r="D48" s="22"/>
      <c r="E48" s="22"/>
      <c r="F48" s="22"/>
      <c r="G48" s="22"/>
      <c r="H48" s="15"/>
      <c r="I48" s="15">
        <v>4959</v>
      </c>
      <c r="K48" s="128"/>
      <c r="L48" s="79"/>
      <c r="M48" s="43"/>
      <c r="N48" s="43"/>
      <c r="O48" s="43"/>
      <c r="P48" s="43"/>
      <c r="Q48" s="43"/>
      <c r="R48" s="43"/>
      <c r="S48" s="43"/>
      <c r="T48" s="27"/>
      <c r="U48" s="43"/>
      <c r="V48" s="22"/>
      <c r="W48" s="43"/>
      <c r="X48" s="43"/>
    </row>
    <row r="49" spans="1:24" x14ac:dyDescent="0.3">
      <c r="A49" s="22"/>
      <c r="B49" s="22"/>
      <c r="C49" s="22"/>
      <c r="D49" s="22"/>
      <c r="E49" s="22"/>
      <c r="F49" s="22"/>
      <c r="G49" s="22"/>
      <c r="H49" s="160"/>
      <c r="I49" s="15">
        <v>5956.09</v>
      </c>
      <c r="K49" s="128"/>
      <c r="L49" s="79"/>
      <c r="M49" s="43"/>
      <c r="N49" s="43"/>
      <c r="O49" s="43"/>
      <c r="P49" s="43"/>
      <c r="Q49" s="43"/>
      <c r="R49" s="43"/>
      <c r="S49" s="43"/>
      <c r="T49" s="27"/>
      <c r="U49" s="43"/>
      <c r="V49" s="22"/>
      <c r="W49" s="43"/>
      <c r="X49" s="43"/>
    </row>
    <row r="50" spans="1:24" x14ac:dyDescent="0.3">
      <c r="A50" s="22"/>
      <c r="B50" s="22"/>
      <c r="C50" s="22"/>
      <c r="D50" s="22"/>
      <c r="E50" s="22"/>
      <c r="F50" s="22"/>
      <c r="G50" s="22"/>
      <c r="H50" s="65"/>
      <c r="I50" s="15">
        <v>5820.3</v>
      </c>
      <c r="K50" s="21"/>
      <c r="L50" s="79"/>
      <c r="M50" s="43"/>
      <c r="N50" s="43"/>
      <c r="O50" s="43"/>
      <c r="P50" s="43"/>
      <c r="Q50" s="43"/>
      <c r="R50" s="43"/>
      <c r="S50" s="43"/>
      <c r="T50" s="27"/>
      <c r="U50" s="43"/>
      <c r="V50" s="22"/>
      <c r="W50" s="43"/>
      <c r="X50" s="43"/>
    </row>
    <row r="51" spans="1:24" x14ac:dyDescent="0.3">
      <c r="A51" s="22"/>
      <c r="B51" s="22"/>
      <c r="C51" s="22"/>
      <c r="D51" s="22"/>
      <c r="E51" s="22"/>
      <c r="F51" s="22"/>
      <c r="G51" s="22"/>
      <c r="H51" s="37"/>
      <c r="I51" s="15"/>
      <c r="K51" s="24"/>
      <c r="L51" s="56"/>
      <c r="M51" s="22"/>
      <c r="N51" s="22"/>
      <c r="O51" s="22"/>
      <c r="P51" s="22"/>
      <c r="Q51" s="22"/>
      <c r="R51" s="22"/>
      <c r="S51" s="22"/>
      <c r="T51" s="27"/>
      <c r="U51" s="22"/>
      <c r="V51" s="22"/>
      <c r="W51" s="22"/>
      <c r="X51" s="22"/>
    </row>
    <row r="52" spans="1:24" ht="15" thickBot="1" x14ac:dyDescent="0.35">
      <c r="A52" s="22"/>
      <c r="B52" s="22"/>
      <c r="C52" s="22"/>
      <c r="D52" s="22"/>
      <c r="E52" s="22"/>
      <c r="F52" s="22"/>
      <c r="G52" s="22"/>
      <c r="H52" s="37"/>
      <c r="I52" s="15"/>
      <c r="K52" s="24"/>
      <c r="L52" s="56"/>
      <c r="M52" s="22"/>
      <c r="N52" s="22"/>
      <c r="O52" s="22"/>
      <c r="P52" s="22"/>
      <c r="Q52" s="22"/>
      <c r="R52" s="22"/>
      <c r="S52" s="22"/>
      <c r="T52" s="27"/>
      <c r="U52" s="22"/>
      <c r="V52" s="22"/>
      <c r="W52" s="22"/>
      <c r="X52" s="22"/>
    </row>
    <row r="53" spans="1:24" ht="15.6" thickTop="1" thickBot="1" x14ac:dyDescent="0.35">
      <c r="A53" s="22"/>
      <c r="B53" s="22"/>
      <c r="C53" s="22"/>
      <c r="D53" s="22"/>
      <c r="E53" s="22"/>
      <c r="F53" s="22"/>
      <c r="G53" s="22"/>
      <c r="H53" s="37"/>
      <c r="I53" s="132">
        <f>SUM(I43:I52)</f>
        <v>29350.61</v>
      </c>
      <c r="K53" s="24"/>
      <c r="L53" s="56"/>
      <c r="M53" s="22"/>
      <c r="N53" s="22"/>
      <c r="O53" s="22"/>
      <c r="P53" s="22"/>
      <c r="Q53" s="22"/>
      <c r="R53" s="22"/>
      <c r="S53" s="22"/>
      <c r="T53" s="27"/>
      <c r="U53" s="22"/>
      <c r="V53" s="22"/>
      <c r="W53" s="22"/>
      <c r="X53" s="22"/>
    </row>
    <row r="54" spans="1:24" ht="15" thickTop="1" x14ac:dyDescent="0.3">
      <c r="A54" s="22"/>
      <c r="B54" s="22"/>
      <c r="C54" s="22"/>
      <c r="D54" s="22"/>
      <c r="E54" s="22"/>
      <c r="F54" s="22"/>
      <c r="G54" s="22"/>
      <c r="H54" s="22"/>
      <c r="I54" s="40"/>
      <c r="K54" s="24"/>
      <c r="L54" s="56"/>
      <c r="M54" s="22"/>
      <c r="N54" s="22"/>
      <c r="O54" s="22"/>
      <c r="P54" s="22"/>
      <c r="Q54" s="22"/>
      <c r="R54" s="22"/>
      <c r="S54" s="22"/>
      <c r="T54" s="27"/>
      <c r="U54" s="22"/>
      <c r="V54" s="22"/>
      <c r="W54" s="22"/>
      <c r="X54" s="22"/>
    </row>
    <row r="55" spans="1:24" x14ac:dyDescent="0.3">
      <c r="A55" s="22"/>
      <c r="B55" s="22"/>
      <c r="C55" s="22"/>
      <c r="D55" s="22"/>
      <c r="E55" s="22"/>
      <c r="F55" s="22"/>
      <c r="G55" s="22"/>
      <c r="H55" s="22"/>
      <c r="I55" s="27"/>
      <c r="K55" s="24"/>
      <c r="L55" s="56"/>
      <c r="M55" s="22"/>
      <c r="N55" s="22"/>
      <c r="O55" s="22"/>
      <c r="P55" s="22"/>
      <c r="Q55" s="22"/>
      <c r="R55" s="22"/>
      <c r="S55" s="22"/>
      <c r="T55" s="27"/>
      <c r="U55" s="22"/>
      <c r="V55" s="22"/>
      <c r="W55" s="22"/>
      <c r="X55" s="22"/>
    </row>
    <row r="56" spans="1:24" x14ac:dyDescent="0.3">
      <c r="A56" s="22"/>
      <c r="B56" s="22"/>
      <c r="C56" s="22"/>
      <c r="D56" s="22"/>
      <c r="E56" s="22"/>
      <c r="F56" s="22"/>
      <c r="G56" s="22"/>
      <c r="H56" s="22"/>
      <c r="I56" s="27"/>
      <c r="K56" s="24"/>
      <c r="L56" s="56"/>
      <c r="M56" s="22"/>
      <c r="N56" s="22"/>
      <c r="O56" s="22"/>
      <c r="P56" s="22"/>
      <c r="Q56" s="22"/>
      <c r="R56" s="22"/>
      <c r="S56" s="22"/>
      <c r="T56" s="27"/>
      <c r="U56" s="22"/>
      <c r="V56" s="22"/>
      <c r="W56" s="22"/>
      <c r="X56" s="22"/>
    </row>
    <row r="57" spans="1:24" x14ac:dyDescent="0.3">
      <c r="A57" s="22"/>
      <c r="B57" s="22"/>
      <c r="C57" s="22"/>
      <c r="D57" s="22"/>
      <c r="E57" s="22"/>
      <c r="F57" s="22"/>
      <c r="G57" s="22"/>
      <c r="H57" s="22"/>
      <c r="I57" s="27"/>
      <c r="K57" s="24"/>
      <c r="L57" s="22"/>
      <c r="M57" s="22"/>
      <c r="N57" s="22"/>
      <c r="O57" s="22"/>
      <c r="P57" s="22"/>
      <c r="Q57" s="22"/>
      <c r="R57" s="22"/>
      <c r="S57" s="22"/>
      <c r="T57" s="27"/>
      <c r="U57" s="22"/>
      <c r="V57" s="22"/>
      <c r="W57" s="22"/>
      <c r="X57" s="22"/>
    </row>
    <row r="58" spans="1:24" ht="15" thickBot="1" x14ac:dyDescent="0.35">
      <c r="A58" s="140">
        <f t="shared" ref="A58" si="43">SUM(A43:A57)</f>
        <v>4665.63</v>
      </c>
      <c r="B58" s="140">
        <f t="shared" ref="B58:G58" si="44">SUM(B43:B57)</f>
        <v>4061.79</v>
      </c>
      <c r="C58" s="140">
        <f t="shared" si="44"/>
        <v>4534.79</v>
      </c>
      <c r="D58" s="140">
        <f t="shared" si="44"/>
        <v>3825</v>
      </c>
      <c r="E58" s="140">
        <f t="shared" si="44"/>
        <v>572</v>
      </c>
      <c r="F58" s="140">
        <f t="shared" si="44"/>
        <v>4487.84</v>
      </c>
      <c r="G58" s="140">
        <f t="shared" si="44"/>
        <v>4029.73</v>
      </c>
      <c r="H58" s="149">
        <f>SUM(A58:G58)+I53</f>
        <v>55527.39</v>
      </c>
      <c r="I58" s="150" t="s">
        <v>7</v>
      </c>
      <c r="K58" s="34">
        <f>SUM(K44:K57)</f>
        <v>4648</v>
      </c>
      <c r="L58" s="34">
        <f t="shared" ref="L58:X58" si="45">SUM(L44:L57)</f>
        <v>572.5</v>
      </c>
      <c r="M58" s="34">
        <f t="shared" si="45"/>
        <v>3754</v>
      </c>
      <c r="N58" s="34">
        <f t="shared" si="45"/>
        <v>2278</v>
      </c>
      <c r="O58" s="34">
        <f t="shared" si="45"/>
        <v>5344</v>
      </c>
      <c r="P58" s="34">
        <f t="shared" si="45"/>
        <v>198.5</v>
      </c>
      <c r="Q58" s="34">
        <f t="shared" si="45"/>
        <v>2168</v>
      </c>
      <c r="R58" s="34">
        <f t="shared" si="45"/>
        <v>1516.5</v>
      </c>
      <c r="S58" s="34">
        <f t="shared" si="45"/>
        <v>794</v>
      </c>
      <c r="T58" s="34">
        <f t="shared" si="45"/>
        <v>15</v>
      </c>
      <c r="U58" s="34">
        <f t="shared" si="45"/>
        <v>4772</v>
      </c>
      <c r="V58" s="34">
        <f t="shared" si="45"/>
        <v>201</v>
      </c>
      <c r="W58" s="34">
        <f t="shared" si="45"/>
        <v>3156</v>
      </c>
      <c r="X58" s="34">
        <f t="shared" si="45"/>
        <v>108</v>
      </c>
    </row>
    <row r="59" spans="1:24" ht="15" thickBot="1" x14ac:dyDescent="0.35">
      <c r="A59" s="140">
        <v>4665.63</v>
      </c>
      <c r="B59" s="140">
        <v>4061.79</v>
      </c>
      <c r="C59" s="140">
        <v>4534.79</v>
      </c>
      <c r="D59" s="140">
        <v>3825</v>
      </c>
      <c r="E59" s="140">
        <v>572</v>
      </c>
      <c r="F59" s="140">
        <v>4487.84</v>
      </c>
      <c r="G59" s="140">
        <v>4029.73</v>
      </c>
      <c r="H59" s="149">
        <f>SUM(A59:G59)+I53</f>
        <v>55527.39</v>
      </c>
      <c r="I59" s="151" t="s">
        <v>1</v>
      </c>
      <c r="K59" s="34">
        <v>4648</v>
      </c>
      <c r="L59" s="34">
        <v>572.5</v>
      </c>
      <c r="M59" s="34">
        <v>3754</v>
      </c>
      <c r="N59" s="34">
        <v>2259</v>
      </c>
      <c r="O59" s="34">
        <v>5344</v>
      </c>
      <c r="P59" s="34">
        <v>198.5</v>
      </c>
      <c r="Q59" s="34">
        <v>2168</v>
      </c>
      <c r="R59" s="34">
        <v>1516.5</v>
      </c>
      <c r="S59" s="34">
        <v>794</v>
      </c>
      <c r="T59" s="34">
        <v>15</v>
      </c>
      <c r="U59" s="34">
        <v>4772</v>
      </c>
      <c r="V59" s="34">
        <v>201</v>
      </c>
      <c r="W59" s="34">
        <v>3156</v>
      </c>
      <c r="X59" s="34">
        <v>108</v>
      </c>
    </row>
    <row r="60" spans="1:24" ht="15" thickBot="1" x14ac:dyDescent="0.35">
      <c r="A60" s="63">
        <f t="shared" ref="A60:H60" si="46">A58-A59</f>
        <v>0</v>
      </c>
      <c r="B60" s="63">
        <f t="shared" si="46"/>
        <v>0</v>
      </c>
      <c r="C60" s="63">
        <f t="shared" si="46"/>
        <v>0</v>
      </c>
      <c r="D60" s="63">
        <f t="shared" si="46"/>
        <v>0</v>
      </c>
      <c r="E60" s="63">
        <f t="shared" si="46"/>
        <v>0</v>
      </c>
      <c r="F60" s="63">
        <f t="shared" si="46"/>
        <v>0</v>
      </c>
      <c r="G60" s="63">
        <f t="shared" si="46"/>
        <v>0</v>
      </c>
      <c r="H60" s="63">
        <f t="shared" si="46"/>
        <v>0</v>
      </c>
      <c r="I60" s="22"/>
      <c r="K60" s="152">
        <f>K58-K59</f>
        <v>0</v>
      </c>
      <c r="L60" s="152">
        <f t="shared" ref="L60" si="47">L58-L59</f>
        <v>0</v>
      </c>
      <c r="M60" s="152">
        <f>M59-M58</f>
        <v>0</v>
      </c>
      <c r="N60" s="152">
        <v>0</v>
      </c>
      <c r="O60" s="152">
        <f>O59-O58</f>
        <v>0</v>
      </c>
      <c r="P60" s="152">
        <f t="shared" ref="P60" si="48">P58-P59</f>
        <v>0</v>
      </c>
      <c r="Q60" s="152">
        <f>Q59-Q58</f>
        <v>0</v>
      </c>
      <c r="R60" s="152">
        <f t="shared" ref="R60" si="49">R58-R59</f>
        <v>0</v>
      </c>
      <c r="S60" s="152">
        <f>S59-S58</f>
        <v>0</v>
      </c>
      <c r="T60" s="146">
        <f t="shared" ref="T60" si="50">T58-T59</f>
        <v>0</v>
      </c>
      <c r="U60" s="152">
        <f>U59-U58</f>
        <v>0</v>
      </c>
      <c r="V60" s="152">
        <f t="shared" ref="V60" si="51">V58-V59</f>
        <v>0</v>
      </c>
      <c r="W60" s="152">
        <f>W59-W58</f>
        <v>0</v>
      </c>
      <c r="X60" s="152">
        <f t="shared" ref="X60" si="52">X58-X59</f>
        <v>0</v>
      </c>
    </row>
    <row r="61" spans="1:24" ht="15" thickBot="1" x14ac:dyDescent="0.35"/>
    <row r="62" spans="1:24" x14ac:dyDescent="0.3">
      <c r="A62" s="157">
        <v>45889</v>
      </c>
      <c r="B62" s="157">
        <f>A62+1</f>
        <v>45890</v>
      </c>
      <c r="C62" s="157">
        <f t="shared" ref="C62" si="53">B62+1</f>
        <v>45891</v>
      </c>
      <c r="D62" s="157">
        <f t="shared" ref="D62" si="54">C62+1</f>
        <v>45892</v>
      </c>
      <c r="E62" s="157">
        <f t="shared" ref="E62" si="55">D62+1</f>
        <v>45893</v>
      </c>
      <c r="F62" s="157">
        <f>E62+1</f>
        <v>45894</v>
      </c>
      <c r="G62" s="157">
        <f t="shared" ref="G62" si="56">F62+1</f>
        <v>45895</v>
      </c>
      <c r="H62" s="157"/>
      <c r="I62" s="13" t="s">
        <v>8</v>
      </c>
      <c r="K62" s="59">
        <v>45882</v>
      </c>
      <c r="L62" s="59"/>
      <c r="M62" s="59">
        <f>K62+1</f>
        <v>45883</v>
      </c>
      <c r="N62" s="59"/>
      <c r="O62" s="59">
        <f t="shared" ref="O62" si="57">M62+1</f>
        <v>45884</v>
      </c>
      <c r="P62" s="59"/>
      <c r="Q62" s="59">
        <f t="shared" ref="Q62" si="58">O62+1</f>
        <v>45885</v>
      </c>
      <c r="R62" s="59"/>
      <c r="S62" s="59">
        <f t="shared" ref="S62" si="59">Q62+1</f>
        <v>45886</v>
      </c>
      <c r="T62" s="59"/>
      <c r="U62" s="59">
        <f t="shared" ref="U62" si="60">S62+1</f>
        <v>45887</v>
      </c>
      <c r="V62" s="59"/>
      <c r="W62" s="59">
        <f t="shared" ref="W62" si="61">U62+1</f>
        <v>45888</v>
      </c>
      <c r="X62" s="59"/>
    </row>
    <row r="63" spans="1:24" ht="15" thickBot="1" x14ac:dyDescent="0.35">
      <c r="A63" s="22">
        <v>505</v>
      </c>
      <c r="B63" s="22">
        <v>472</v>
      </c>
      <c r="C63" s="22">
        <v>310</v>
      </c>
      <c r="D63" s="22">
        <v>502</v>
      </c>
      <c r="E63" s="22">
        <v>480</v>
      </c>
      <c r="F63" s="22">
        <v>479</v>
      </c>
      <c r="G63" s="22">
        <v>275</v>
      </c>
      <c r="H63" s="15"/>
      <c r="I63" s="15">
        <v>424</v>
      </c>
      <c r="K63" s="124" t="s">
        <v>10</v>
      </c>
      <c r="L63" s="125" t="s">
        <v>11</v>
      </c>
      <c r="M63" s="126" t="s">
        <v>10</v>
      </c>
      <c r="N63" s="126" t="s">
        <v>11</v>
      </c>
      <c r="O63" s="126" t="s">
        <v>10</v>
      </c>
      <c r="P63" s="126" t="s">
        <v>11</v>
      </c>
      <c r="Q63" s="126" t="s">
        <v>10</v>
      </c>
      <c r="R63" s="126" t="s">
        <v>11</v>
      </c>
      <c r="S63" s="126" t="s">
        <v>10</v>
      </c>
      <c r="T63" s="126" t="s">
        <v>11</v>
      </c>
      <c r="U63" s="126" t="s">
        <v>10</v>
      </c>
      <c r="V63" s="126" t="s">
        <v>11</v>
      </c>
      <c r="W63" s="126" t="s">
        <v>10</v>
      </c>
      <c r="X63" s="143" t="s">
        <v>11</v>
      </c>
    </row>
    <row r="64" spans="1:24" x14ac:dyDescent="0.3">
      <c r="A64" s="22">
        <v>1310</v>
      </c>
      <c r="B64" s="22">
        <v>1005</v>
      </c>
      <c r="C64" s="22">
        <v>1550</v>
      </c>
      <c r="D64" s="22">
        <v>835</v>
      </c>
      <c r="E64" s="22"/>
      <c r="F64" s="22">
        <v>2035</v>
      </c>
      <c r="G64" s="22">
        <v>860</v>
      </c>
      <c r="H64" s="15"/>
      <c r="I64" s="15">
        <v>520.44000000000005</v>
      </c>
      <c r="K64" s="75">
        <v>240</v>
      </c>
      <c r="L64" s="76">
        <v>69.900000000000006</v>
      </c>
      <c r="M64" s="77">
        <v>580</v>
      </c>
      <c r="N64" s="77">
        <v>50</v>
      </c>
      <c r="O64" s="77">
        <v>410</v>
      </c>
      <c r="P64" s="77">
        <v>42.5</v>
      </c>
      <c r="Q64" s="77">
        <v>280</v>
      </c>
      <c r="R64" s="77">
        <v>22.5</v>
      </c>
      <c r="S64" s="77">
        <v>84</v>
      </c>
      <c r="T64" s="40">
        <v>15</v>
      </c>
      <c r="U64" s="77">
        <v>450</v>
      </c>
      <c r="V64" s="63">
        <v>67.5</v>
      </c>
      <c r="W64" s="77">
        <v>450</v>
      </c>
      <c r="X64" s="77">
        <v>80</v>
      </c>
    </row>
    <row r="65" spans="1:24" x14ac:dyDescent="0.3">
      <c r="A65" s="22">
        <v>1718.73</v>
      </c>
      <c r="B65" s="44">
        <v>1848.84</v>
      </c>
      <c r="C65" s="22">
        <v>1978.95</v>
      </c>
      <c r="D65" s="22">
        <v>1945.39</v>
      </c>
      <c r="E65" s="46"/>
      <c r="F65" s="22">
        <v>1670.81</v>
      </c>
      <c r="G65" s="22">
        <v>1978.95</v>
      </c>
      <c r="H65" s="15"/>
      <c r="I65" s="15">
        <v>1550</v>
      </c>
      <c r="K65" s="21">
        <v>220</v>
      </c>
      <c r="L65" s="79">
        <v>74</v>
      </c>
      <c r="M65" s="43">
        <v>202</v>
      </c>
      <c r="N65" s="43">
        <v>30</v>
      </c>
      <c r="O65" s="43">
        <v>292</v>
      </c>
      <c r="P65" s="43">
        <v>60</v>
      </c>
      <c r="Q65" s="43">
        <v>196</v>
      </c>
      <c r="R65" s="80">
        <v>141.19999999999999</v>
      </c>
      <c r="S65" s="43">
        <v>100</v>
      </c>
      <c r="T65" s="27"/>
      <c r="U65" s="43">
        <v>208</v>
      </c>
      <c r="V65" s="22">
        <v>244</v>
      </c>
      <c r="W65" s="43">
        <v>286</v>
      </c>
      <c r="X65" s="43">
        <v>37.5</v>
      </c>
    </row>
    <row r="66" spans="1:24" x14ac:dyDescent="0.3">
      <c r="A66" s="22"/>
      <c r="B66" s="41"/>
      <c r="C66" s="22"/>
      <c r="D66" s="22"/>
      <c r="E66" s="22"/>
      <c r="F66" s="22"/>
      <c r="G66" s="22"/>
      <c r="H66" s="15"/>
      <c r="I66" s="15">
        <v>2152</v>
      </c>
      <c r="K66" s="21">
        <v>3840</v>
      </c>
      <c r="L66" s="79">
        <v>134</v>
      </c>
      <c r="M66" s="43">
        <v>2580</v>
      </c>
      <c r="N66" s="43">
        <v>1290</v>
      </c>
      <c r="O66" s="43">
        <v>4330</v>
      </c>
      <c r="P66" s="43">
        <v>184</v>
      </c>
      <c r="Q66" s="43">
        <v>1840</v>
      </c>
      <c r="R66" s="84">
        <v>56</v>
      </c>
      <c r="S66" s="43">
        <v>620</v>
      </c>
      <c r="T66" s="27"/>
      <c r="U66" s="43">
        <v>3960</v>
      </c>
      <c r="V66" s="22">
        <v>156</v>
      </c>
      <c r="W66" s="43">
        <v>3030</v>
      </c>
      <c r="X66" s="43">
        <v>1440</v>
      </c>
    </row>
    <row r="67" spans="1:24" x14ac:dyDescent="0.3">
      <c r="A67" s="22" t="s">
        <v>62</v>
      </c>
      <c r="B67" s="22"/>
      <c r="C67" s="22"/>
      <c r="D67" s="22"/>
      <c r="E67" s="22"/>
      <c r="F67" s="22"/>
      <c r="G67" s="22"/>
      <c r="H67" s="15"/>
      <c r="I67" s="15">
        <v>3399</v>
      </c>
      <c r="K67" s="21">
        <v>360</v>
      </c>
      <c r="L67" s="8">
        <v>426</v>
      </c>
      <c r="M67" s="43">
        <v>150</v>
      </c>
      <c r="N67" s="43"/>
      <c r="O67" s="43">
        <v>370</v>
      </c>
      <c r="P67" s="43"/>
      <c r="Q67" s="43">
        <v>140</v>
      </c>
      <c r="R67" s="43">
        <v>60</v>
      </c>
      <c r="S67" s="43"/>
      <c r="T67" s="27"/>
      <c r="U67" s="43">
        <v>370</v>
      </c>
      <c r="V67" s="22"/>
      <c r="W67" s="43">
        <v>370</v>
      </c>
      <c r="X67" s="43"/>
    </row>
    <row r="68" spans="1:24" x14ac:dyDescent="0.3">
      <c r="A68" s="22"/>
      <c r="B68" s="22"/>
      <c r="C68" s="22"/>
      <c r="D68" s="22"/>
      <c r="E68" s="22"/>
      <c r="F68" s="22"/>
      <c r="G68" s="22"/>
      <c r="H68" s="15"/>
      <c r="I68" s="15">
        <v>5242</v>
      </c>
      <c r="K68" s="128"/>
      <c r="L68" s="79"/>
      <c r="M68" s="43"/>
      <c r="N68" s="43"/>
      <c r="O68" s="43"/>
      <c r="P68" s="43"/>
      <c r="Q68" s="43"/>
      <c r="R68" s="43">
        <v>28</v>
      </c>
      <c r="S68" s="43"/>
      <c r="T68" s="27"/>
      <c r="U68" s="43"/>
      <c r="V68" s="22"/>
      <c r="W68" s="43"/>
      <c r="X68" s="43"/>
    </row>
    <row r="69" spans="1:24" x14ac:dyDescent="0.3">
      <c r="A69" s="22"/>
      <c r="B69" s="22"/>
      <c r="C69" s="22"/>
      <c r="D69" s="22"/>
      <c r="E69" s="22"/>
      <c r="F69" s="22"/>
      <c r="G69" s="22"/>
      <c r="H69" s="160"/>
      <c r="I69" s="15">
        <v>5820.3</v>
      </c>
      <c r="K69" s="128"/>
      <c r="L69" s="79"/>
      <c r="M69" s="43"/>
      <c r="N69" s="43"/>
      <c r="O69" s="43"/>
      <c r="P69" s="43"/>
      <c r="Q69" s="43"/>
      <c r="R69" s="43"/>
      <c r="S69" s="43"/>
      <c r="T69" s="27"/>
      <c r="U69" s="43"/>
      <c r="V69" s="22"/>
      <c r="W69" s="43"/>
      <c r="X69" s="43"/>
    </row>
    <row r="70" spans="1:24" x14ac:dyDescent="0.3">
      <c r="A70" s="22"/>
      <c r="B70" s="22"/>
      <c r="C70" s="22"/>
      <c r="D70" s="22"/>
      <c r="E70" s="22"/>
      <c r="F70" s="22"/>
      <c r="G70" s="22"/>
      <c r="H70" s="65"/>
      <c r="I70" s="15">
        <v>6360</v>
      </c>
      <c r="K70" s="21"/>
      <c r="L70" s="79"/>
      <c r="M70" s="43"/>
      <c r="N70" s="43"/>
      <c r="O70" s="43"/>
      <c r="P70" s="43"/>
      <c r="Q70" s="43"/>
      <c r="R70" s="43"/>
      <c r="S70" s="43"/>
      <c r="T70" s="27"/>
      <c r="U70" s="43"/>
      <c r="V70" s="22"/>
      <c r="W70" s="43"/>
      <c r="X70" s="43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15">
        <v>5956.09</v>
      </c>
      <c r="K71" s="24"/>
      <c r="L71" s="56"/>
      <c r="M71" s="22"/>
      <c r="N71" s="22"/>
      <c r="O71" s="22"/>
      <c r="P71" s="22"/>
      <c r="Q71" s="22"/>
      <c r="R71" s="22"/>
      <c r="S71" s="22"/>
      <c r="T71" s="27"/>
      <c r="U71" s="22"/>
      <c r="V71" s="22"/>
      <c r="W71" s="22"/>
      <c r="X71" s="22"/>
    </row>
    <row r="72" spans="1:24" ht="15" thickBot="1" x14ac:dyDescent="0.35">
      <c r="A72" s="22"/>
      <c r="B72" s="22"/>
      <c r="C72" s="22"/>
      <c r="D72" s="22"/>
      <c r="E72" s="22"/>
      <c r="F72" s="22"/>
      <c r="G72" s="22"/>
      <c r="H72" s="37"/>
      <c r="I72" s="15"/>
      <c r="K72" s="24"/>
      <c r="L72" s="56"/>
      <c r="M72" s="22"/>
      <c r="N72" s="22"/>
      <c r="O72" s="22"/>
      <c r="P72" s="22"/>
      <c r="Q72" s="22"/>
      <c r="R72" s="22"/>
      <c r="S72" s="22"/>
      <c r="T72" s="27"/>
      <c r="U72" s="22"/>
      <c r="V72" s="22"/>
      <c r="W72" s="22"/>
      <c r="X72" s="22"/>
    </row>
    <row r="73" spans="1:24" ht="15.6" thickTop="1" thickBot="1" x14ac:dyDescent="0.35">
      <c r="A73" s="22"/>
      <c r="B73" s="22"/>
      <c r="C73" s="22"/>
      <c r="D73" s="22"/>
      <c r="E73" s="22"/>
      <c r="F73" s="22"/>
      <c r="G73" s="22"/>
      <c r="H73" s="37"/>
      <c r="I73" s="132">
        <f>SUM(I63:I72)</f>
        <v>31423.83</v>
      </c>
      <c r="K73" s="24"/>
      <c r="L73" s="56"/>
      <c r="M73" s="22"/>
      <c r="N73" s="22"/>
      <c r="O73" s="22"/>
      <c r="P73" s="22"/>
      <c r="Q73" s="22"/>
      <c r="R73" s="22"/>
      <c r="S73" s="22"/>
      <c r="T73" s="27"/>
      <c r="U73" s="22"/>
      <c r="V73" s="22"/>
      <c r="W73" s="22"/>
      <c r="X73" s="22"/>
    </row>
    <row r="74" spans="1:24" ht="15" thickTop="1" x14ac:dyDescent="0.3">
      <c r="A74" s="22"/>
      <c r="B74" s="22"/>
      <c r="C74" s="22"/>
      <c r="D74" s="22"/>
      <c r="E74" s="22"/>
      <c r="F74" s="22"/>
      <c r="G74" s="22"/>
      <c r="H74" s="22"/>
      <c r="I74" s="40"/>
      <c r="K74" s="24"/>
      <c r="L74" s="56"/>
      <c r="M74" s="22"/>
      <c r="N74" s="22"/>
      <c r="O74" s="22"/>
      <c r="P74" s="22"/>
      <c r="Q74" s="22"/>
      <c r="R74" s="22"/>
      <c r="S74" s="22"/>
      <c r="T74" s="27"/>
      <c r="U74" s="22"/>
      <c r="V74" s="22"/>
      <c r="W74" s="22"/>
      <c r="X74" s="22"/>
    </row>
    <row r="75" spans="1:24" x14ac:dyDescent="0.3">
      <c r="A75" s="22"/>
      <c r="B75" s="22"/>
      <c r="C75" s="22"/>
      <c r="D75" s="22"/>
      <c r="E75" s="22"/>
      <c r="F75" s="22"/>
      <c r="G75" s="22"/>
      <c r="H75" s="22"/>
      <c r="I75" s="27"/>
      <c r="K75" s="24"/>
      <c r="L75" s="56"/>
      <c r="M75" s="22"/>
      <c r="N75" s="22"/>
      <c r="O75" s="22"/>
      <c r="P75" s="22"/>
      <c r="Q75" s="22"/>
      <c r="R75" s="22"/>
      <c r="S75" s="22"/>
      <c r="T75" s="27"/>
      <c r="U75" s="22"/>
      <c r="V75" s="22"/>
      <c r="W75" s="22"/>
      <c r="X75" s="22"/>
    </row>
    <row r="76" spans="1:24" x14ac:dyDescent="0.3">
      <c r="A76" s="22"/>
      <c r="B76" s="22"/>
      <c r="C76" s="22"/>
      <c r="D76" s="22"/>
      <c r="E76" s="22"/>
      <c r="F76" s="22"/>
      <c r="G76" s="22"/>
      <c r="H76" s="22"/>
      <c r="I76" s="27"/>
      <c r="K76" s="24"/>
      <c r="L76" s="56"/>
      <c r="M76" s="22"/>
      <c r="N76" s="22"/>
      <c r="O76" s="22"/>
      <c r="P76" s="22"/>
      <c r="Q76" s="22"/>
      <c r="R76" s="22"/>
      <c r="S76" s="22"/>
      <c r="T76" s="27"/>
      <c r="U76" s="22"/>
      <c r="V76" s="22"/>
      <c r="W76" s="22"/>
      <c r="X76" s="22"/>
    </row>
    <row r="77" spans="1:24" x14ac:dyDescent="0.3">
      <c r="A77" s="22"/>
      <c r="B77" s="22"/>
      <c r="C77" s="22"/>
      <c r="D77" s="22"/>
      <c r="E77" s="22"/>
      <c r="F77" s="22"/>
      <c r="G77" s="22"/>
      <c r="H77" s="22"/>
      <c r="I77" s="27"/>
      <c r="K77" s="24"/>
      <c r="L77" s="22"/>
      <c r="M77" s="22"/>
      <c r="N77" s="22"/>
      <c r="O77" s="22"/>
      <c r="P77" s="22"/>
      <c r="Q77" s="22"/>
      <c r="R77" s="22"/>
      <c r="S77" s="22"/>
      <c r="T77" s="27"/>
      <c r="U77" s="22"/>
      <c r="V77" s="22"/>
      <c r="W77" s="22"/>
      <c r="X77" s="22"/>
    </row>
    <row r="78" spans="1:24" ht="15" thickBot="1" x14ac:dyDescent="0.35">
      <c r="A78" s="140">
        <f t="shared" ref="A78:G79" si="62">SUM(A63:A77)</f>
        <v>3533.73</v>
      </c>
      <c r="B78" s="140">
        <f t="shared" si="62"/>
        <v>3325.84</v>
      </c>
      <c r="C78" s="140">
        <f t="shared" si="62"/>
        <v>3838.95</v>
      </c>
      <c r="D78" s="140">
        <f t="shared" si="62"/>
        <v>3282.3900000000003</v>
      </c>
      <c r="E78" s="140">
        <f t="shared" si="62"/>
        <v>480</v>
      </c>
      <c r="F78" s="140">
        <f t="shared" si="62"/>
        <v>4184.8099999999995</v>
      </c>
      <c r="G78" s="140">
        <f t="shared" si="62"/>
        <v>3113.95</v>
      </c>
      <c r="H78" s="149">
        <f>SUM(A78:G78)+I73</f>
        <v>53183.5</v>
      </c>
      <c r="I78" s="150" t="s">
        <v>7</v>
      </c>
      <c r="K78" s="34">
        <f>SUM(K64:K77)</f>
        <v>4660</v>
      </c>
      <c r="L78" s="34">
        <f t="shared" ref="L78:X78" si="63">SUM(L64:L77)</f>
        <v>703.9</v>
      </c>
      <c r="M78" s="34">
        <f t="shared" si="63"/>
        <v>3512</v>
      </c>
      <c r="N78" s="34">
        <f t="shared" si="63"/>
        <v>1370</v>
      </c>
      <c r="O78" s="34">
        <f t="shared" si="63"/>
        <v>5402</v>
      </c>
      <c r="P78" s="34">
        <f t="shared" si="63"/>
        <v>286.5</v>
      </c>
      <c r="Q78" s="34">
        <f t="shared" si="63"/>
        <v>2456</v>
      </c>
      <c r="R78" s="34">
        <f t="shared" si="63"/>
        <v>307.7</v>
      </c>
      <c r="S78" s="34">
        <f t="shared" si="63"/>
        <v>804</v>
      </c>
      <c r="T78" s="34">
        <f t="shared" si="63"/>
        <v>15</v>
      </c>
      <c r="U78" s="34">
        <f t="shared" si="63"/>
        <v>4988</v>
      </c>
      <c r="V78" s="34">
        <f t="shared" si="63"/>
        <v>467.5</v>
      </c>
      <c r="W78" s="34">
        <f t="shared" si="63"/>
        <v>4136</v>
      </c>
      <c r="X78" s="34">
        <f t="shared" si="63"/>
        <v>1557.5</v>
      </c>
    </row>
    <row r="79" spans="1:24" ht="15" thickBot="1" x14ac:dyDescent="0.35">
      <c r="A79" s="140">
        <v>3533.73</v>
      </c>
      <c r="B79" s="140">
        <v>3325.84</v>
      </c>
      <c r="C79" s="140">
        <v>3838.95</v>
      </c>
      <c r="D79" s="140">
        <v>3282.39</v>
      </c>
      <c r="E79" s="140">
        <f t="shared" si="62"/>
        <v>480</v>
      </c>
      <c r="F79" s="140">
        <v>4184.8100000000004</v>
      </c>
      <c r="G79" s="140">
        <v>3113.95</v>
      </c>
      <c r="H79" s="149">
        <f>SUM(A79:G79)+I73</f>
        <v>53183.5</v>
      </c>
      <c r="I79" s="151" t="s">
        <v>1</v>
      </c>
      <c r="K79" s="34">
        <v>4660</v>
      </c>
      <c r="L79" s="34">
        <v>703.9</v>
      </c>
      <c r="M79" s="34">
        <v>3512</v>
      </c>
      <c r="N79" s="34">
        <v>1370</v>
      </c>
      <c r="O79" s="34">
        <v>5402</v>
      </c>
      <c r="P79" s="34">
        <v>286.5</v>
      </c>
      <c r="Q79" s="34">
        <v>2456</v>
      </c>
      <c r="R79" s="34">
        <v>307.7</v>
      </c>
      <c r="S79" s="34">
        <v>804</v>
      </c>
      <c r="T79" s="34">
        <v>15</v>
      </c>
      <c r="U79" s="34">
        <v>4988</v>
      </c>
      <c r="V79" s="34">
        <v>467.5</v>
      </c>
      <c r="W79" s="34">
        <v>4136</v>
      </c>
      <c r="X79" s="34">
        <v>1557.5</v>
      </c>
    </row>
    <row r="80" spans="1:24" ht="15" thickBot="1" x14ac:dyDescent="0.35">
      <c r="A80" s="63">
        <f t="shared" ref="A80:H80" si="64">A78-A79</f>
        <v>0</v>
      </c>
      <c r="B80" s="63">
        <f t="shared" si="64"/>
        <v>0</v>
      </c>
      <c r="C80" s="63">
        <f t="shared" si="64"/>
        <v>0</v>
      </c>
      <c r="D80" s="63">
        <f t="shared" si="64"/>
        <v>0</v>
      </c>
      <c r="E80" s="63">
        <f t="shared" si="64"/>
        <v>0</v>
      </c>
      <c r="F80" s="63">
        <f t="shared" si="64"/>
        <v>0</v>
      </c>
      <c r="G80" s="63">
        <f t="shared" si="64"/>
        <v>0</v>
      </c>
      <c r="H80" s="63">
        <f t="shared" si="64"/>
        <v>0</v>
      </c>
      <c r="I80" s="22"/>
      <c r="K80" s="152">
        <f>K78-K79</f>
        <v>0</v>
      </c>
      <c r="L80" s="152">
        <f t="shared" ref="L80" si="65">L78-L79</f>
        <v>0</v>
      </c>
      <c r="M80" s="152">
        <f>M79-M78</f>
        <v>0</v>
      </c>
      <c r="N80" s="152">
        <f>N79-N78</f>
        <v>0</v>
      </c>
      <c r="O80" s="152">
        <f>O79-O78</f>
        <v>0</v>
      </c>
      <c r="P80" s="152">
        <f t="shared" ref="P80" si="66">P78-P79</f>
        <v>0</v>
      </c>
      <c r="Q80" s="152">
        <f>Q79-Q78</f>
        <v>0</v>
      </c>
      <c r="R80" s="152">
        <f t="shared" ref="R80" si="67">R78-R79</f>
        <v>0</v>
      </c>
      <c r="S80" s="152">
        <f>S79-S78</f>
        <v>0</v>
      </c>
      <c r="T80" s="146">
        <f t="shared" ref="T80" si="68">T78-T79</f>
        <v>0</v>
      </c>
      <c r="U80" s="152">
        <f>U79-U78</f>
        <v>0</v>
      </c>
      <c r="V80" s="152">
        <f t="shared" ref="V80" si="69">V78-V79</f>
        <v>0</v>
      </c>
      <c r="W80" s="152">
        <f>W79-W78</f>
        <v>0</v>
      </c>
      <c r="X80" s="152">
        <f t="shared" ref="X80" si="70">X78-X79</f>
        <v>0</v>
      </c>
    </row>
    <row r="81" spans="1:24" ht="15" thickBot="1" x14ac:dyDescent="0.35"/>
    <row r="82" spans="1:24" x14ac:dyDescent="0.3">
      <c r="A82" s="157">
        <v>45896</v>
      </c>
      <c r="B82" s="157">
        <f>A82+1</f>
        <v>45897</v>
      </c>
      <c r="C82" s="157">
        <f t="shared" ref="C82" si="71">B82+1</f>
        <v>45898</v>
      </c>
      <c r="D82" s="157">
        <f t="shared" ref="D82" si="72">C82+1</f>
        <v>45899</v>
      </c>
      <c r="E82" s="157">
        <f t="shared" ref="E82" si="73">D82+1</f>
        <v>45900</v>
      </c>
      <c r="F82" s="157">
        <f t="shared" ref="F82" si="74">E82+1</f>
        <v>45901</v>
      </c>
      <c r="G82" s="157">
        <f t="shared" ref="G82" si="75">F82+1</f>
        <v>45902</v>
      </c>
      <c r="H82" s="157"/>
      <c r="I82" s="13" t="s">
        <v>8</v>
      </c>
      <c r="K82" s="59">
        <v>45896</v>
      </c>
      <c r="L82" s="59"/>
      <c r="M82" s="59">
        <f>K82+1</f>
        <v>45897</v>
      </c>
      <c r="N82" s="59"/>
      <c r="O82" s="59">
        <f t="shared" ref="O82" si="76">M82+1</f>
        <v>45898</v>
      </c>
      <c r="P82" s="59"/>
      <c r="Q82" s="59">
        <f t="shared" ref="Q82" si="77">O82+1</f>
        <v>45899</v>
      </c>
      <c r="R82" s="59"/>
      <c r="S82" s="59">
        <f t="shared" ref="S82" si="78">Q82+1</f>
        <v>45900</v>
      </c>
      <c r="T82" s="59"/>
      <c r="U82" s="59">
        <f t="shared" ref="U82" si="79">S82+1</f>
        <v>45901</v>
      </c>
      <c r="V82" s="59"/>
      <c r="W82" s="59">
        <f t="shared" ref="W82" si="80">U82+1</f>
        <v>45902</v>
      </c>
      <c r="X82" s="59"/>
    </row>
    <row r="83" spans="1:24" ht="15" thickBot="1" x14ac:dyDescent="0.35">
      <c r="A83" s="22">
        <v>409</v>
      </c>
      <c r="B83" s="22">
        <v>505</v>
      </c>
      <c r="C83" s="22">
        <v>215</v>
      </c>
      <c r="D83" s="22">
        <v>577</v>
      </c>
      <c r="E83" s="22">
        <v>240</v>
      </c>
      <c r="F83" s="22">
        <v>405</v>
      </c>
      <c r="G83" s="22">
        <v>395</v>
      </c>
      <c r="H83" s="15"/>
      <c r="I83" s="15">
        <v>1508</v>
      </c>
      <c r="K83" s="124" t="s">
        <v>10</v>
      </c>
      <c r="L83" s="125" t="s">
        <v>11</v>
      </c>
      <c r="M83" s="126" t="s">
        <v>10</v>
      </c>
      <c r="N83" s="126" t="s">
        <v>11</v>
      </c>
      <c r="O83" s="126" t="s">
        <v>10</v>
      </c>
      <c r="P83" s="126" t="s">
        <v>11</v>
      </c>
      <c r="Q83" s="126" t="s">
        <v>10</v>
      </c>
      <c r="R83" s="126" t="s">
        <v>11</v>
      </c>
      <c r="S83" s="126" t="s">
        <v>10</v>
      </c>
      <c r="T83" s="126" t="s">
        <v>11</v>
      </c>
      <c r="U83" s="126" t="s">
        <v>10</v>
      </c>
      <c r="V83" s="126" t="s">
        <v>11</v>
      </c>
      <c r="W83" s="126" t="s">
        <v>10</v>
      </c>
      <c r="X83" s="143" t="s">
        <v>11</v>
      </c>
    </row>
    <row r="84" spans="1:24" x14ac:dyDescent="0.3">
      <c r="A84" s="22">
        <v>1295</v>
      </c>
      <c r="B84" s="22">
        <v>810</v>
      </c>
      <c r="C84" s="22">
        <v>1505</v>
      </c>
      <c r="D84" s="22">
        <v>775</v>
      </c>
      <c r="E84" s="22"/>
      <c r="F84" s="22">
        <v>2010</v>
      </c>
      <c r="G84" s="22">
        <v>1170</v>
      </c>
      <c r="H84" s="15"/>
      <c r="I84" s="15">
        <v>2658.5</v>
      </c>
      <c r="K84" s="75">
        <v>420</v>
      </c>
      <c r="L84" s="76">
        <v>52.5</v>
      </c>
      <c r="M84" s="77">
        <v>320</v>
      </c>
      <c r="N84" s="77">
        <v>28</v>
      </c>
      <c r="O84" s="77">
        <v>490</v>
      </c>
      <c r="P84" s="77">
        <v>150</v>
      </c>
      <c r="Q84" s="77">
        <v>250</v>
      </c>
      <c r="R84" s="77">
        <v>28</v>
      </c>
      <c r="S84" s="77">
        <v>84</v>
      </c>
      <c r="T84" s="40">
        <v>15</v>
      </c>
      <c r="U84" s="77">
        <v>310</v>
      </c>
      <c r="V84" s="63">
        <v>270.5</v>
      </c>
      <c r="W84" s="77">
        <v>450</v>
      </c>
      <c r="X84" s="77">
        <v>22.5</v>
      </c>
    </row>
    <row r="85" spans="1:24" x14ac:dyDescent="0.3">
      <c r="A85" s="22">
        <v>1506.43</v>
      </c>
      <c r="B85" s="44">
        <v>1458.51</v>
      </c>
      <c r="C85" s="22">
        <v>1908.73</v>
      </c>
      <c r="D85" s="22"/>
      <c r="E85" s="46"/>
      <c r="F85" s="22">
        <v>2122.71</v>
      </c>
      <c r="G85" s="22">
        <v>2121.87</v>
      </c>
      <c r="H85" s="15"/>
      <c r="I85" s="15">
        <v>1088.8</v>
      </c>
      <c r="K85" s="21">
        <v>214</v>
      </c>
      <c r="L85" s="79">
        <v>28</v>
      </c>
      <c r="M85" s="43">
        <v>208</v>
      </c>
      <c r="N85" s="43">
        <v>60</v>
      </c>
      <c r="O85" s="43">
        <v>332</v>
      </c>
      <c r="P85" s="43">
        <v>217.5</v>
      </c>
      <c r="Q85" s="43">
        <v>196</v>
      </c>
      <c r="R85" s="80">
        <v>50</v>
      </c>
      <c r="S85" s="43">
        <v>100</v>
      </c>
      <c r="T85" s="27"/>
      <c r="U85" s="43">
        <v>208</v>
      </c>
      <c r="V85" s="22">
        <v>156</v>
      </c>
      <c r="W85" s="43">
        <v>312</v>
      </c>
      <c r="X85" s="43">
        <v>179.9</v>
      </c>
    </row>
    <row r="86" spans="1:24" x14ac:dyDescent="0.3">
      <c r="A86" s="22"/>
      <c r="B86" s="41"/>
      <c r="C86" s="22"/>
      <c r="D86" s="22"/>
      <c r="E86" s="22"/>
      <c r="F86" s="22"/>
      <c r="G86" s="22"/>
      <c r="H86" s="15"/>
      <c r="I86" s="15">
        <v>5098</v>
      </c>
      <c r="K86" s="21">
        <v>4440</v>
      </c>
      <c r="L86" s="79">
        <v>104</v>
      </c>
      <c r="M86" s="43">
        <v>3290</v>
      </c>
      <c r="N86" s="43">
        <v>50</v>
      </c>
      <c r="O86" s="43">
        <v>4190</v>
      </c>
      <c r="P86" s="43">
        <v>60</v>
      </c>
      <c r="Q86" s="43">
        <v>1650</v>
      </c>
      <c r="R86" s="84">
        <v>60</v>
      </c>
      <c r="S86" s="43">
        <v>810</v>
      </c>
      <c r="T86" s="27"/>
      <c r="U86" s="43">
        <v>4310</v>
      </c>
      <c r="V86" s="22">
        <v>920</v>
      </c>
      <c r="W86" s="43">
        <v>160</v>
      </c>
      <c r="X86" s="43">
        <v>441</v>
      </c>
    </row>
    <row r="87" spans="1:24" x14ac:dyDescent="0.3">
      <c r="A87" s="22"/>
      <c r="B87" s="22"/>
      <c r="C87" s="22"/>
      <c r="D87" s="22"/>
      <c r="E87" s="22"/>
      <c r="F87" s="22"/>
      <c r="G87" s="22"/>
      <c r="H87" s="15"/>
      <c r="I87" s="15">
        <v>3444</v>
      </c>
      <c r="K87" s="21">
        <v>490</v>
      </c>
      <c r="L87" s="8"/>
      <c r="M87" s="43">
        <v>370</v>
      </c>
      <c r="N87" s="43">
        <v>660</v>
      </c>
      <c r="O87" s="43">
        <v>350</v>
      </c>
      <c r="P87" s="43">
        <v>156</v>
      </c>
      <c r="Q87" s="43"/>
      <c r="R87" s="43">
        <v>107.5</v>
      </c>
      <c r="S87" s="43"/>
      <c r="T87" s="27"/>
      <c r="U87" s="43">
        <v>510</v>
      </c>
      <c r="V87" s="22">
        <v>316</v>
      </c>
      <c r="W87" s="43">
        <v>3870</v>
      </c>
      <c r="X87" s="43">
        <v>1200</v>
      </c>
    </row>
    <row r="88" spans="1:24" x14ac:dyDescent="0.3">
      <c r="A88" s="22"/>
      <c r="B88" s="22"/>
      <c r="C88" s="22"/>
      <c r="D88" s="22"/>
      <c r="E88" s="22"/>
      <c r="F88" s="22"/>
      <c r="G88" s="22"/>
      <c r="H88" s="15"/>
      <c r="I88" s="15">
        <v>5820.3</v>
      </c>
      <c r="K88" s="128"/>
      <c r="L88" s="79"/>
      <c r="M88" s="43"/>
      <c r="N88" s="43"/>
      <c r="O88" s="43"/>
      <c r="P88" s="43"/>
      <c r="Q88" s="43"/>
      <c r="R88" s="43"/>
      <c r="S88" s="43"/>
      <c r="T88" s="27"/>
      <c r="U88" s="43"/>
      <c r="V88" s="22"/>
      <c r="W88" s="43"/>
      <c r="X88" s="43"/>
    </row>
    <row r="89" spans="1:24" x14ac:dyDescent="0.3">
      <c r="A89" s="22"/>
      <c r="B89" s="22"/>
      <c r="C89" s="22"/>
      <c r="D89" s="22"/>
      <c r="E89" s="22"/>
      <c r="F89" s="22"/>
      <c r="G89" s="22"/>
      <c r="H89" s="160"/>
      <c r="I89" s="15">
        <v>5969.12</v>
      </c>
      <c r="K89" s="128"/>
      <c r="L89" s="79"/>
      <c r="M89" s="43"/>
      <c r="N89" s="43"/>
      <c r="O89" s="43"/>
      <c r="P89" s="43"/>
      <c r="Q89" s="43"/>
      <c r="R89" s="43"/>
      <c r="S89" s="43"/>
      <c r="T89" s="27"/>
      <c r="U89" s="43"/>
      <c r="V89" s="22"/>
      <c r="W89" s="43"/>
      <c r="X89" s="43"/>
    </row>
    <row r="90" spans="1:24" x14ac:dyDescent="0.3">
      <c r="A90" s="22"/>
      <c r="B90" s="22"/>
      <c r="C90" s="22"/>
      <c r="D90" s="22"/>
      <c r="E90" s="22"/>
      <c r="F90" s="22"/>
      <c r="G90" s="22"/>
      <c r="H90" s="65"/>
      <c r="I90" s="15">
        <v>6360</v>
      </c>
      <c r="K90" s="21"/>
      <c r="L90" s="79"/>
      <c r="M90" s="43"/>
      <c r="N90" s="43"/>
      <c r="O90" s="43"/>
      <c r="P90" s="43"/>
      <c r="Q90" s="43"/>
      <c r="R90" s="43"/>
      <c r="S90" s="43"/>
      <c r="T90" s="27"/>
      <c r="U90" s="43"/>
      <c r="V90" s="22"/>
      <c r="W90" s="43"/>
      <c r="X90" s="43"/>
    </row>
    <row r="91" spans="1:24" x14ac:dyDescent="0.3">
      <c r="A91" s="22"/>
      <c r="B91" s="22"/>
      <c r="C91" s="22"/>
      <c r="D91" s="22"/>
      <c r="E91" s="22"/>
      <c r="F91" s="22"/>
      <c r="G91" s="22"/>
      <c r="H91" s="37"/>
      <c r="I91" s="15"/>
      <c r="K91" s="24"/>
      <c r="L91" s="56"/>
      <c r="M91" s="22"/>
      <c r="N91" s="22"/>
      <c r="O91" s="22"/>
      <c r="P91" s="22"/>
      <c r="Q91" s="22"/>
      <c r="R91" s="22"/>
      <c r="S91" s="22"/>
      <c r="T91" s="27"/>
      <c r="U91" s="22"/>
      <c r="V91" s="22"/>
      <c r="W91" s="22"/>
      <c r="X91" s="22"/>
    </row>
    <row r="92" spans="1:24" ht="15" thickBot="1" x14ac:dyDescent="0.35">
      <c r="A92" s="22"/>
      <c r="B92" s="22"/>
      <c r="C92" s="22"/>
      <c r="D92" s="22"/>
      <c r="E92" s="22"/>
      <c r="F92" s="22"/>
      <c r="G92" s="22"/>
      <c r="H92" s="37"/>
      <c r="I92" s="15"/>
      <c r="K92" s="24"/>
      <c r="L92" s="56"/>
      <c r="M92" s="22"/>
      <c r="N92" s="22"/>
      <c r="O92" s="22"/>
      <c r="P92" s="22"/>
      <c r="Q92" s="22"/>
      <c r="R92" s="22"/>
      <c r="S92" s="22"/>
      <c r="T92" s="27"/>
      <c r="U92" s="22"/>
      <c r="V92" s="22"/>
      <c r="W92" s="22"/>
      <c r="X92" s="22"/>
    </row>
    <row r="93" spans="1:24" ht="15.6" thickTop="1" thickBot="1" x14ac:dyDescent="0.35">
      <c r="A93" s="22"/>
      <c r="B93" s="22"/>
      <c r="C93" s="22"/>
      <c r="D93" s="22"/>
      <c r="E93" s="22"/>
      <c r="F93" s="22"/>
      <c r="G93" s="22"/>
      <c r="H93" s="37"/>
      <c r="I93" s="132">
        <f>SUM(I83:I92)</f>
        <v>31946.719999999998</v>
      </c>
      <c r="K93" s="24"/>
      <c r="L93" s="56"/>
      <c r="M93" s="22"/>
      <c r="N93" s="22"/>
      <c r="O93" s="22"/>
      <c r="P93" s="22"/>
      <c r="Q93" s="22"/>
      <c r="R93" s="22"/>
      <c r="S93" s="22"/>
      <c r="T93" s="27"/>
      <c r="U93" s="22"/>
      <c r="V93" s="22"/>
      <c r="W93" s="22"/>
      <c r="X93" s="22"/>
    </row>
    <row r="94" spans="1:24" ht="15" thickTop="1" x14ac:dyDescent="0.3">
      <c r="A94" s="22"/>
      <c r="B94" s="22"/>
      <c r="C94" s="22"/>
      <c r="D94" s="22"/>
      <c r="E94" s="22"/>
      <c r="F94" s="22"/>
      <c r="G94" s="22"/>
      <c r="H94" s="22"/>
      <c r="I94" s="40"/>
      <c r="K94" s="24"/>
      <c r="L94" s="56"/>
      <c r="M94" s="22"/>
      <c r="N94" s="22"/>
      <c r="O94" s="22"/>
      <c r="P94" s="22"/>
      <c r="Q94" s="22"/>
      <c r="R94" s="22"/>
      <c r="S94" s="22"/>
      <c r="T94" s="27"/>
      <c r="U94" s="22"/>
      <c r="V94" s="22"/>
      <c r="W94" s="22"/>
      <c r="X94" s="22"/>
    </row>
    <row r="95" spans="1:24" x14ac:dyDescent="0.3">
      <c r="A95" s="22"/>
      <c r="B95" s="22"/>
      <c r="C95" s="22"/>
      <c r="D95" s="22"/>
      <c r="E95" s="22"/>
      <c r="F95" s="22"/>
      <c r="G95" s="22"/>
      <c r="H95" s="22"/>
      <c r="I95" s="27"/>
      <c r="K95" s="24"/>
      <c r="L95" s="56"/>
      <c r="M95" s="22"/>
      <c r="N95" s="22"/>
      <c r="O95" s="22"/>
      <c r="P95" s="22"/>
      <c r="Q95" s="22"/>
      <c r="R95" s="22"/>
      <c r="S95" s="22"/>
      <c r="T95" s="27"/>
      <c r="U95" s="22"/>
      <c r="V95" s="22"/>
      <c r="W95" s="22"/>
      <c r="X95" s="22"/>
    </row>
    <row r="96" spans="1:24" x14ac:dyDescent="0.3">
      <c r="A96" s="22"/>
      <c r="B96" s="22"/>
      <c r="C96" s="22"/>
      <c r="D96" s="22"/>
      <c r="E96" s="22"/>
      <c r="F96" s="22"/>
      <c r="G96" s="22"/>
      <c r="H96" s="22"/>
      <c r="I96" s="27"/>
      <c r="K96" s="24"/>
      <c r="L96" s="56"/>
      <c r="M96" s="22"/>
      <c r="N96" s="22"/>
      <c r="O96" s="22"/>
      <c r="P96" s="22"/>
      <c r="Q96" s="22"/>
      <c r="R96" s="22"/>
      <c r="S96" s="22"/>
      <c r="T96" s="27"/>
      <c r="U96" s="22"/>
      <c r="V96" s="22"/>
      <c r="W96" s="22"/>
      <c r="X96" s="22"/>
    </row>
    <row r="97" spans="1:24" x14ac:dyDescent="0.3">
      <c r="A97" s="22"/>
      <c r="B97" s="22"/>
      <c r="C97" s="22"/>
      <c r="D97" s="22"/>
      <c r="E97" s="22"/>
      <c r="F97" s="22"/>
      <c r="G97" s="22"/>
      <c r="H97" s="22"/>
      <c r="I97" s="27"/>
      <c r="K97" s="24"/>
      <c r="L97" s="22"/>
      <c r="M97" s="22"/>
      <c r="N97" s="22"/>
      <c r="O97" s="22"/>
      <c r="P97" s="22"/>
      <c r="Q97" s="22"/>
      <c r="R97" s="22"/>
      <c r="S97" s="22"/>
      <c r="T97" s="27"/>
      <c r="U97" s="22"/>
      <c r="V97" s="22"/>
      <c r="W97" s="22"/>
      <c r="X97" s="22"/>
    </row>
    <row r="98" spans="1:24" ht="15" thickBot="1" x14ac:dyDescent="0.35">
      <c r="A98" s="140">
        <f t="shared" ref="A98:G98" si="81">SUM(A83:A97)</f>
        <v>3210.4300000000003</v>
      </c>
      <c r="B98" s="140">
        <f t="shared" si="81"/>
        <v>2773.51</v>
      </c>
      <c r="C98" s="140">
        <f t="shared" si="81"/>
        <v>3628.73</v>
      </c>
      <c r="D98" s="140">
        <f t="shared" si="81"/>
        <v>1352</v>
      </c>
      <c r="E98" s="140">
        <f t="shared" si="81"/>
        <v>240</v>
      </c>
      <c r="F98" s="140">
        <f t="shared" si="81"/>
        <v>4537.71</v>
      </c>
      <c r="G98" s="140">
        <f t="shared" si="81"/>
        <v>3686.87</v>
      </c>
      <c r="H98" s="149">
        <f>SUM(A98:G98)+I93</f>
        <v>51375.97</v>
      </c>
      <c r="I98" s="150" t="s">
        <v>7</v>
      </c>
      <c r="K98" s="34">
        <f>SUM(K84:K97)</f>
        <v>5564</v>
      </c>
      <c r="L98" s="34">
        <f>SUM(L84:L97)</f>
        <v>184.5</v>
      </c>
      <c r="M98" s="34">
        <f t="shared" ref="M98:X98" si="82">SUM(M84:M97)</f>
        <v>4188</v>
      </c>
      <c r="N98" s="34">
        <f t="shared" si="82"/>
        <v>798</v>
      </c>
      <c r="O98" s="34">
        <f t="shared" si="82"/>
        <v>5362</v>
      </c>
      <c r="P98" s="34">
        <f t="shared" si="82"/>
        <v>583.5</v>
      </c>
      <c r="Q98" s="34">
        <f t="shared" si="82"/>
        <v>2096</v>
      </c>
      <c r="R98" s="34">
        <f t="shared" si="82"/>
        <v>245.5</v>
      </c>
      <c r="S98" s="34">
        <f t="shared" si="82"/>
        <v>994</v>
      </c>
      <c r="T98" s="34">
        <f t="shared" si="82"/>
        <v>15</v>
      </c>
      <c r="U98" s="34">
        <f t="shared" si="82"/>
        <v>5338</v>
      </c>
      <c r="V98" s="34">
        <f t="shared" si="82"/>
        <v>1662.5</v>
      </c>
      <c r="W98" s="34">
        <f t="shared" si="82"/>
        <v>4792</v>
      </c>
      <c r="X98" s="34">
        <f t="shared" si="82"/>
        <v>1843.4</v>
      </c>
    </row>
    <row r="99" spans="1:24" ht="15" thickBot="1" x14ac:dyDescent="0.35">
      <c r="A99" s="140">
        <v>3210.43</v>
      </c>
      <c r="B99" s="140">
        <v>2773.51</v>
      </c>
      <c r="C99" s="140">
        <v>3628.73</v>
      </c>
      <c r="D99" s="140">
        <v>1352</v>
      </c>
      <c r="E99" s="140">
        <v>240</v>
      </c>
      <c r="F99" s="140">
        <v>4537.71</v>
      </c>
      <c r="G99" s="140">
        <v>3686.87</v>
      </c>
      <c r="H99" s="149">
        <v>51255.97</v>
      </c>
      <c r="I99" s="151" t="s">
        <v>1</v>
      </c>
      <c r="K99" s="34">
        <v>5564</v>
      </c>
      <c r="L99" s="34">
        <v>184.5</v>
      </c>
      <c r="M99" s="34">
        <v>4188</v>
      </c>
      <c r="N99" s="34">
        <v>798</v>
      </c>
      <c r="O99" s="34">
        <v>5362</v>
      </c>
      <c r="P99" s="34">
        <v>583.5</v>
      </c>
      <c r="Q99" s="34">
        <v>2096</v>
      </c>
      <c r="R99" s="34">
        <v>245.5</v>
      </c>
      <c r="S99" s="34">
        <v>994</v>
      </c>
      <c r="T99" s="34">
        <v>15</v>
      </c>
      <c r="U99" s="34">
        <v>5338</v>
      </c>
      <c r="V99" s="34">
        <v>1662.5</v>
      </c>
      <c r="W99" s="34">
        <v>4792</v>
      </c>
      <c r="X99" s="34">
        <v>1843.4</v>
      </c>
    </row>
    <row r="100" spans="1:24" ht="15" thickBot="1" x14ac:dyDescent="0.35">
      <c r="A100" s="63">
        <f t="shared" ref="A100:H100" si="83">A98-A99</f>
        <v>0</v>
      </c>
      <c r="B100" s="63">
        <f t="shared" si="83"/>
        <v>0</v>
      </c>
      <c r="C100" s="63">
        <f t="shared" si="83"/>
        <v>0</v>
      </c>
      <c r="D100" s="63">
        <f t="shared" si="83"/>
        <v>0</v>
      </c>
      <c r="E100" s="63">
        <f t="shared" si="83"/>
        <v>0</v>
      </c>
      <c r="F100" s="63">
        <f t="shared" si="83"/>
        <v>0</v>
      </c>
      <c r="G100" s="63">
        <f t="shared" si="83"/>
        <v>0</v>
      </c>
      <c r="H100" s="63">
        <f t="shared" si="83"/>
        <v>120</v>
      </c>
      <c r="I100" s="22"/>
      <c r="K100" s="152">
        <f>K98-K99</f>
        <v>0</v>
      </c>
      <c r="L100" s="152">
        <f t="shared" ref="L100" si="84">L98-L99</f>
        <v>0</v>
      </c>
      <c r="M100" s="152">
        <f>M99-M98</f>
        <v>0</v>
      </c>
      <c r="N100" s="152">
        <f>N99-N98</f>
        <v>0</v>
      </c>
      <c r="O100" s="152">
        <f>O99-O98</f>
        <v>0</v>
      </c>
      <c r="P100" s="152">
        <f>P99-P98</f>
        <v>0</v>
      </c>
      <c r="Q100" s="152">
        <f t="shared" ref="Q100:X100" si="85">Q99-Q98</f>
        <v>0</v>
      </c>
      <c r="R100" s="152">
        <f t="shared" si="85"/>
        <v>0</v>
      </c>
      <c r="S100" s="152">
        <f t="shared" si="85"/>
        <v>0</v>
      </c>
      <c r="T100" s="152">
        <f t="shared" si="85"/>
        <v>0</v>
      </c>
      <c r="U100" s="152">
        <f t="shared" si="85"/>
        <v>0</v>
      </c>
      <c r="V100" s="152">
        <f t="shared" si="85"/>
        <v>0</v>
      </c>
      <c r="W100" s="152">
        <f t="shared" si="85"/>
        <v>0</v>
      </c>
      <c r="X100" s="152">
        <f t="shared" si="85"/>
        <v>0</v>
      </c>
    </row>
    <row r="101" spans="1:24" ht="15" thickBot="1" x14ac:dyDescent="0.35"/>
    <row r="102" spans="1:24" x14ac:dyDescent="0.3">
      <c r="A102" s="157">
        <v>45903</v>
      </c>
      <c r="B102" s="157">
        <f>A102+1</f>
        <v>45904</v>
      </c>
      <c r="C102" s="157">
        <f t="shared" ref="C102" si="86">B102+1</f>
        <v>45905</v>
      </c>
      <c r="D102" s="157">
        <f t="shared" ref="D102" si="87">C102+1</f>
        <v>45906</v>
      </c>
      <c r="E102" s="157">
        <f t="shared" ref="E102:F102" si="88">D102+1</f>
        <v>45907</v>
      </c>
      <c r="F102" s="157">
        <f t="shared" si="88"/>
        <v>45908</v>
      </c>
      <c r="G102" s="157">
        <f t="shared" ref="G102" si="89">F102+1</f>
        <v>45909</v>
      </c>
      <c r="H102" s="157"/>
      <c r="I102" s="13" t="s">
        <v>8</v>
      </c>
      <c r="K102" s="59">
        <v>45903</v>
      </c>
      <c r="L102" s="59"/>
      <c r="M102" s="59">
        <f>K102+1</f>
        <v>45904</v>
      </c>
      <c r="N102" s="59"/>
      <c r="O102" s="59">
        <f t="shared" ref="O102" si="90">M102+1</f>
        <v>45905</v>
      </c>
      <c r="P102" s="59"/>
      <c r="Q102" s="59">
        <f t="shared" ref="Q102" si="91">O102+1</f>
        <v>45906</v>
      </c>
      <c r="R102" s="59"/>
      <c r="S102" s="59">
        <f t="shared" ref="S102" si="92">Q102+1</f>
        <v>45907</v>
      </c>
      <c r="T102" s="59"/>
      <c r="U102" s="59">
        <f t="shared" ref="U102" si="93">S102+1</f>
        <v>45908</v>
      </c>
      <c r="V102" s="59"/>
      <c r="W102" s="59">
        <f t="shared" ref="W102" si="94">U102+1</f>
        <v>45909</v>
      </c>
      <c r="X102" s="59"/>
    </row>
    <row r="103" spans="1:24" ht="15" thickBot="1" x14ac:dyDescent="0.35">
      <c r="A103" s="22">
        <v>247</v>
      </c>
      <c r="B103" s="22">
        <v>616</v>
      </c>
      <c r="C103" s="22">
        <v>435</v>
      </c>
      <c r="D103" s="22">
        <v>614</v>
      </c>
      <c r="E103" s="22">
        <v>215</v>
      </c>
      <c r="F103" s="22">
        <v>551</v>
      </c>
      <c r="G103" s="22">
        <v>445</v>
      </c>
      <c r="H103" s="15"/>
      <c r="I103" s="15">
        <v>330</v>
      </c>
      <c r="K103" s="124" t="s">
        <v>10</v>
      </c>
      <c r="L103" s="125" t="s">
        <v>11</v>
      </c>
      <c r="M103" s="126" t="s">
        <v>10</v>
      </c>
      <c r="N103" s="126" t="s">
        <v>11</v>
      </c>
      <c r="O103" s="126" t="s">
        <v>10</v>
      </c>
      <c r="P103" s="126" t="s">
        <v>11</v>
      </c>
      <c r="Q103" s="126" t="s">
        <v>10</v>
      </c>
      <c r="R103" s="126" t="s">
        <v>11</v>
      </c>
      <c r="S103" s="126" t="s">
        <v>10</v>
      </c>
      <c r="T103" s="126" t="s">
        <v>11</v>
      </c>
      <c r="U103" s="126" t="s">
        <v>10</v>
      </c>
      <c r="V103" s="126" t="s">
        <v>11</v>
      </c>
      <c r="W103" s="126" t="s">
        <v>10</v>
      </c>
      <c r="X103" s="143" t="s">
        <v>11</v>
      </c>
    </row>
    <row r="104" spans="1:24" x14ac:dyDescent="0.3">
      <c r="A104" s="22">
        <v>1650</v>
      </c>
      <c r="B104" s="22">
        <v>1460</v>
      </c>
      <c r="C104" s="22">
        <v>2060</v>
      </c>
      <c r="D104" s="22">
        <v>1215</v>
      </c>
      <c r="E104" s="22"/>
      <c r="F104" s="22">
        <v>2105</v>
      </c>
      <c r="G104" s="22">
        <v>910</v>
      </c>
      <c r="H104" s="15"/>
      <c r="I104" s="15">
        <v>1414</v>
      </c>
      <c r="K104" s="75">
        <v>430</v>
      </c>
      <c r="L104" s="76">
        <v>22.5</v>
      </c>
      <c r="M104" s="77">
        <v>400</v>
      </c>
      <c r="N104" s="77">
        <v>97.5</v>
      </c>
      <c r="O104" s="77">
        <v>230</v>
      </c>
      <c r="P104" s="77">
        <v>156</v>
      </c>
      <c r="Q104" s="77">
        <v>190</v>
      </c>
      <c r="R104" s="77">
        <v>26</v>
      </c>
      <c r="S104" s="77">
        <v>100</v>
      </c>
      <c r="T104" s="40">
        <v>15</v>
      </c>
      <c r="U104" s="77">
        <v>288</v>
      </c>
      <c r="V104" s="63">
        <v>52.5</v>
      </c>
      <c r="W104" s="77">
        <v>420</v>
      </c>
      <c r="X104" s="77">
        <v>45</v>
      </c>
    </row>
    <row r="105" spans="1:24" x14ac:dyDescent="0.3">
      <c r="A105" s="22">
        <v>1588.62</v>
      </c>
      <c r="B105" s="44">
        <v>1670.81</v>
      </c>
      <c r="C105" s="22">
        <v>2052.4899999999998</v>
      </c>
      <c r="D105" s="22">
        <v>2465.83</v>
      </c>
      <c r="E105" s="46"/>
      <c r="F105" s="22">
        <v>1601.43</v>
      </c>
      <c r="G105" s="22">
        <v>2086.7600000000002</v>
      </c>
      <c r="H105" s="15"/>
      <c r="I105" s="15">
        <v>1609.24</v>
      </c>
      <c r="K105" s="21">
        <v>246</v>
      </c>
      <c r="L105" s="79">
        <v>665</v>
      </c>
      <c r="M105" s="43">
        <v>228</v>
      </c>
      <c r="N105" s="43">
        <v>116</v>
      </c>
      <c r="O105" s="43">
        <v>330</v>
      </c>
      <c r="P105" s="43">
        <v>882.5</v>
      </c>
      <c r="Q105" s="43">
        <v>308</v>
      </c>
      <c r="R105" s="80">
        <v>28</v>
      </c>
      <c r="S105" s="43">
        <v>84</v>
      </c>
      <c r="T105" s="27"/>
      <c r="U105" s="43">
        <v>400</v>
      </c>
      <c r="V105" s="22">
        <v>28</v>
      </c>
      <c r="W105" s="43">
        <v>286</v>
      </c>
      <c r="X105" s="43">
        <v>52</v>
      </c>
    </row>
    <row r="106" spans="1:24" x14ac:dyDescent="0.3">
      <c r="A106" s="22"/>
      <c r="B106" s="41"/>
      <c r="C106" s="22"/>
      <c r="D106" s="22"/>
      <c r="E106" s="22"/>
      <c r="F106" s="22"/>
      <c r="G106" s="22"/>
      <c r="H106" s="15"/>
      <c r="I106" s="15">
        <v>1728</v>
      </c>
      <c r="K106" s="21">
        <v>3370</v>
      </c>
      <c r="L106" s="79"/>
      <c r="M106" s="43">
        <v>3660</v>
      </c>
      <c r="N106" s="43"/>
      <c r="O106" s="43">
        <v>4080</v>
      </c>
      <c r="P106" s="43"/>
      <c r="Q106" s="43">
        <v>2280</v>
      </c>
      <c r="R106" s="84">
        <v>57.5</v>
      </c>
      <c r="S106" s="43">
        <v>830</v>
      </c>
      <c r="T106" s="27"/>
      <c r="U106" s="43">
        <v>4450</v>
      </c>
      <c r="V106" s="22">
        <v>114</v>
      </c>
      <c r="W106" s="43">
        <v>3460</v>
      </c>
      <c r="X106" s="43">
        <v>399.8</v>
      </c>
    </row>
    <row r="107" spans="1:24" x14ac:dyDescent="0.3">
      <c r="A107" s="22"/>
      <c r="B107" s="22"/>
      <c r="C107" s="22"/>
      <c r="D107" s="22"/>
      <c r="E107" s="22"/>
      <c r="F107" s="22"/>
      <c r="G107" s="22"/>
      <c r="H107" s="15"/>
      <c r="I107" s="15">
        <v>3416</v>
      </c>
      <c r="K107" s="21">
        <v>440</v>
      </c>
      <c r="L107" s="8"/>
      <c r="M107" s="43">
        <v>370</v>
      </c>
      <c r="N107" s="43"/>
      <c r="O107" s="43">
        <v>230</v>
      </c>
      <c r="P107" s="43"/>
      <c r="Q107" s="43">
        <v>140</v>
      </c>
      <c r="R107" s="43">
        <v>200</v>
      </c>
      <c r="S107" s="43"/>
      <c r="T107" s="27"/>
      <c r="U107" s="43">
        <v>300</v>
      </c>
      <c r="V107" s="22">
        <v>175</v>
      </c>
      <c r="W107" s="43">
        <v>440</v>
      </c>
      <c r="X107" s="43"/>
    </row>
    <row r="108" spans="1:24" x14ac:dyDescent="0.3">
      <c r="A108" s="22"/>
      <c r="B108" s="22"/>
      <c r="C108" s="22"/>
      <c r="D108" s="22"/>
      <c r="E108" s="22"/>
      <c r="F108" s="22"/>
      <c r="G108" s="22"/>
      <c r="H108" s="15"/>
      <c r="I108" s="15">
        <v>4834</v>
      </c>
      <c r="K108" s="128"/>
      <c r="L108" s="79"/>
      <c r="M108" s="43"/>
      <c r="N108" s="43"/>
      <c r="O108" s="43"/>
      <c r="P108" s="43"/>
      <c r="Q108" s="43"/>
      <c r="R108" s="43">
        <v>1050</v>
      </c>
      <c r="S108" s="43"/>
      <c r="T108" s="27"/>
      <c r="U108" s="43"/>
      <c r="V108" s="22"/>
      <c r="W108" s="43"/>
      <c r="X108" s="43"/>
    </row>
    <row r="109" spans="1:24" x14ac:dyDescent="0.3">
      <c r="A109" s="22"/>
      <c r="B109" s="22"/>
      <c r="C109" s="22"/>
      <c r="D109" s="22"/>
      <c r="E109" s="22"/>
      <c r="F109" s="22"/>
      <c r="G109" s="22"/>
      <c r="H109" s="160"/>
      <c r="I109" s="15">
        <v>6360</v>
      </c>
      <c r="K109" s="128"/>
      <c r="L109" s="79"/>
      <c r="M109" s="43"/>
      <c r="N109" s="43"/>
      <c r="O109" s="43"/>
      <c r="P109" s="43"/>
      <c r="Q109" s="43"/>
      <c r="R109" s="43"/>
      <c r="S109" s="43"/>
      <c r="T109" s="27"/>
      <c r="U109" s="43"/>
      <c r="V109" s="22"/>
      <c r="W109" s="43"/>
      <c r="X109" s="43"/>
    </row>
    <row r="110" spans="1:24" x14ac:dyDescent="0.3">
      <c r="A110" s="22"/>
      <c r="B110" s="22"/>
      <c r="C110" s="22"/>
      <c r="D110" s="22"/>
      <c r="E110" s="22"/>
      <c r="F110" s="22"/>
      <c r="G110" s="22"/>
      <c r="H110" s="65"/>
      <c r="I110" s="15">
        <v>5820.3</v>
      </c>
      <c r="K110" s="21"/>
      <c r="L110" s="79"/>
      <c r="M110" s="43"/>
      <c r="N110" s="43"/>
      <c r="O110" s="43"/>
      <c r="P110" s="43"/>
      <c r="Q110" s="43"/>
      <c r="R110" s="43"/>
      <c r="S110" s="43"/>
      <c r="T110" s="27"/>
      <c r="U110" s="43"/>
      <c r="V110" s="22"/>
      <c r="W110" s="43"/>
      <c r="X110" s="43"/>
    </row>
    <row r="111" spans="1:24" x14ac:dyDescent="0.3">
      <c r="A111" s="22"/>
      <c r="B111" s="22"/>
      <c r="C111" s="22"/>
      <c r="D111" s="22"/>
      <c r="E111" s="22"/>
      <c r="F111" s="22"/>
      <c r="G111" s="22"/>
      <c r="H111" s="37"/>
      <c r="I111" s="15">
        <v>5969.12</v>
      </c>
      <c r="K111" s="24"/>
      <c r="L111" s="56"/>
      <c r="M111" s="22"/>
      <c r="N111" s="22"/>
      <c r="O111" s="22"/>
      <c r="P111" s="22"/>
      <c r="Q111" s="22"/>
      <c r="R111" s="22"/>
      <c r="S111" s="22"/>
      <c r="T111" s="27"/>
      <c r="U111" s="22"/>
      <c r="V111" s="22"/>
      <c r="W111" s="22"/>
      <c r="X111" s="22"/>
    </row>
    <row r="112" spans="1:24" ht="15" thickBot="1" x14ac:dyDescent="0.35">
      <c r="A112" s="22"/>
      <c r="B112" s="22"/>
      <c r="C112" s="22"/>
      <c r="D112" s="22"/>
      <c r="E112" s="22"/>
      <c r="F112" s="22"/>
      <c r="G112" s="22"/>
      <c r="H112" s="37"/>
      <c r="I112" s="15"/>
      <c r="K112" s="24"/>
      <c r="L112" s="56"/>
      <c r="M112" s="22"/>
      <c r="N112" s="22"/>
      <c r="O112" s="22"/>
      <c r="P112" s="22"/>
      <c r="Q112" s="22"/>
      <c r="R112" s="22"/>
      <c r="S112" s="22"/>
      <c r="T112" s="27"/>
      <c r="U112" s="22"/>
      <c r="V112" s="22"/>
      <c r="W112" s="22"/>
      <c r="X112" s="22"/>
    </row>
    <row r="113" spans="1:24" ht="15.6" thickTop="1" thickBot="1" x14ac:dyDescent="0.35">
      <c r="A113" s="22"/>
      <c r="B113" s="22"/>
      <c r="C113" s="22"/>
      <c r="D113" s="22"/>
      <c r="E113" s="22"/>
      <c r="F113" s="22"/>
      <c r="G113" s="22"/>
      <c r="H113" s="37"/>
      <c r="I113" s="132">
        <f>SUM(I103:I112)</f>
        <v>31480.659999999996</v>
      </c>
      <c r="K113" s="24"/>
      <c r="L113" s="56"/>
      <c r="M113" s="22"/>
      <c r="N113" s="22"/>
      <c r="O113" s="22"/>
      <c r="P113" s="22"/>
      <c r="Q113" s="22"/>
      <c r="R113" s="22"/>
      <c r="S113" s="22"/>
      <c r="T113" s="27"/>
      <c r="U113" s="22"/>
      <c r="V113" s="22"/>
      <c r="W113" s="22"/>
      <c r="X113" s="22"/>
    </row>
    <row r="114" spans="1:24" ht="15" thickTop="1" x14ac:dyDescent="0.3">
      <c r="A114" s="22"/>
      <c r="B114" s="22"/>
      <c r="C114" s="22"/>
      <c r="D114" s="22"/>
      <c r="E114" s="22"/>
      <c r="F114" s="22"/>
      <c r="G114" s="22"/>
      <c r="H114" s="22"/>
      <c r="I114" s="40"/>
      <c r="K114" s="24"/>
      <c r="L114" s="56"/>
      <c r="M114" s="22"/>
      <c r="N114" s="22"/>
      <c r="O114" s="22"/>
      <c r="P114" s="22"/>
      <c r="Q114" s="22"/>
      <c r="R114" s="22"/>
      <c r="S114" s="22"/>
      <c r="T114" s="27"/>
      <c r="U114" s="22"/>
      <c r="V114" s="22"/>
      <c r="W114" s="22"/>
      <c r="X114" s="22"/>
    </row>
    <row r="115" spans="1:24" x14ac:dyDescent="0.3">
      <c r="A115" s="22"/>
      <c r="B115" s="22"/>
      <c r="C115" s="22"/>
      <c r="D115" s="22"/>
      <c r="E115" s="22"/>
      <c r="F115" s="22"/>
      <c r="G115" s="22"/>
      <c r="H115" s="22"/>
      <c r="I115" s="27"/>
      <c r="K115" s="24"/>
      <c r="L115" s="56"/>
      <c r="M115" s="22"/>
      <c r="N115" s="22"/>
      <c r="O115" s="22"/>
      <c r="P115" s="22"/>
      <c r="Q115" s="22"/>
      <c r="R115" s="22"/>
      <c r="S115" s="22"/>
      <c r="T115" s="27"/>
      <c r="U115" s="22"/>
      <c r="V115" s="22"/>
      <c r="W115" s="22"/>
      <c r="X115" s="22"/>
    </row>
    <row r="116" spans="1:24" x14ac:dyDescent="0.3">
      <c r="A116" s="22"/>
      <c r="B116" s="22"/>
      <c r="C116" s="22"/>
      <c r="D116" s="22"/>
      <c r="E116" s="22"/>
      <c r="F116" s="22"/>
      <c r="G116" s="22"/>
      <c r="H116" s="22"/>
      <c r="I116" s="27"/>
      <c r="K116" s="24"/>
      <c r="L116" s="56"/>
      <c r="M116" s="22"/>
      <c r="N116" s="22"/>
      <c r="O116" s="22"/>
      <c r="P116" s="22"/>
      <c r="Q116" s="22"/>
      <c r="R116" s="22"/>
      <c r="S116" s="22"/>
      <c r="T116" s="27"/>
      <c r="U116" s="22"/>
      <c r="V116" s="22"/>
      <c r="W116" s="22"/>
      <c r="X116" s="22"/>
    </row>
    <row r="117" spans="1:24" x14ac:dyDescent="0.3">
      <c r="A117" s="22"/>
      <c r="B117" s="22"/>
      <c r="C117" s="22"/>
      <c r="D117" s="22"/>
      <c r="E117" s="22"/>
      <c r="F117" s="22"/>
      <c r="G117" s="22"/>
      <c r="H117" s="22"/>
      <c r="I117" s="27"/>
      <c r="K117" s="24"/>
      <c r="L117" s="22"/>
      <c r="M117" s="22"/>
      <c r="N117" s="22"/>
      <c r="O117" s="22"/>
      <c r="P117" s="22"/>
      <c r="Q117" s="22"/>
      <c r="R117" s="22"/>
      <c r="S117" s="22"/>
      <c r="T117" s="27"/>
      <c r="U117" s="22"/>
      <c r="V117" s="22"/>
      <c r="W117" s="22"/>
      <c r="X117" s="22"/>
    </row>
    <row r="118" spans="1:24" ht="15" thickBot="1" x14ac:dyDescent="0.35">
      <c r="A118" s="140">
        <f t="shared" ref="A118:G118" si="95">SUM(A103:A117)</f>
        <v>3485.62</v>
      </c>
      <c r="B118" s="140">
        <f t="shared" si="95"/>
        <v>3746.81</v>
      </c>
      <c r="C118" s="140">
        <f t="shared" si="95"/>
        <v>4547.49</v>
      </c>
      <c r="D118" s="140">
        <f t="shared" si="95"/>
        <v>4294.83</v>
      </c>
      <c r="E118" s="140">
        <f t="shared" si="95"/>
        <v>215</v>
      </c>
      <c r="F118" s="140">
        <f t="shared" si="95"/>
        <v>4257.43</v>
      </c>
      <c r="G118" s="140">
        <f t="shared" si="95"/>
        <v>3441.76</v>
      </c>
      <c r="H118" s="149">
        <f>SUM(A118:G118)+I113</f>
        <v>55469.599999999999</v>
      </c>
      <c r="I118" s="150" t="s">
        <v>7</v>
      </c>
      <c r="K118" s="34">
        <f>SUM(K104:K117)</f>
        <v>4486</v>
      </c>
      <c r="L118" s="34">
        <f>SUM(L104:L117)</f>
        <v>687.5</v>
      </c>
      <c r="M118" s="34">
        <f t="shared" ref="M118:X118" si="96">SUM(M104:M117)</f>
        <v>4658</v>
      </c>
      <c r="N118" s="34">
        <f t="shared" si="96"/>
        <v>213.5</v>
      </c>
      <c r="O118" s="34">
        <f t="shared" si="96"/>
        <v>4870</v>
      </c>
      <c r="P118" s="34">
        <f t="shared" si="96"/>
        <v>1038.5</v>
      </c>
      <c r="Q118" s="34">
        <f t="shared" si="96"/>
        <v>2918</v>
      </c>
      <c r="R118" s="34">
        <f t="shared" si="96"/>
        <v>1361.5</v>
      </c>
      <c r="S118" s="34">
        <f t="shared" si="96"/>
        <v>1014</v>
      </c>
      <c r="T118" s="34">
        <f t="shared" si="96"/>
        <v>15</v>
      </c>
      <c r="U118" s="34">
        <f t="shared" si="96"/>
        <v>5438</v>
      </c>
      <c r="V118" s="34">
        <f t="shared" si="96"/>
        <v>369.5</v>
      </c>
      <c r="W118" s="34">
        <f t="shared" si="96"/>
        <v>4606</v>
      </c>
      <c r="X118" s="34">
        <f t="shared" si="96"/>
        <v>496.8</v>
      </c>
    </row>
    <row r="119" spans="1:24" ht="15" thickBot="1" x14ac:dyDescent="0.35">
      <c r="A119" s="63">
        <v>3485.62</v>
      </c>
      <c r="B119" s="63">
        <v>3746.81</v>
      </c>
      <c r="C119" s="63">
        <v>4547.49</v>
      </c>
      <c r="D119" s="63">
        <v>4294.83</v>
      </c>
      <c r="E119" s="63">
        <v>215</v>
      </c>
      <c r="F119" s="63">
        <v>4257.43</v>
      </c>
      <c r="G119" s="63">
        <v>3441.76</v>
      </c>
      <c r="H119" s="149">
        <f>SUM(A119:G119)+I113</f>
        <v>55469.599999999999</v>
      </c>
      <c r="I119" s="151" t="s">
        <v>1</v>
      </c>
      <c r="K119" s="152">
        <v>4486</v>
      </c>
      <c r="L119" s="152">
        <v>687.5</v>
      </c>
      <c r="M119" s="152">
        <v>4658</v>
      </c>
      <c r="N119" s="152">
        <v>213.5</v>
      </c>
      <c r="O119" s="152">
        <v>4870</v>
      </c>
      <c r="P119" s="152">
        <v>1038.5</v>
      </c>
      <c r="Q119" s="152">
        <v>2918</v>
      </c>
      <c r="R119" s="152">
        <v>1361.5</v>
      </c>
      <c r="S119" s="152">
        <v>1014</v>
      </c>
      <c r="T119" s="152">
        <v>15</v>
      </c>
      <c r="U119" s="152">
        <v>5438</v>
      </c>
      <c r="V119" s="152">
        <v>369.5</v>
      </c>
      <c r="W119" s="152">
        <v>4606</v>
      </c>
      <c r="X119" s="152">
        <v>496.8</v>
      </c>
    </row>
    <row r="120" spans="1:24" ht="15" thickBot="1" x14ac:dyDescent="0.35">
      <c r="A120" s="63">
        <f t="shared" ref="A120:H120" si="97">A118-A119</f>
        <v>0</v>
      </c>
      <c r="B120" s="63">
        <f t="shared" si="97"/>
        <v>0</v>
      </c>
      <c r="C120" s="63">
        <f t="shared" si="97"/>
        <v>0</v>
      </c>
      <c r="D120" s="63">
        <f t="shared" si="97"/>
        <v>0</v>
      </c>
      <c r="E120" s="63">
        <f t="shared" si="97"/>
        <v>0</v>
      </c>
      <c r="F120" s="63">
        <f t="shared" si="97"/>
        <v>0</v>
      </c>
      <c r="G120" s="63">
        <f t="shared" si="97"/>
        <v>0</v>
      </c>
      <c r="H120" s="63">
        <f t="shared" si="97"/>
        <v>0</v>
      </c>
      <c r="I120" s="22"/>
      <c r="K120" s="152">
        <f>K118-K119</f>
        <v>0</v>
      </c>
      <c r="L120" s="152">
        <f t="shared" ref="L120" si="98">L118-L119</f>
        <v>0</v>
      </c>
      <c r="M120" s="152">
        <f>M119-M118</f>
        <v>0</v>
      </c>
      <c r="N120" s="152">
        <f>N119-N118</f>
        <v>0</v>
      </c>
      <c r="O120" s="152">
        <f>O119-O118</f>
        <v>0</v>
      </c>
      <c r="P120" s="152">
        <f>P119-P118</f>
        <v>0</v>
      </c>
      <c r="Q120" s="152">
        <f t="shared" ref="Q120:X120" si="99">Q119-Q118</f>
        <v>0</v>
      </c>
      <c r="R120" s="152">
        <f t="shared" si="99"/>
        <v>0</v>
      </c>
      <c r="S120" s="152">
        <f t="shared" si="99"/>
        <v>0</v>
      </c>
      <c r="T120" s="152">
        <f t="shared" si="99"/>
        <v>0</v>
      </c>
      <c r="U120" s="152">
        <f t="shared" si="99"/>
        <v>0</v>
      </c>
      <c r="V120" s="152">
        <f t="shared" si="99"/>
        <v>0</v>
      </c>
      <c r="W120" s="152">
        <f t="shared" si="99"/>
        <v>0</v>
      </c>
      <c r="X120" s="152">
        <f t="shared" si="99"/>
        <v>0</v>
      </c>
    </row>
    <row r="121" spans="1:24" ht="15" thickBot="1" x14ac:dyDescent="0.35"/>
    <row r="122" spans="1:24" x14ac:dyDescent="0.3">
      <c r="A122" s="157">
        <v>45910</v>
      </c>
      <c r="B122" s="157">
        <f>A122+1</f>
        <v>45911</v>
      </c>
      <c r="C122" s="157">
        <f t="shared" ref="C122" si="100">B122+1</f>
        <v>45912</v>
      </c>
      <c r="D122" s="157">
        <f t="shared" ref="D122" si="101">C122+1</f>
        <v>45913</v>
      </c>
      <c r="E122" s="157">
        <f t="shared" ref="E122" si="102">D122+1</f>
        <v>45914</v>
      </c>
      <c r="F122" s="157">
        <f t="shared" ref="F122" si="103">E122+1</f>
        <v>45915</v>
      </c>
      <c r="G122" s="157">
        <f t="shared" ref="G122" si="104">F122+1</f>
        <v>45916</v>
      </c>
      <c r="H122" s="157"/>
      <c r="I122" s="13" t="s">
        <v>8</v>
      </c>
      <c r="K122" s="59">
        <v>45910</v>
      </c>
      <c r="L122" s="59"/>
      <c r="M122" s="59">
        <f>K122+1</f>
        <v>45911</v>
      </c>
      <c r="N122" s="59"/>
      <c r="O122" s="59">
        <f t="shared" ref="O122" si="105">M122+1</f>
        <v>45912</v>
      </c>
      <c r="P122" s="59"/>
      <c r="Q122" s="59">
        <f t="shared" ref="Q122" si="106">O122+1</f>
        <v>45913</v>
      </c>
      <c r="R122" s="59"/>
      <c r="S122" s="59">
        <f t="shared" ref="S122" si="107">Q122+1</f>
        <v>45914</v>
      </c>
      <c r="T122" s="59"/>
      <c r="U122" s="59">
        <f t="shared" ref="U122" si="108">S122+1</f>
        <v>45915</v>
      </c>
      <c r="V122" s="59"/>
      <c r="W122" s="59">
        <f t="shared" ref="W122" si="109">U122+1</f>
        <v>45916</v>
      </c>
      <c r="X122" s="59"/>
    </row>
    <row r="123" spans="1:24" ht="15" thickBot="1" x14ac:dyDescent="0.35">
      <c r="A123" s="22">
        <v>430</v>
      </c>
      <c r="B123" s="22">
        <v>385</v>
      </c>
      <c r="C123" s="22">
        <v>495</v>
      </c>
      <c r="D123" s="22">
        <v>605</v>
      </c>
      <c r="E123" s="22">
        <v>120</v>
      </c>
      <c r="F123" s="22">
        <v>619</v>
      </c>
      <c r="G123" s="22">
        <v>387</v>
      </c>
      <c r="H123" s="15"/>
      <c r="I123" s="15">
        <v>1040.8800000000001</v>
      </c>
      <c r="K123" s="124" t="s">
        <v>10</v>
      </c>
      <c r="L123" s="125" t="s">
        <v>11</v>
      </c>
      <c r="M123" s="126" t="s">
        <v>10</v>
      </c>
      <c r="N123" s="126" t="s">
        <v>11</v>
      </c>
      <c r="O123" s="126" t="s">
        <v>10</v>
      </c>
      <c r="P123" s="126" t="s">
        <v>11</v>
      </c>
      <c r="Q123" s="126" t="s">
        <v>10</v>
      </c>
      <c r="R123" s="126" t="s">
        <v>11</v>
      </c>
      <c r="S123" s="126" t="s">
        <v>10</v>
      </c>
      <c r="T123" s="126" t="s">
        <v>11</v>
      </c>
      <c r="U123" s="126" t="s">
        <v>10</v>
      </c>
      <c r="V123" s="126" t="s">
        <v>11</v>
      </c>
      <c r="W123" s="126" t="s">
        <v>10</v>
      </c>
      <c r="X123" s="143" t="s">
        <v>11</v>
      </c>
    </row>
    <row r="124" spans="1:24" x14ac:dyDescent="0.3">
      <c r="A124" s="22">
        <v>1440</v>
      </c>
      <c r="B124" s="22">
        <v>1290</v>
      </c>
      <c r="C124" s="22">
        <v>2085</v>
      </c>
      <c r="D124" s="22">
        <v>441</v>
      </c>
      <c r="E124" s="22">
        <v>120</v>
      </c>
      <c r="F124" s="22">
        <v>1740</v>
      </c>
      <c r="G124" s="22">
        <v>1430</v>
      </c>
      <c r="H124" s="15"/>
      <c r="I124" s="15">
        <v>1924</v>
      </c>
      <c r="K124" s="75">
        <v>280</v>
      </c>
      <c r="L124" s="76">
        <v>187.8</v>
      </c>
      <c r="M124" s="77">
        <v>350</v>
      </c>
      <c r="N124" s="77">
        <v>45</v>
      </c>
      <c r="O124" s="77">
        <v>320</v>
      </c>
      <c r="P124" s="77">
        <v>57.5</v>
      </c>
      <c r="Q124" s="77">
        <v>180</v>
      </c>
      <c r="R124" s="77">
        <v>47</v>
      </c>
      <c r="S124" s="77">
        <v>84</v>
      </c>
      <c r="T124" s="40">
        <v>15</v>
      </c>
      <c r="U124" s="77">
        <v>220</v>
      </c>
      <c r="V124" s="63">
        <v>45</v>
      </c>
      <c r="W124" s="77">
        <v>230</v>
      </c>
      <c r="X124" s="77">
        <v>90</v>
      </c>
    </row>
    <row r="125" spans="1:24" x14ac:dyDescent="0.3">
      <c r="A125" s="22">
        <v>1860.81</v>
      </c>
      <c r="B125" s="44">
        <v>2122.71</v>
      </c>
      <c r="C125" s="22">
        <v>2264.79</v>
      </c>
      <c r="D125" s="22">
        <v>1329.11</v>
      </c>
      <c r="E125" s="46"/>
      <c r="F125" s="22">
        <v>1860.81</v>
      </c>
      <c r="G125" s="22">
        <v>1696.43</v>
      </c>
      <c r="H125" s="15"/>
      <c r="I125" s="15">
        <v>1461</v>
      </c>
      <c r="K125" s="21">
        <v>220</v>
      </c>
      <c r="L125" s="79">
        <v>426</v>
      </c>
      <c r="M125" s="43">
        <v>208</v>
      </c>
      <c r="N125" s="43">
        <v>60</v>
      </c>
      <c r="O125" s="43">
        <v>304</v>
      </c>
      <c r="P125" s="43">
        <v>193.5</v>
      </c>
      <c r="Q125" s="43">
        <v>168</v>
      </c>
      <c r="R125" s="80">
        <v>117.5</v>
      </c>
      <c r="S125" s="43">
        <v>920</v>
      </c>
      <c r="T125" s="27"/>
      <c r="U125" s="43">
        <v>176</v>
      </c>
      <c r="V125" s="22">
        <v>427.2</v>
      </c>
      <c r="W125" s="43">
        <v>286</v>
      </c>
      <c r="X125" s="43">
        <v>45</v>
      </c>
    </row>
    <row r="126" spans="1:24" x14ac:dyDescent="0.3">
      <c r="A126" s="22"/>
      <c r="B126" s="41"/>
      <c r="C126" s="22"/>
      <c r="D126" s="22"/>
      <c r="E126" s="22"/>
      <c r="F126" s="22"/>
      <c r="G126" s="22"/>
      <c r="H126" s="15"/>
      <c r="I126" s="15">
        <v>3628</v>
      </c>
      <c r="K126" s="21">
        <v>4150</v>
      </c>
      <c r="L126" s="79">
        <v>60</v>
      </c>
      <c r="M126" s="43">
        <v>4810</v>
      </c>
      <c r="N126" s="43"/>
      <c r="O126" s="43">
        <v>4100</v>
      </c>
      <c r="P126" s="43"/>
      <c r="Q126" s="43">
        <v>1460</v>
      </c>
      <c r="R126" s="84">
        <v>28</v>
      </c>
      <c r="S126" s="43"/>
      <c r="T126" s="27"/>
      <c r="U126" s="43">
        <v>4750</v>
      </c>
      <c r="V126" s="22">
        <v>549</v>
      </c>
      <c r="W126" s="43">
        <v>480</v>
      </c>
      <c r="X126" s="43"/>
    </row>
    <row r="127" spans="1:24" x14ac:dyDescent="0.3">
      <c r="A127" s="22"/>
      <c r="B127" s="22"/>
      <c r="C127" s="22"/>
      <c r="D127" s="22"/>
      <c r="E127" s="22"/>
      <c r="F127" s="22"/>
      <c r="G127" s="22"/>
      <c r="H127" s="15"/>
      <c r="I127" s="15">
        <v>5154</v>
      </c>
      <c r="K127" s="21">
        <v>230</v>
      </c>
      <c r="L127" s="8">
        <v>104</v>
      </c>
      <c r="M127" s="43">
        <v>210</v>
      </c>
      <c r="N127" s="43"/>
      <c r="O127" s="43">
        <v>370</v>
      </c>
      <c r="P127" s="43"/>
      <c r="Q127" s="43"/>
      <c r="R127" s="43"/>
      <c r="S127" s="43"/>
      <c r="T127" s="27"/>
      <c r="U127" s="43">
        <v>210</v>
      </c>
      <c r="V127" s="22"/>
      <c r="W127" s="43">
        <v>3160</v>
      </c>
      <c r="X127" s="43"/>
    </row>
    <row r="128" spans="1:24" x14ac:dyDescent="0.3">
      <c r="A128" s="22"/>
      <c r="B128" s="22"/>
      <c r="C128" s="22"/>
      <c r="D128" s="22"/>
      <c r="E128" s="22"/>
      <c r="F128" s="22"/>
      <c r="G128" s="22"/>
      <c r="H128" s="15"/>
      <c r="I128" s="15">
        <v>6360</v>
      </c>
      <c r="K128" s="128" t="s">
        <v>49</v>
      </c>
      <c r="L128" s="79"/>
      <c r="M128" s="43"/>
      <c r="N128" s="43"/>
      <c r="O128" s="43"/>
      <c r="P128" s="43"/>
      <c r="Q128" s="43"/>
      <c r="R128" s="43"/>
      <c r="S128" s="43"/>
      <c r="T128" s="27"/>
      <c r="U128" s="43"/>
      <c r="V128" s="22"/>
      <c r="W128" s="43"/>
      <c r="X128" s="43"/>
    </row>
    <row r="129" spans="1:24" x14ac:dyDescent="0.3">
      <c r="A129" s="22"/>
      <c r="B129" s="22"/>
      <c r="C129" s="22"/>
      <c r="D129" s="22"/>
      <c r="E129" s="22"/>
      <c r="F129" s="22"/>
      <c r="G129" s="22"/>
      <c r="H129" s="160"/>
      <c r="I129" s="15">
        <v>5820.3</v>
      </c>
      <c r="K129" s="128"/>
      <c r="L129" s="79"/>
      <c r="M129" s="43"/>
      <c r="N129" s="43"/>
      <c r="O129" s="43"/>
      <c r="P129" s="43"/>
      <c r="Q129" s="43"/>
      <c r="R129" s="43"/>
      <c r="S129" s="43"/>
      <c r="T129" s="27"/>
      <c r="U129" s="43"/>
      <c r="V129" s="22"/>
      <c r="W129" s="43"/>
      <c r="X129" s="43"/>
    </row>
    <row r="130" spans="1:24" x14ac:dyDescent="0.3">
      <c r="A130" s="22"/>
      <c r="B130" s="22"/>
      <c r="C130" s="22"/>
      <c r="D130" s="22"/>
      <c r="E130" s="22"/>
      <c r="F130" s="22"/>
      <c r="G130" s="22"/>
      <c r="H130" s="65"/>
      <c r="I130" s="15">
        <v>5969.12</v>
      </c>
      <c r="K130" s="21"/>
      <c r="L130" s="79"/>
      <c r="M130" s="43"/>
      <c r="N130" s="43"/>
      <c r="O130" s="43"/>
      <c r="P130" s="43"/>
      <c r="Q130" s="43"/>
      <c r="R130" s="43"/>
      <c r="S130" s="43"/>
      <c r="T130" s="27"/>
      <c r="U130" s="43"/>
      <c r="V130" s="22"/>
      <c r="W130" s="43"/>
      <c r="X130" s="43"/>
    </row>
    <row r="131" spans="1:24" x14ac:dyDescent="0.3">
      <c r="A131" s="22"/>
      <c r="B131" s="22"/>
      <c r="C131" s="22"/>
      <c r="D131" s="22"/>
      <c r="E131" s="22"/>
      <c r="F131" s="22"/>
      <c r="G131" s="22"/>
      <c r="H131" s="37"/>
      <c r="I131" s="15"/>
      <c r="K131" s="24"/>
      <c r="L131" s="56"/>
      <c r="M131" s="22"/>
      <c r="N131" s="22"/>
      <c r="O131" s="43"/>
      <c r="P131" s="22"/>
      <c r="Q131" s="22"/>
      <c r="R131" s="22"/>
      <c r="S131" s="22"/>
      <c r="T131" s="27"/>
      <c r="U131" s="22"/>
      <c r="V131" s="22"/>
      <c r="W131" s="22"/>
      <c r="X131" s="22"/>
    </row>
    <row r="132" spans="1:24" ht="15" thickBot="1" x14ac:dyDescent="0.35">
      <c r="A132" s="22"/>
      <c r="B132" s="22"/>
      <c r="C132" s="22"/>
      <c r="D132" s="22"/>
      <c r="E132" s="22"/>
      <c r="F132" s="22"/>
      <c r="G132" s="22"/>
      <c r="H132" s="37" t="s">
        <v>9</v>
      </c>
      <c r="I132" s="15"/>
      <c r="K132" s="24"/>
      <c r="L132" s="56"/>
      <c r="M132" s="22"/>
      <c r="N132" s="22"/>
      <c r="O132" s="43"/>
      <c r="P132" s="22"/>
      <c r="Q132" s="22"/>
      <c r="R132" s="22"/>
      <c r="S132" s="22"/>
      <c r="T132" s="27"/>
      <c r="U132" s="22"/>
      <c r="V132" s="22"/>
      <c r="W132" s="22"/>
      <c r="X132" s="22"/>
    </row>
    <row r="133" spans="1:24" ht="15.6" thickTop="1" thickBot="1" x14ac:dyDescent="0.35">
      <c r="A133" s="22"/>
      <c r="B133" s="22"/>
      <c r="C133" s="22"/>
      <c r="D133" s="22"/>
      <c r="E133" s="22"/>
      <c r="F133" s="22"/>
      <c r="G133" s="22"/>
      <c r="H133" s="37"/>
      <c r="I133" s="132">
        <f>SUM(I123:I132)</f>
        <v>31357.3</v>
      </c>
      <c r="K133" s="24"/>
      <c r="L133" s="56"/>
      <c r="M133" s="22"/>
      <c r="N133" s="22"/>
      <c r="O133" s="43"/>
      <c r="P133" s="22"/>
      <c r="Q133" s="22"/>
      <c r="R133" s="22"/>
      <c r="S133" s="22"/>
      <c r="T133" s="27"/>
      <c r="U133" s="22"/>
      <c r="V133" s="22"/>
      <c r="W133" s="22"/>
      <c r="X133" s="22"/>
    </row>
    <row r="134" spans="1:24" ht="15" thickTop="1" x14ac:dyDescent="0.3">
      <c r="A134" s="22"/>
      <c r="B134" s="22"/>
      <c r="C134" s="22"/>
      <c r="D134" s="22"/>
      <c r="E134" s="22"/>
      <c r="F134" s="22"/>
      <c r="G134" s="22"/>
      <c r="H134" s="22"/>
      <c r="I134" s="40"/>
      <c r="K134" s="24"/>
      <c r="L134" s="56"/>
      <c r="M134" s="22"/>
      <c r="N134" s="22"/>
      <c r="O134" s="43"/>
      <c r="P134" s="22"/>
      <c r="Q134" s="22"/>
      <c r="R134" s="22"/>
      <c r="S134" s="22"/>
      <c r="T134" s="27"/>
      <c r="U134" s="22"/>
      <c r="V134" s="22"/>
      <c r="W134" s="22"/>
      <c r="X134" s="22"/>
    </row>
    <row r="135" spans="1:24" x14ac:dyDescent="0.3">
      <c r="A135" s="22"/>
      <c r="B135" s="22"/>
      <c r="C135" s="22"/>
      <c r="D135" s="22"/>
      <c r="E135" s="22"/>
      <c r="F135" s="22"/>
      <c r="G135" s="22"/>
      <c r="H135" s="22"/>
      <c r="I135" s="27"/>
      <c r="K135" s="24"/>
      <c r="L135" s="56"/>
      <c r="M135" s="22"/>
      <c r="N135" s="22"/>
      <c r="O135" s="43"/>
      <c r="P135" s="22"/>
      <c r="Q135" s="22"/>
      <c r="R135" s="22"/>
      <c r="S135" s="22"/>
      <c r="T135" s="27"/>
      <c r="U135" s="22"/>
      <c r="V135" s="22"/>
      <c r="W135" s="22"/>
      <c r="X135" s="22"/>
    </row>
    <row r="136" spans="1:24" x14ac:dyDescent="0.3">
      <c r="A136" s="22"/>
      <c r="B136" s="22"/>
      <c r="C136" s="22"/>
      <c r="D136" s="22"/>
      <c r="E136" s="22"/>
      <c r="F136" s="22"/>
      <c r="G136" s="22"/>
      <c r="H136" s="22"/>
      <c r="I136" s="27"/>
      <c r="K136" s="24"/>
      <c r="L136" s="56"/>
      <c r="M136" s="22"/>
      <c r="N136" s="22"/>
      <c r="O136" s="43"/>
      <c r="P136" s="22"/>
      <c r="Q136" s="22"/>
      <c r="R136" s="22"/>
      <c r="S136" s="22"/>
      <c r="T136" s="27"/>
      <c r="U136" s="22"/>
      <c r="V136" s="22"/>
      <c r="W136" s="22"/>
      <c r="X136" s="22"/>
    </row>
    <row r="137" spans="1:24" x14ac:dyDescent="0.3">
      <c r="A137" s="22"/>
      <c r="B137" s="22"/>
      <c r="C137" s="22"/>
      <c r="D137" s="22"/>
      <c r="E137" s="22"/>
      <c r="F137" s="22"/>
      <c r="G137" s="22"/>
      <c r="H137" s="22"/>
      <c r="I137" s="27"/>
      <c r="K137" s="24"/>
      <c r="L137" s="22"/>
      <c r="M137" s="22"/>
      <c r="N137" s="22"/>
      <c r="O137" s="22"/>
      <c r="P137" s="22"/>
      <c r="Q137" s="22"/>
      <c r="R137" s="22"/>
      <c r="S137" s="22"/>
      <c r="T137" s="27"/>
      <c r="U137" s="22"/>
      <c r="V137" s="22"/>
      <c r="W137" s="22"/>
      <c r="X137" s="22"/>
    </row>
    <row r="138" spans="1:24" ht="15" thickBot="1" x14ac:dyDescent="0.35">
      <c r="A138" s="140">
        <f t="shared" ref="A138:B138" si="110">SUM(A123:A137)</f>
        <v>3730.81</v>
      </c>
      <c r="B138" s="140">
        <f t="shared" si="110"/>
        <v>3797.71</v>
      </c>
      <c r="C138" s="63">
        <v>4884.79</v>
      </c>
      <c r="D138" s="140">
        <f t="shared" ref="D138:F138" si="111">SUM(D123:D137)</f>
        <v>2375.1099999999997</v>
      </c>
      <c r="E138" s="140">
        <f t="shared" si="111"/>
        <v>240</v>
      </c>
      <c r="F138" s="140">
        <f t="shared" si="111"/>
        <v>4219.8099999999995</v>
      </c>
      <c r="G138" s="140">
        <f t="shared" ref="G138" si="112">SUM(G123:G137)</f>
        <v>3513.4300000000003</v>
      </c>
      <c r="H138" s="149">
        <f>SUM(A138:G138)+I133</f>
        <v>54118.960000000006</v>
      </c>
      <c r="I138" s="150"/>
      <c r="K138" s="34">
        <f>SUM(K124:K137)</f>
        <v>4880</v>
      </c>
      <c r="L138" s="34">
        <f t="shared" ref="L138:X138" si="113">SUM(L124:L137)</f>
        <v>777.8</v>
      </c>
      <c r="M138" s="34">
        <f t="shared" si="113"/>
        <v>5578</v>
      </c>
      <c r="N138" s="34">
        <f t="shared" si="113"/>
        <v>105</v>
      </c>
      <c r="O138" s="34">
        <f t="shared" si="113"/>
        <v>5094</v>
      </c>
      <c r="P138" s="34">
        <f t="shared" si="113"/>
        <v>251</v>
      </c>
      <c r="Q138" s="34">
        <f t="shared" si="113"/>
        <v>1808</v>
      </c>
      <c r="R138" s="34">
        <f t="shared" si="113"/>
        <v>192.5</v>
      </c>
      <c r="S138" s="34">
        <f t="shared" si="113"/>
        <v>1004</v>
      </c>
      <c r="T138" s="34">
        <f t="shared" si="113"/>
        <v>15</v>
      </c>
      <c r="U138" s="34">
        <f t="shared" si="113"/>
        <v>5356</v>
      </c>
      <c r="V138" s="34">
        <f t="shared" si="113"/>
        <v>1021.2</v>
      </c>
      <c r="W138" s="34">
        <f t="shared" si="113"/>
        <v>4156</v>
      </c>
      <c r="X138" s="34">
        <f t="shared" si="113"/>
        <v>135</v>
      </c>
    </row>
    <row r="139" spans="1:24" ht="15" thickBot="1" x14ac:dyDescent="0.35">
      <c r="A139" s="63">
        <v>3730.81</v>
      </c>
      <c r="B139" s="63">
        <v>3797.71</v>
      </c>
      <c r="C139" s="63">
        <v>4884.79</v>
      </c>
      <c r="D139" s="63">
        <v>2375.11</v>
      </c>
      <c r="E139" s="63">
        <v>240</v>
      </c>
      <c r="F139" s="63">
        <v>4219.8100000000004</v>
      </c>
      <c r="G139" s="63">
        <v>3513.43</v>
      </c>
      <c r="H139" s="149">
        <f>SUM(A139:G139)+I133</f>
        <v>54118.960000000006</v>
      </c>
      <c r="I139" s="151"/>
      <c r="K139" s="34">
        <v>4880</v>
      </c>
      <c r="L139" s="34">
        <v>777.8</v>
      </c>
      <c r="M139" s="34">
        <v>5578</v>
      </c>
      <c r="N139" s="34">
        <v>105</v>
      </c>
      <c r="O139" s="34">
        <v>5094</v>
      </c>
      <c r="P139" s="34">
        <v>251</v>
      </c>
      <c r="Q139" s="34">
        <v>1808</v>
      </c>
      <c r="R139" s="34">
        <v>192.5</v>
      </c>
      <c r="S139" s="34">
        <v>1004</v>
      </c>
      <c r="T139" s="34">
        <v>15</v>
      </c>
      <c r="U139" s="34">
        <v>5356</v>
      </c>
      <c r="V139" s="34">
        <v>1021.2</v>
      </c>
      <c r="W139" s="34">
        <v>4156</v>
      </c>
      <c r="X139" s="34">
        <v>135</v>
      </c>
    </row>
    <row r="140" spans="1:24" ht="15.6" thickTop="1" thickBot="1" x14ac:dyDescent="0.35">
      <c r="A140" s="63">
        <f t="shared" ref="A140:G140" si="114">A138-A139</f>
        <v>0</v>
      </c>
      <c r="B140" s="63">
        <f t="shared" si="114"/>
        <v>0</v>
      </c>
      <c r="C140" s="63">
        <f t="shared" si="114"/>
        <v>0</v>
      </c>
      <c r="D140" s="63">
        <f t="shared" si="114"/>
        <v>0</v>
      </c>
      <c r="E140" s="63">
        <f t="shared" si="114"/>
        <v>0</v>
      </c>
      <c r="F140" s="63">
        <f t="shared" si="114"/>
        <v>0</v>
      </c>
      <c r="G140" s="63">
        <f t="shared" si="114"/>
        <v>0</v>
      </c>
      <c r="H140" s="63">
        <f t="shared" ref="H140" si="115">H138-H139</f>
        <v>0</v>
      </c>
      <c r="I140" s="22"/>
      <c r="K140" s="152">
        <f>K138-K139</f>
        <v>0</v>
      </c>
      <c r="L140" s="152">
        <f>L138-L139</f>
        <v>0</v>
      </c>
      <c r="M140" s="152">
        <f>M139-M138</f>
        <v>0</v>
      </c>
      <c r="N140" s="152">
        <f>N139-N138</f>
        <v>0</v>
      </c>
      <c r="O140" s="152">
        <f t="shared" ref="O140:P140" si="116">O139-O138</f>
        <v>0</v>
      </c>
      <c r="P140" s="152">
        <f t="shared" si="116"/>
        <v>0</v>
      </c>
      <c r="Q140" s="152">
        <f t="shared" ref="Q140:X140" si="117">Q139-Q138</f>
        <v>0</v>
      </c>
      <c r="R140" s="152">
        <f t="shared" si="117"/>
        <v>0</v>
      </c>
      <c r="S140" s="152">
        <f t="shared" si="117"/>
        <v>0</v>
      </c>
      <c r="T140" s="152">
        <f t="shared" si="117"/>
        <v>0</v>
      </c>
      <c r="U140" s="152">
        <f t="shared" si="117"/>
        <v>0</v>
      </c>
      <c r="V140" s="152">
        <f t="shared" si="117"/>
        <v>0</v>
      </c>
      <c r="W140" s="152">
        <f t="shared" si="117"/>
        <v>0</v>
      </c>
      <c r="X140" s="152">
        <f t="shared" si="117"/>
        <v>0</v>
      </c>
    </row>
    <row r="141" spans="1:24" ht="15" thickBot="1" x14ac:dyDescent="0.35"/>
    <row r="142" spans="1:24" x14ac:dyDescent="0.3">
      <c r="A142" s="157">
        <v>45917</v>
      </c>
      <c r="B142" s="157">
        <f>A142+1</f>
        <v>45918</v>
      </c>
      <c r="C142" s="157">
        <f t="shared" ref="C142" si="118">B142+1</f>
        <v>45919</v>
      </c>
      <c r="D142" s="157">
        <f t="shared" ref="D142" si="119">C142+1</f>
        <v>45920</v>
      </c>
      <c r="E142" s="157">
        <f t="shared" ref="E142" si="120">D142+1</f>
        <v>45921</v>
      </c>
      <c r="F142" s="157">
        <f t="shared" ref="F142" si="121">E142+1</f>
        <v>45922</v>
      </c>
      <c r="G142" s="157">
        <f t="shared" ref="G142" si="122">F142+1</f>
        <v>45923</v>
      </c>
      <c r="H142" s="157"/>
      <c r="I142" s="13" t="s">
        <v>8</v>
      </c>
      <c r="K142" s="59">
        <v>45910</v>
      </c>
      <c r="L142" s="59"/>
      <c r="M142" s="59">
        <f>K142+1</f>
        <v>45911</v>
      </c>
      <c r="N142" s="59"/>
      <c r="O142" s="59">
        <f t="shared" ref="O142" si="123">M142+1</f>
        <v>45912</v>
      </c>
      <c r="P142" s="59"/>
      <c r="Q142" s="59">
        <f t="shared" ref="Q142" si="124">O142+1</f>
        <v>45913</v>
      </c>
      <c r="R142" s="59"/>
      <c r="S142" s="59">
        <f t="shared" ref="S142" si="125">Q142+1</f>
        <v>45914</v>
      </c>
      <c r="T142" s="59"/>
      <c r="U142" s="59">
        <f t="shared" ref="U142" si="126">S142+1</f>
        <v>45915</v>
      </c>
      <c r="V142" s="59"/>
      <c r="W142" s="59">
        <f t="shared" ref="W142" si="127">U142+1</f>
        <v>45916</v>
      </c>
      <c r="X142" s="59"/>
    </row>
    <row r="143" spans="1:24" ht="15" thickBot="1" x14ac:dyDescent="0.35">
      <c r="A143" s="22">
        <v>342</v>
      </c>
      <c r="B143" s="22">
        <v>445</v>
      </c>
      <c r="C143" s="22">
        <v>530</v>
      </c>
      <c r="D143" s="22">
        <v>485</v>
      </c>
      <c r="E143" s="22">
        <v>120</v>
      </c>
      <c r="F143" s="22">
        <v>467</v>
      </c>
      <c r="G143" s="22">
        <v>445</v>
      </c>
      <c r="H143" s="15"/>
      <c r="I143" s="15">
        <v>876.5</v>
      </c>
      <c r="K143" s="124" t="s">
        <v>10</v>
      </c>
      <c r="L143" s="125" t="s">
        <v>11</v>
      </c>
      <c r="M143" s="126" t="s">
        <v>10</v>
      </c>
      <c r="N143" s="126" t="s">
        <v>11</v>
      </c>
      <c r="O143" s="126" t="s">
        <v>10</v>
      </c>
      <c r="P143" s="126" t="s">
        <v>11</v>
      </c>
      <c r="Q143" s="126" t="s">
        <v>10</v>
      </c>
      <c r="R143" s="126" t="s">
        <v>11</v>
      </c>
      <c r="S143" s="126" t="s">
        <v>10</v>
      </c>
      <c r="T143" s="126" t="s">
        <v>11</v>
      </c>
      <c r="U143" s="126" t="s">
        <v>10</v>
      </c>
      <c r="V143" s="126" t="s">
        <v>11</v>
      </c>
      <c r="W143" s="126" t="s">
        <v>10</v>
      </c>
      <c r="X143" s="143" t="s">
        <v>11</v>
      </c>
    </row>
    <row r="144" spans="1:24" x14ac:dyDescent="0.3">
      <c r="A144" s="22">
        <v>1325</v>
      </c>
      <c r="B144" s="22">
        <v>1075</v>
      </c>
      <c r="C144" s="22">
        <v>1625</v>
      </c>
      <c r="D144" s="22">
        <v>835</v>
      </c>
      <c r="E144" s="22"/>
      <c r="F144" s="22">
        <v>1675</v>
      </c>
      <c r="G144" s="22">
        <v>835</v>
      </c>
      <c r="H144" s="15"/>
      <c r="I144" s="15">
        <v>1426</v>
      </c>
      <c r="K144" s="75">
        <v>220</v>
      </c>
      <c r="L144" s="76">
        <v>62</v>
      </c>
      <c r="M144" s="77">
        <v>390</v>
      </c>
      <c r="N144" s="77">
        <v>50</v>
      </c>
      <c r="O144" s="77">
        <v>210</v>
      </c>
      <c r="P144" s="77">
        <v>28</v>
      </c>
      <c r="Q144" s="77">
        <v>290</v>
      </c>
      <c r="R144" s="77">
        <v>14</v>
      </c>
      <c r="S144" s="77">
        <v>100</v>
      </c>
      <c r="T144" s="40">
        <v>15</v>
      </c>
      <c r="U144" s="77">
        <v>280</v>
      </c>
      <c r="V144" s="63">
        <v>28</v>
      </c>
      <c r="W144" s="77">
        <v>350</v>
      </c>
      <c r="X144" s="77">
        <v>26</v>
      </c>
    </row>
    <row r="145" spans="1:24" x14ac:dyDescent="0.3">
      <c r="A145" s="22">
        <v>2216.87</v>
      </c>
      <c r="B145" s="44">
        <v>1732.38</v>
      </c>
      <c r="C145" s="22">
        <v>1778.62</v>
      </c>
      <c r="D145" s="22">
        <v>2465.83</v>
      </c>
      <c r="E145" s="46"/>
      <c r="F145" s="22">
        <v>1978.95</v>
      </c>
      <c r="G145" s="22">
        <v>575</v>
      </c>
      <c r="H145" s="15"/>
      <c r="I145" s="15">
        <v>1794.5</v>
      </c>
      <c r="K145" s="21">
        <v>380</v>
      </c>
      <c r="L145" s="79">
        <v>50</v>
      </c>
      <c r="M145" s="43">
        <v>226</v>
      </c>
      <c r="N145" s="43">
        <v>31.9</v>
      </c>
      <c r="O145" s="43">
        <v>206</v>
      </c>
      <c r="P145" s="43">
        <v>42.5</v>
      </c>
      <c r="Q145" s="43">
        <v>168</v>
      </c>
      <c r="R145" s="80">
        <v>45</v>
      </c>
      <c r="S145" s="43">
        <v>84</v>
      </c>
      <c r="T145" s="27"/>
      <c r="U145" s="43">
        <v>202</v>
      </c>
      <c r="V145" s="22">
        <v>132.5</v>
      </c>
      <c r="W145" s="43">
        <v>3100</v>
      </c>
      <c r="X145" s="43">
        <v>57.5</v>
      </c>
    </row>
    <row r="146" spans="1:24" x14ac:dyDescent="0.3">
      <c r="A146" s="22"/>
      <c r="B146" s="41"/>
      <c r="C146" s="22"/>
      <c r="D146" s="22"/>
      <c r="E146" s="22"/>
      <c r="F146" s="22"/>
      <c r="G146" s="22">
        <v>1931.03</v>
      </c>
      <c r="H146" s="15"/>
      <c r="I146" s="15">
        <v>3628</v>
      </c>
      <c r="K146" s="21">
        <v>4090</v>
      </c>
      <c r="L146" s="79">
        <v>28</v>
      </c>
      <c r="M146" s="43">
        <v>2880</v>
      </c>
      <c r="N146" s="43">
        <v>1560</v>
      </c>
      <c r="O146" s="43">
        <v>4020</v>
      </c>
      <c r="P146" s="43">
        <v>168</v>
      </c>
      <c r="Q146" s="43">
        <v>1970</v>
      </c>
      <c r="R146" s="84">
        <v>900</v>
      </c>
      <c r="S146" s="43">
        <v>920</v>
      </c>
      <c r="T146" s="27"/>
      <c r="U146" s="43">
        <v>3910</v>
      </c>
      <c r="V146" s="22">
        <v>156</v>
      </c>
      <c r="W146" s="43">
        <v>230</v>
      </c>
      <c r="X146" s="43">
        <v>960</v>
      </c>
    </row>
    <row r="147" spans="1:24" x14ac:dyDescent="0.3">
      <c r="A147" s="22"/>
      <c r="B147" s="22"/>
      <c r="C147" s="22"/>
      <c r="D147" s="22"/>
      <c r="E147" s="22"/>
      <c r="F147" s="22"/>
      <c r="G147" s="22"/>
      <c r="H147" s="15"/>
      <c r="I147" s="15">
        <v>5457</v>
      </c>
      <c r="K147" s="21">
        <v>70</v>
      </c>
      <c r="L147" s="8">
        <v>594</v>
      </c>
      <c r="M147" s="43">
        <v>440</v>
      </c>
      <c r="N147" s="43"/>
      <c r="O147" s="43">
        <v>420</v>
      </c>
      <c r="P147" s="43"/>
      <c r="Q147" s="43">
        <v>140</v>
      </c>
      <c r="R147" s="43"/>
      <c r="S147" s="43"/>
      <c r="T147" s="27"/>
      <c r="U147" s="43">
        <v>80</v>
      </c>
      <c r="V147" s="22">
        <v>175</v>
      </c>
      <c r="W147" s="43">
        <v>268</v>
      </c>
      <c r="X147" s="43"/>
    </row>
    <row r="148" spans="1:24" x14ac:dyDescent="0.3">
      <c r="A148" s="22"/>
      <c r="B148" s="22"/>
      <c r="C148" s="22"/>
      <c r="D148" s="22"/>
      <c r="E148" s="22"/>
      <c r="F148" s="22"/>
      <c r="G148" s="22"/>
      <c r="H148" s="15"/>
      <c r="I148" s="15">
        <v>5820.3</v>
      </c>
      <c r="K148" s="128" t="s">
        <v>49</v>
      </c>
      <c r="L148" s="79"/>
      <c r="M148" s="43"/>
      <c r="N148" s="43"/>
      <c r="O148" s="43"/>
      <c r="P148" s="43"/>
      <c r="Q148" s="43"/>
      <c r="R148" s="43"/>
      <c r="S148" s="43"/>
      <c r="T148" s="27"/>
      <c r="U148" s="43"/>
      <c r="V148" s="22"/>
      <c r="W148" s="43"/>
      <c r="X148" s="43"/>
    </row>
    <row r="149" spans="1:24" x14ac:dyDescent="0.3">
      <c r="A149" s="22"/>
      <c r="B149" s="22"/>
      <c r="C149" s="22"/>
      <c r="D149" s="22"/>
      <c r="E149" s="22"/>
      <c r="F149" s="22"/>
      <c r="G149" s="22"/>
      <c r="H149" s="160"/>
      <c r="I149" s="15">
        <v>5969.12</v>
      </c>
      <c r="K149" s="128"/>
      <c r="L149" s="79"/>
      <c r="N149" s="43"/>
      <c r="O149" s="43"/>
      <c r="P149" s="43"/>
      <c r="Q149" s="43"/>
      <c r="R149" s="43"/>
      <c r="S149" s="43"/>
      <c r="T149" s="27"/>
      <c r="U149" s="43"/>
      <c r="V149" s="22"/>
      <c r="W149" s="43"/>
      <c r="X149" s="43"/>
    </row>
    <row r="150" spans="1:24" x14ac:dyDescent="0.3">
      <c r="A150" s="22"/>
      <c r="B150" s="22"/>
      <c r="C150" s="22"/>
      <c r="D150" s="22"/>
      <c r="E150" s="22"/>
      <c r="F150" s="22"/>
      <c r="G150" s="22"/>
      <c r="H150" s="65"/>
      <c r="I150" s="15">
        <v>6360</v>
      </c>
      <c r="K150" s="21"/>
      <c r="L150" s="79"/>
      <c r="M150" s="43"/>
      <c r="N150" s="43"/>
      <c r="O150" s="43"/>
      <c r="P150" s="43"/>
      <c r="Q150" s="43"/>
      <c r="R150" s="43"/>
      <c r="S150" s="43"/>
      <c r="T150" s="27"/>
      <c r="U150" s="43"/>
      <c r="V150" s="22"/>
      <c r="W150" s="43"/>
      <c r="X150" s="43"/>
    </row>
    <row r="151" spans="1:24" x14ac:dyDescent="0.3">
      <c r="A151" s="22"/>
      <c r="B151" s="22"/>
      <c r="C151" s="22"/>
      <c r="D151" s="22"/>
      <c r="E151" s="22"/>
      <c r="F151" s="22"/>
      <c r="G151" s="22"/>
      <c r="H151" s="37"/>
      <c r="I151" s="15"/>
      <c r="K151" s="24"/>
      <c r="L151" s="56"/>
      <c r="M151" s="22"/>
      <c r="N151" s="22"/>
      <c r="O151" s="43"/>
      <c r="P151" s="22"/>
      <c r="Q151" s="22"/>
      <c r="R151" s="22"/>
      <c r="S151" s="22"/>
      <c r="T151" s="27"/>
      <c r="U151" s="22"/>
      <c r="V151" s="22"/>
      <c r="W151" s="22"/>
      <c r="X151" s="22"/>
    </row>
    <row r="152" spans="1:24" ht="15" thickBot="1" x14ac:dyDescent="0.35">
      <c r="A152" s="22"/>
      <c r="B152" s="22"/>
      <c r="C152" s="22"/>
      <c r="D152" s="22"/>
      <c r="E152" s="22"/>
      <c r="F152" s="22"/>
      <c r="G152" s="22"/>
      <c r="H152" s="37" t="s">
        <v>9</v>
      </c>
      <c r="I152" s="15"/>
      <c r="K152" s="24"/>
      <c r="L152" s="56"/>
      <c r="M152" s="22"/>
      <c r="N152" s="22"/>
      <c r="O152" s="43"/>
      <c r="P152" s="22"/>
      <c r="Q152" s="22"/>
      <c r="R152" s="22"/>
      <c r="S152" s="22"/>
      <c r="T152" s="27"/>
      <c r="U152" s="22"/>
      <c r="V152" s="22"/>
      <c r="W152" s="22"/>
      <c r="X152" s="22"/>
    </row>
    <row r="153" spans="1:24" ht="15.6" thickTop="1" thickBot="1" x14ac:dyDescent="0.35">
      <c r="A153" s="22"/>
      <c r="B153" s="22"/>
      <c r="C153" s="22"/>
      <c r="D153" s="22"/>
      <c r="E153" s="22"/>
      <c r="F153" s="22"/>
      <c r="G153" s="22"/>
      <c r="H153" s="37"/>
      <c r="I153" s="132">
        <f>SUM(I143:I152)</f>
        <v>31331.42</v>
      </c>
      <c r="K153" s="24"/>
      <c r="L153" s="56"/>
      <c r="M153" s="22"/>
      <c r="N153" s="22"/>
      <c r="O153" s="43"/>
      <c r="P153" s="22"/>
      <c r="Q153" s="22"/>
      <c r="R153" s="22"/>
      <c r="S153" s="22"/>
      <c r="T153" s="27"/>
      <c r="U153" s="22"/>
      <c r="V153" s="22"/>
      <c r="W153" s="22"/>
      <c r="X153" s="22"/>
    </row>
    <row r="154" spans="1:24" ht="15" thickTop="1" x14ac:dyDescent="0.3">
      <c r="A154" s="22"/>
      <c r="B154" s="22"/>
      <c r="C154" s="22"/>
      <c r="D154" s="22"/>
      <c r="E154" s="22"/>
      <c r="F154" s="22"/>
      <c r="G154" s="22"/>
      <c r="H154" s="22"/>
      <c r="I154" s="40"/>
      <c r="K154" s="24"/>
      <c r="L154" s="56"/>
      <c r="M154" s="22"/>
      <c r="N154" s="22"/>
      <c r="O154" s="43"/>
      <c r="P154" s="22"/>
      <c r="Q154" s="22"/>
      <c r="R154" s="22"/>
      <c r="S154" s="22"/>
      <c r="T154" s="27"/>
      <c r="U154" s="22"/>
      <c r="V154" s="22"/>
      <c r="W154" s="22"/>
      <c r="X154" s="22"/>
    </row>
    <row r="155" spans="1:24" x14ac:dyDescent="0.3">
      <c r="A155" s="22"/>
      <c r="B155" s="22"/>
      <c r="C155" s="22"/>
      <c r="D155" s="22"/>
      <c r="E155" s="22"/>
      <c r="F155" s="22"/>
      <c r="G155" s="22"/>
      <c r="H155" s="22"/>
      <c r="I155" s="27"/>
      <c r="K155" s="24"/>
      <c r="L155" s="56"/>
      <c r="M155" s="22"/>
      <c r="N155" s="22"/>
      <c r="O155" s="43"/>
      <c r="P155" s="22"/>
      <c r="Q155" s="22"/>
      <c r="R155" s="22"/>
      <c r="S155" s="22"/>
      <c r="T155" s="27"/>
      <c r="U155" s="22"/>
      <c r="V155" s="22"/>
      <c r="W155" s="22"/>
      <c r="X155" s="22"/>
    </row>
    <row r="156" spans="1:24" x14ac:dyDescent="0.3">
      <c r="A156" s="22"/>
      <c r="B156" s="22"/>
      <c r="C156" s="22"/>
      <c r="D156" s="22"/>
      <c r="E156" s="22"/>
      <c r="F156" s="22"/>
      <c r="G156" s="22"/>
      <c r="H156" s="22"/>
      <c r="I156" s="27"/>
      <c r="K156" s="24"/>
      <c r="L156" s="56"/>
      <c r="M156" s="22"/>
      <c r="N156" s="22"/>
      <c r="O156" s="43"/>
      <c r="P156" s="22"/>
      <c r="Q156" s="22"/>
      <c r="R156" s="22"/>
      <c r="S156" s="22"/>
      <c r="T156" s="27"/>
      <c r="U156" s="22"/>
      <c r="V156" s="22"/>
      <c r="W156" s="22"/>
      <c r="X156" s="22"/>
    </row>
    <row r="157" spans="1:24" x14ac:dyDescent="0.3">
      <c r="A157" s="22"/>
      <c r="B157" s="22"/>
      <c r="C157" s="22"/>
      <c r="D157" s="22"/>
      <c r="E157" s="22"/>
      <c r="F157" s="22"/>
      <c r="G157" s="22"/>
      <c r="H157" s="22"/>
      <c r="I157" s="27"/>
      <c r="K157" s="24"/>
      <c r="L157" s="22"/>
      <c r="M157" s="22"/>
      <c r="N157" s="22"/>
      <c r="O157" s="22"/>
      <c r="P157" s="22"/>
      <c r="Q157" s="22"/>
      <c r="R157" s="22"/>
      <c r="S157" s="22"/>
      <c r="T157" s="27"/>
      <c r="U157" s="22"/>
      <c r="V157" s="22"/>
      <c r="W157" s="22"/>
      <c r="X157" s="22"/>
    </row>
    <row r="158" spans="1:24" ht="15" thickBot="1" x14ac:dyDescent="0.35">
      <c r="A158" s="140">
        <f t="shared" ref="A158:B158" si="128">SUM(A143:A157)</f>
        <v>3883.87</v>
      </c>
      <c r="B158" s="140">
        <f t="shared" si="128"/>
        <v>3252.38</v>
      </c>
      <c r="C158" s="140">
        <f t="shared" ref="C158:G158" si="129">SUM(C143:C157)</f>
        <v>3933.62</v>
      </c>
      <c r="D158" s="140">
        <f t="shared" si="129"/>
        <v>3785.83</v>
      </c>
      <c r="E158" s="140">
        <f t="shared" si="129"/>
        <v>120</v>
      </c>
      <c r="F158" s="140">
        <f t="shared" si="129"/>
        <v>4120.95</v>
      </c>
      <c r="G158" s="140">
        <f t="shared" si="129"/>
        <v>3786.0299999999997</v>
      </c>
      <c r="H158" s="149">
        <f>SUM(A158:G158)+I153</f>
        <v>54214.099999999991</v>
      </c>
      <c r="I158" s="150"/>
      <c r="K158" s="34">
        <f>SUM(K144:K157)</f>
        <v>4760</v>
      </c>
      <c r="L158" s="34">
        <f t="shared" ref="L158:X158" si="130">SUM(L144:L157)</f>
        <v>734</v>
      </c>
      <c r="M158" s="34">
        <f t="shared" si="130"/>
        <v>3936</v>
      </c>
      <c r="N158" s="34">
        <f t="shared" si="130"/>
        <v>1641.9</v>
      </c>
      <c r="O158" s="34">
        <f t="shared" si="130"/>
        <v>4856</v>
      </c>
      <c r="P158" s="34">
        <f t="shared" si="130"/>
        <v>238.5</v>
      </c>
      <c r="Q158" s="34">
        <f t="shared" si="130"/>
        <v>2568</v>
      </c>
      <c r="R158" s="34">
        <f t="shared" si="130"/>
        <v>959</v>
      </c>
      <c r="S158" s="34">
        <f t="shared" si="130"/>
        <v>1104</v>
      </c>
      <c r="T158" s="34">
        <f t="shared" si="130"/>
        <v>15</v>
      </c>
      <c r="U158" s="34">
        <f t="shared" si="130"/>
        <v>4472</v>
      </c>
      <c r="V158" s="34">
        <f t="shared" si="130"/>
        <v>491.5</v>
      </c>
      <c r="W158" s="34">
        <f t="shared" si="130"/>
        <v>3948</v>
      </c>
      <c r="X158" s="34">
        <f t="shared" si="130"/>
        <v>1043.5</v>
      </c>
    </row>
    <row r="159" spans="1:24" ht="15" thickBot="1" x14ac:dyDescent="0.35">
      <c r="A159" s="140">
        <v>3883.87</v>
      </c>
      <c r="B159" s="140">
        <v>3252.38</v>
      </c>
      <c r="C159" s="140">
        <v>3933.62</v>
      </c>
      <c r="D159" s="140">
        <v>3785.83</v>
      </c>
      <c r="E159" s="140">
        <v>120</v>
      </c>
      <c r="F159" s="140">
        <v>4120.95</v>
      </c>
      <c r="G159" s="140">
        <v>3786.03</v>
      </c>
      <c r="H159" s="149">
        <f>SUM(A159:G159)+I153</f>
        <v>54214.099999999991</v>
      </c>
      <c r="I159" s="151"/>
      <c r="K159" s="34">
        <v>4760</v>
      </c>
      <c r="L159" s="34">
        <v>734</v>
      </c>
      <c r="M159" s="34">
        <v>3936</v>
      </c>
      <c r="N159" s="34">
        <v>1641.9</v>
      </c>
      <c r="O159" s="34">
        <v>4856</v>
      </c>
      <c r="P159" s="34">
        <v>238.5</v>
      </c>
      <c r="Q159" s="34">
        <v>2568</v>
      </c>
      <c r="R159" s="34">
        <v>959</v>
      </c>
      <c r="S159" s="34">
        <v>1104</v>
      </c>
      <c r="T159" s="34">
        <v>15</v>
      </c>
      <c r="U159" s="34">
        <v>4472</v>
      </c>
      <c r="V159" s="34">
        <v>491.5</v>
      </c>
      <c r="W159" s="34">
        <v>3948</v>
      </c>
      <c r="X159" s="34">
        <v>1043.5</v>
      </c>
    </row>
    <row r="160" spans="1:24" ht="15" thickBot="1" x14ac:dyDescent="0.35">
      <c r="A160" s="63">
        <f t="shared" ref="A160:H160" si="131">A158-A159</f>
        <v>0</v>
      </c>
      <c r="B160" s="63">
        <f t="shared" si="131"/>
        <v>0</v>
      </c>
      <c r="C160" s="63">
        <f t="shared" si="131"/>
        <v>0</v>
      </c>
      <c r="D160" s="63">
        <f t="shared" si="131"/>
        <v>0</v>
      </c>
      <c r="E160" s="63">
        <f t="shared" si="131"/>
        <v>0</v>
      </c>
      <c r="F160" s="63">
        <f t="shared" si="131"/>
        <v>0</v>
      </c>
      <c r="G160" s="63">
        <f t="shared" si="131"/>
        <v>0</v>
      </c>
      <c r="H160" s="63">
        <f t="shared" si="131"/>
        <v>0</v>
      </c>
      <c r="I160" s="22"/>
      <c r="K160" s="152">
        <f>K158-K159</f>
        <v>0</v>
      </c>
      <c r="L160" s="152">
        <f>L158-L159</f>
        <v>0</v>
      </c>
      <c r="M160" s="152">
        <f>M159-M158</f>
        <v>0</v>
      </c>
      <c r="N160" s="152">
        <f>N159-N158</f>
        <v>0</v>
      </c>
      <c r="O160" s="152">
        <f t="shared" ref="O160:X160" si="132">O159-O158</f>
        <v>0</v>
      </c>
      <c r="P160" s="152">
        <f t="shared" si="132"/>
        <v>0</v>
      </c>
      <c r="Q160" s="152">
        <f t="shared" si="132"/>
        <v>0</v>
      </c>
      <c r="R160" s="152">
        <f t="shared" si="132"/>
        <v>0</v>
      </c>
      <c r="S160" s="152">
        <f t="shared" si="132"/>
        <v>0</v>
      </c>
      <c r="T160" s="152">
        <f t="shared" si="132"/>
        <v>0</v>
      </c>
      <c r="U160" s="152">
        <f t="shared" si="132"/>
        <v>0</v>
      </c>
      <c r="V160" s="152">
        <f t="shared" si="132"/>
        <v>0</v>
      </c>
      <c r="W160" s="152">
        <f t="shared" si="132"/>
        <v>0</v>
      </c>
      <c r="X160" s="152">
        <f t="shared" si="132"/>
        <v>0</v>
      </c>
    </row>
    <row r="161" spans="1:24" ht="15" thickBot="1" x14ac:dyDescent="0.35"/>
    <row r="162" spans="1:24" x14ac:dyDescent="0.3">
      <c r="A162" s="157">
        <v>45924</v>
      </c>
      <c r="B162" s="157">
        <f>A162+1</f>
        <v>45925</v>
      </c>
      <c r="C162" s="157">
        <f t="shared" ref="C162" si="133">B162+1</f>
        <v>45926</v>
      </c>
      <c r="D162" s="157">
        <f t="shared" ref="D162" si="134">C162+1</f>
        <v>45927</v>
      </c>
      <c r="E162" s="157">
        <f t="shared" ref="E162" si="135">D162+1</f>
        <v>45928</v>
      </c>
      <c r="F162" s="157">
        <f t="shared" ref="F162" si="136">E162+1</f>
        <v>45929</v>
      </c>
      <c r="G162" s="157">
        <f t="shared" ref="G162" si="137">F162+1</f>
        <v>45930</v>
      </c>
      <c r="H162" s="157"/>
      <c r="I162" s="13" t="s">
        <v>8</v>
      </c>
      <c r="K162" s="59">
        <v>45924</v>
      </c>
      <c r="L162" s="59"/>
      <c r="M162" s="59">
        <f>K162+1</f>
        <v>45925</v>
      </c>
      <c r="N162" s="59"/>
      <c r="O162" s="59">
        <f t="shared" ref="O162" si="138">M162+1</f>
        <v>45926</v>
      </c>
      <c r="P162" s="59"/>
      <c r="Q162" s="59">
        <f t="shared" ref="Q162" si="139">O162+1</f>
        <v>45927</v>
      </c>
      <c r="R162" s="59"/>
      <c r="S162" s="59">
        <f t="shared" ref="S162" si="140">Q162+1</f>
        <v>45928</v>
      </c>
      <c r="T162" s="59"/>
      <c r="U162" s="59">
        <f t="shared" ref="U162" si="141">S162+1</f>
        <v>45929</v>
      </c>
      <c r="V162" s="59"/>
      <c r="W162" s="59">
        <f t="shared" ref="W162" si="142">U162+1</f>
        <v>45930</v>
      </c>
      <c r="X162" s="59"/>
    </row>
    <row r="163" spans="1:24" ht="15" thickBot="1" x14ac:dyDescent="0.35">
      <c r="A163" s="22">
        <v>412</v>
      </c>
      <c r="B163" s="22">
        <v>480</v>
      </c>
      <c r="C163" s="22">
        <v>317</v>
      </c>
      <c r="D163" s="22">
        <v>485</v>
      </c>
      <c r="E163" s="22">
        <v>120</v>
      </c>
      <c r="F163" s="22">
        <v>592</v>
      </c>
      <c r="G163" s="22">
        <v>377</v>
      </c>
      <c r="H163" s="15"/>
      <c r="I163" s="15">
        <v>1704</v>
      </c>
      <c r="K163" s="124" t="s">
        <v>10</v>
      </c>
      <c r="L163" s="125" t="s">
        <v>11</v>
      </c>
      <c r="M163" s="126" t="s">
        <v>10</v>
      </c>
      <c r="N163" s="126" t="s">
        <v>11</v>
      </c>
      <c r="O163" s="126" t="s">
        <v>10</v>
      </c>
      <c r="P163" s="126" t="s">
        <v>11</v>
      </c>
      <c r="Q163" s="126" t="s">
        <v>10</v>
      </c>
      <c r="R163" s="126" t="s">
        <v>11</v>
      </c>
      <c r="S163" s="126" t="s">
        <v>10</v>
      </c>
      <c r="T163" s="126" t="s">
        <v>11</v>
      </c>
      <c r="U163" s="126" t="s">
        <v>10</v>
      </c>
      <c r="V163" s="126" t="s">
        <v>11</v>
      </c>
      <c r="W163" s="126" t="s">
        <v>10</v>
      </c>
      <c r="X163" s="143" t="s">
        <v>11</v>
      </c>
    </row>
    <row r="164" spans="1:24" x14ac:dyDescent="0.3">
      <c r="A164" s="22">
        <v>1350</v>
      </c>
      <c r="B164" s="22">
        <v>935</v>
      </c>
      <c r="C164" s="22">
        <v>1705</v>
      </c>
      <c r="D164" s="22">
        <v>570</v>
      </c>
      <c r="E164" s="22">
        <v>430</v>
      </c>
      <c r="F164" s="22">
        <v>1725</v>
      </c>
      <c r="G164" s="22">
        <v>1595</v>
      </c>
      <c r="H164" s="15"/>
      <c r="I164" s="15">
        <v>1331</v>
      </c>
      <c r="K164" s="75">
        <v>324</v>
      </c>
      <c r="L164" s="76">
        <v>28</v>
      </c>
      <c r="M164" s="77">
        <v>320</v>
      </c>
      <c r="N164" s="77">
        <v>56</v>
      </c>
      <c r="O164" s="77">
        <v>439</v>
      </c>
      <c r="P164" s="77">
        <v>42.5</v>
      </c>
      <c r="Q164" s="77">
        <v>390</v>
      </c>
      <c r="R164" s="77">
        <v>28</v>
      </c>
      <c r="S164" s="77">
        <v>84</v>
      </c>
      <c r="T164" s="40">
        <v>15</v>
      </c>
      <c r="U164" s="77">
        <v>15</v>
      </c>
      <c r="V164" s="63">
        <v>15</v>
      </c>
      <c r="W164" s="77">
        <v>450</v>
      </c>
      <c r="X164" s="77">
        <v>57.5</v>
      </c>
    </row>
    <row r="165" spans="1:24" x14ac:dyDescent="0.3">
      <c r="A165" s="22"/>
      <c r="B165" s="44">
        <v>2026.87</v>
      </c>
      <c r="C165" s="22">
        <v>2004.57</v>
      </c>
      <c r="D165" s="22">
        <v>1329.11</v>
      </c>
      <c r="E165" s="46"/>
      <c r="F165" s="22">
        <v>1860.81</v>
      </c>
      <c r="G165" s="22">
        <v>1931.03</v>
      </c>
      <c r="H165" s="15"/>
      <c r="I165" s="15">
        <v>3534</v>
      </c>
      <c r="K165" s="21">
        <v>350</v>
      </c>
      <c r="L165" s="79">
        <v>57.5</v>
      </c>
      <c r="M165" s="43">
        <v>228</v>
      </c>
      <c r="N165" s="43">
        <v>57.5</v>
      </c>
      <c r="O165" s="43">
        <v>350</v>
      </c>
      <c r="P165" s="43">
        <v>142.19999999999999</v>
      </c>
      <c r="Q165" s="43">
        <v>196</v>
      </c>
      <c r="R165" s="80">
        <v>74</v>
      </c>
      <c r="S165" s="43">
        <v>680</v>
      </c>
      <c r="T165" s="27"/>
      <c r="U165" s="43">
        <v>220</v>
      </c>
      <c r="V165" s="22">
        <v>90</v>
      </c>
      <c r="W165" s="43">
        <v>279</v>
      </c>
      <c r="X165" s="43">
        <v>108</v>
      </c>
    </row>
    <row r="166" spans="1:24" x14ac:dyDescent="0.3">
      <c r="A166" s="22"/>
      <c r="B166" s="41"/>
      <c r="C166" s="22"/>
      <c r="D166" s="22"/>
      <c r="E166" s="22"/>
      <c r="F166" s="22"/>
      <c r="G166" s="22"/>
      <c r="H166" s="15"/>
      <c r="I166" s="15">
        <v>5381</v>
      </c>
      <c r="K166" s="21">
        <v>3230</v>
      </c>
      <c r="L166" s="79"/>
      <c r="M166" s="43">
        <v>2790</v>
      </c>
      <c r="N166" s="43">
        <v>60</v>
      </c>
      <c r="O166" s="43">
        <v>4510</v>
      </c>
      <c r="P166" s="43">
        <v>28</v>
      </c>
      <c r="Q166" s="43">
        <v>1750</v>
      </c>
      <c r="R166" s="84"/>
      <c r="S166" s="43"/>
      <c r="T166" s="27"/>
      <c r="U166" s="43">
        <v>438</v>
      </c>
      <c r="V166" s="22">
        <v>30</v>
      </c>
      <c r="W166" s="43">
        <v>2700</v>
      </c>
      <c r="X166" s="43">
        <v>2940</v>
      </c>
    </row>
    <row r="167" spans="1:24" x14ac:dyDescent="0.3">
      <c r="A167" s="22"/>
      <c r="B167" s="22"/>
      <c r="C167" s="22"/>
      <c r="D167" s="22"/>
      <c r="E167" s="22"/>
      <c r="F167" s="22"/>
      <c r="G167" s="22"/>
      <c r="H167" s="15"/>
      <c r="I167" s="15">
        <v>6360</v>
      </c>
      <c r="K167" s="21"/>
      <c r="L167" s="8"/>
      <c r="M167" s="43">
        <v>510</v>
      </c>
      <c r="N167" s="43">
        <v>100</v>
      </c>
      <c r="O167" s="43">
        <v>650</v>
      </c>
      <c r="P167" s="43"/>
      <c r="Q167" s="43"/>
      <c r="R167" s="43"/>
      <c r="S167" s="43"/>
      <c r="T167" s="27"/>
      <c r="U167" s="43">
        <v>4270</v>
      </c>
      <c r="V167" s="22">
        <v>277.39999999999998</v>
      </c>
      <c r="W167" s="43">
        <v>210</v>
      </c>
      <c r="X167" s="43"/>
    </row>
    <row r="168" spans="1:24" x14ac:dyDescent="0.3">
      <c r="A168" s="22"/>
      <c r="B168" s="22"/>
      <c r="C168" s="22"/>
      <c r="D168" s="22"/>
      <c r="E168" s="22"/>
      <c r="F168" s="22"/>
      <c r="G168" s="22"/>
      <c r="H168" s="15"/>
      <c r="I168" s="15">
        <v>5560.08</v>
      </c>
      <c r="K168" s="128"/>
      <c r="L168" s="79"/>
      <c r="M168" s="43"/>
      <c r="N168" s="43">
        <v>1200</v>
      </c>
      <c r="O168" s="43"/>
      <c r="P168" s="43"/>
      <c r="Q168" s="43"/>
      <c r="R168" s="43"/>
      <c r="S168" s="43"/>
      <c r="T168" s="27"/>
      <c r="U168" s="43">
        <v>210</v>
      </c>
      <c r="V168" s="22"/>
      <c r="W168" s="43"/>
      <c r="X168" s="43"/>
    </row>
    <row r="169" spans="1:24" x14ac:dyDescent="0.3">
      <c r="A169" s="22"/>
      <c r="B169" s="22"/>
      <c r="C169" s="22"/>
      <c r="D169" s="22"/>
      <c r="E169" s="22"/>
      <c r="F169" s="22"/>
      <c r="G169" s="22"/>
      <c r="H169" s="160"/>
      <c r="I169" s="15">
        <v>6325.18</v>
      </c>
      <c r="K169" s="128"/>
      <c r="L169" s="79"/>
      <c r="N169" s="43"/>
      <c r="O169" s="43"/>
      <c r="P169" s="43"/>
      <c r="Q169" s="43"/>
      <c r="R169" s="43"/>
      <c r="S169" s="43"/>
      <c r="T169" s="27"/>
      <c r="U169" s="43"/>
      <c r="V169" s="22"/>
      <c r="W169" s="43"/>
      <c r="X169" s="43"/>
    </row>
    <row r="170" spans="1:24" x14ac:dyDescent="0.3">
      <c r="A170" s="22"/>
      <c r="B170" s="22"/>
      <c r="C170" s="22"/>
      <c r="D170" s="22"/>
      <c r="E170" s="22"/>
      <c r="F170" s="22"/>
      <c r="G170" s="22"/>
      <c r="H170" s="65"/>
      <c r="I170" s="15">
        <v>1978.95</v>
      </c>
      <c r="K170" s="21"/>
      <c r="L170" s="79"/>
      <c r="M170" s="43"/>
      <c r="N170" s="43"/>
      <c r="O170" s="43"/>
      <c r="P170" s="43"/>
      <c r="Q170" s="43"/>
      <c r="R170" s="43"/>
      <c r="S170" s="43"/>
      <c r="T170" s="27"/>
      <c r="U170" s="43"/>
      <c r="V170" s="22"/>
      <c r="W170" s="43"/>
      <c r="X170" s="43"/>
    </row>
    <row r="171" spans="1:24" x14ac:dyDescent="0.3">
      <c r="A171" s="22"/>
      <c r="B171" s="22"/>
      <c r="C171" s="22"/>
      <c r="D171" s="22"/>
      <c r="E171" s="22"/>
      <c r="F171" s="22"/>
      <c r="G171" s="22"/>
      <c r="H171" s="37"/>
      <c r="I171" s="15">
        <v>424</v>
      </c>
      <c r="K171" s="24"/>
      <c r="L171" s="56"/>
      <c r="M171" s="22"/>
      <c r="N171" s="22"/>
      <c r="O171" s="43"/>
      <c r="P171" s="22"/>
      <c r="Q171" s="22"/>
      <c r="R171" s="22"/>
      <c r="S171" s="22"/>
      <c r="T171" s="27"/>
      <c r="U171" s="22"/>
      <c r="V171" s="22"/>
      <c r="W171" s="22"/>
      <c r="X171" s="22"/>
    </row>
    <row r="172" spans="1:24" ht="15" thickBot="1" x14ac:dyDescent="0.35">
      <c r="A172" s="22"/>
      <c r="B172" s="22"/>
      <c r="C172" s="22"/>
      <c r="D172" s="22"/>
      <c r="E172" s="22"/>
      <c r="F172" s="22"/>
      <c r="G172" s="22"/>
      <c r="H172" s="37" t="s">
        <v>9</v>
      </c>
      <c r="I172" s="15"/>
      <c r="K172" s="24"/>
      <c r="L172" s="56"/>
      <c r="M172" s="22"/>
      <c r="N172" s="22"/>
      <c r="O172" s="43"/>
      <c r="P172" s="22"/>
      <c r="Q172" s="22"/>
      <c r="R172" s="22"/>
      <c r="S172" s="22"/>
      <c r="T172" s="27"/>
      <c r="U172" s="22"/>
      <c r="V172" s="22"/>
      <c r="W172" s="22"/>
      <c r="X172" s="22"/>
    </row>
    <row r="173" spans="1:24" ht="15.6" thickTop="1" thickBot="1" x14ac:dyDescent="0.35">
      <c r="A173" s="22"/>
      <c r="B173" s="22"/>
      <c r="C173" s="22"/>
      <c r="D173" s="22"/>
      <c r="E173" s="22"/>
      <c r="F173" s="22"/>
      <c r="G173" s="22"/>
      <c r="H173" s="37"/>
      <c r="I173" s="132">
        <f>SUM(I163:I172)</f>
        <v>32598.210000000003</v>
      </c>
      <c r="K173" s="24"/>
      <c r="L173" s="56"/>
      <c r="M173" s="22"/>
      <c r="N173" s="22"/>
      <c r="O173" s="43"/>
      <c r="P173" s="22"/>
      <c r="Q173" s="22"/>
      <c r="R173" s="22"/>
      <c r="S173" s="22"/>
      <c r="T173" s="27"/>
      <c r="U173" s="22"/>
      <c r="V173" s="22"/>
      <c r="W173" s="22"/>
      <c r="X173" s="22"/>
    </row>
    <row r="174" spans="1:24" ht="15" thickTop="1" x14ac:dyDescent="0.3">
      <c r="A174" s="22"/>
      <c r="B174" s="22"/>
      <c r="C174" s="22"/>
      <c r="D174" s="22"/>
      <c r="E174" s="22"/>
      <c r="F174" s="22"/>
      <c r="G174" s="22"/>
      <c r="H174" s="22"/>
      <c r="I174" s="40"/>
      <c r="K174" s="24"/>
      <c r="L174" s="56"/>
      <c r="M174" s="22"/>
      <c r="N174" s="22"/>
      <c r="O174" s="43"/>
      <c r="P174" s="22"/>
      <c r="Q174" s="22"/>
      <c r="R174" s="22"/>
      <c r="S174" s="22"/>
      <c r="T174" s="27"/>
      <c r="U174" s="22"/>
      <c r="V174" s="22"/>
      <c r="W174" s="22"/>
      <c r="X174" s="22"/>
    </row>
    <row r="175" spans="1:24" x14ac:dyDescent="0.3">
      <c r="A175" s="22"/>
      <c r="B175" s="22"/>
      <c r="C175" s="22"/>
      <c r="D175" s="22"/>
      <c r="E175" s="22"/>
      <c r="F175" s="22"/>
      <c r="G175" s="22"/>
      <c r="H175" s="22"/>
      <c r="I175" s="27"/>
      <c r="K175" s="24"/>
      <c r="L175" s="56"/>
      <c r="M175" s="22"/>
      <c r="N175" s="22"/>
      <c r="O175" s="43"/>
      <c r="P175" s="22"/>
      <c r="Q175" s="22"/>
      <c r="R175" s="22"/>
      <c r="S175" s="22"/>
      <c r="T175" s="27"/>
      <c r="U175" s="22"/>
      <c r="V175" s="22"/>
      <c r="W175" s="22"/>
      <c r="X175" s="22"/>
    </row>
    <row r="176" spans="1:24" x14ac:dyDescent="0.3">
      <c r="A176" s="22"/>
      <c r="B176" s="22"/>
      <c r="C176" s="22"/>
      <c r="D176" s="22"/>
      <c r="E176" s="22"/>
      <c r="F176" s="22"/>
      <c r="G176" s="22"/>
      <c r="H176" s="22"/>
      <c r="I176" s="27"/>
      <c r="K176" s="24"/>
      <c r="L176" s="56"/>
      <c r="M176" s="22"/>
      <c r="N176" s="22"/>
      <c r="O176" s="43"/>
      <c r="P176" s="22"/>
      <c r="Q176" s="22"/>
      <c r="R176" s="22"/>
      <c r="S176" s="22"/>
      <c r="T176" s="27"/>
      <c r="U176" s="22"/>
      <c r="V176" s="22"/>
      <c r="W176" s="22"/>
      <c r="X176" s="22"/>
    </row>
    <row r="177" spans="1:24" x14ac:dyDescent="0.3">
      <c r="A177" s="22"/>
      <c r="B177" s="22"/>
      <c r="C177" s="22"/>
      <c r="D177" s="22"/>
      <c r="E177" s="22"/>
      <c r="F177" s="22"/>
      <c r="G177" s="22"/>
      <c r="H177" s="22"/>
      <c r="I177" s="27"/>
      <c r="K177" s="24"/>
      <c r="L177" s="22"/>
      <c r="M177" s="22"/>
      <c r="N177" s="22"/>
      <c r="O177" s="22"/>
      <c r="P177" s="22"/>
      <c r="Q177" s="22"/>
      <c r="R177" s="22"/>
      <c r="S177" s="22"/>
      <c r="T177" s="27"/>
      <c r="U177" s="22"/>
      <c r="V177" s="22"/>
      <c r="W177" s="22"/>
      <c r="X177" s="22"/>
    </row>
    <row r="178" spans="1:24" ht="15" thickBot="1" x14ac:dyDescent="0.35">
      <c r="A178" s="140">
        <f>SUM(A163:A177)</f>
        <v>1762</v>
      </c>
      <c r="B178" s="140">
        <f t="shared" ref="B178:G178" si="143">SUM(B163:B177)</f>
        <v>3441.87</v>
      </c>
      <c r="C178" s="140">
        <f t="shared" si="143"/>
        <v>4026.5699999999997</v>
      </c>
      <c r="D178" s="140">
        <f t="shared" si="143"/>
        <v>2384.1099999999997</v>
      </c>
      <c r="E178" s="140">
        <f t="shared" si="143"/>
        <v>550</v>
      </c>
      <c r="F178" s="140">
        <f t="shared" si="143"/>
        <v>4177.8099999999995</v>
      </c>
      <c r="G178" s="140">
        <f t="shared" si="143"/>
        <v>3903.0299999999997</v>
      </c>
      <c r="H178" s="149">
        <f>SUM(A178:G178)+I173</f>
        <v>52843.600000000006</v>
      </c>
      <c r="I178" s="150"/>
      <c r="K178" s="34">
        <f>SUM(K164:K177)</f>
        <v>3904</v>
      </c>
      <c r="L178" s="34">
        <f t="shared" ref="L178:X178" si="144">SUM(L164:L177)</f>
        <v>85.5</v>
      </c>
      <c r="M178" s="34">
        <f t="shared" si="144"/>
        <v>3848</v>
      </c>
      <c r="N178" s="34">
        <f t="shared" si="144"/>
        <v>1473.5</v>
      </c>
      <c r="O178" s="34">
        <f t="shared" si="144"/>
        <v>5949</v>
      </c>
      <c r="P178" s="34">
        <f t="shared" si="144"/>
        <v>212.7</v>
      </c>
      <c r="Q178" s="34">
        <f t="shared" si="144"/>
        <v>2336</v>
      </c>
      <c r="R178" s="34">
        <f t="shared" si="144"/>
        <v>102</v>
      </c>
      <c r="S178" s="34">
        <f t="shared" si="144"/>
        <v>764</v>
      </c>
      <c r="T178" s="34">
        <f t="shared" si="144"/>
        <v>15</v>
      </c>
      <c r="U178" s="34">
        <f t="shared" si="144"/>
        <v>5153</v>
      </c>
      <c r="V178" s="34">
        <f t="shared" si="144"/>
        <v>412.4</v>
      </c>
      <c r="W178" s="34">
        <f t="shared" si="144"/>
        <v>3639</v>
      </c>
      <c r="X178" s="34">
        <f t="shared" si="144"/>
        <v>3105.5</v>
      </c>
    </row>
    <row r="179" spans="1:24" ht="15" thickBot="1" x14ac:dyDescent="0.35">
      <c r="A179" s="140">
        <f>1762-165</f>
        <v>1597</v>
      </c>
      <c r="B179" s="140">
        <v>3441.87</v>
      </c>
      <c r="C179" s="140">
        <v>4026.57</v>
      </c>
      <c r="D179" s="140">
        <v>2384.11</v>
      </c>
      <c r="E179" s="140">
        <v>550</v>
      </c>
      <c r="F179" s="140">
        <v>4177.8100000000004</v>
      </c>
      <c r="G179" s="140">
        <v>3903.03</v>
      </c>
      <c r="H179" s="163">
        <f>SUM(A179:G179)+I173</f>
        <v>52678.600000000006</v>
      </c>
      <c r="I179" s="151"/>
      <c r="K179" s="34">
        <v>3904</v>
      </c>
      <c r="L179" s="34">
        <v>85.5</v>
      </c>
      <c r="M179" s="34">
        <v>3848</v>
      </c>
      <c r="N179" s="34">
        <v>1473.5</v>
      </c>
      <c r="O179" s="34">
        <v>5949</v>
      </c>
      <c r="P179" s="34">
        <v>212.7</v>
      </c>
      <c r="Q179" s="34" t="s">
        <v>62</v>
      </c>
      <c r="R179" s="34">
        <v>102</v>
      </c>
      <c r="S179" s="34">
        <v>764</v>
      </c>
      <c r="T179" s="34">
        <v>15</v>
      </c>
      <c r="U179" s="34">
        <v>5153</v>
      </c>
      <c r="W179" s="34">
        <v>412.4</v>
      </c>
      <c r="X179" s="34">
        <v>3105.5</v>
      </c>
    </row>
    <row r="180" spans="1:24" ht="15" thickBot="1" x14ac:dyDescent="0.35">
      <c r="A180" s="63">
        <f t="shared" ref="A180:H180" si="145">A178-A179</f>
        <v>165</v>
      </c>
      <c r="B180" s="63">
        <f t="shared" si="145"/>
        <v>0</v>
      </c>
      <c r="C180" s="63">
        <f t="shared" si="145"/>
        <v>0</v>
      </c>
      <c r="D180" s="63">
        <f t="shared" si="145"/>
        <v>0</v>
      </c>
      <c r="E180" s="63">
        <f t="shared" si="145"/>
        <v>0</v>
      </c>
      <c r="F180" s="63">
        <f t="shared" si="145"/>
        <v>0</v>
      </c>
      <c r="G180" s="63">
        <f t="shared" si="145"/>
        <v>0</v>
      </c>
      <c r="H180" s="63">
        <f t="shared" si="145"/>
        <v>165</v>
      </c>
      <c r="I180" s="22"/>
      <c r="K180" s="152">
        <f>K178-K179</f>
        <v>0</v>
      </c>
      <c r="L180" s="152">
        <f>L178-L179</f>
        <v>0</v>
      </c>
      <c r="M180" s="152">
        <f>M179-M178</f>
        <v>0</v>
      </c>
      <c r="N180" s="152">
        <f>N179-N178</f>
        <v>0</v>
      </c>
      <c r="O180" s="152">
        <f t="shared" ref="O180:X180" si="146">O179-O178</f>
        <v>0</v>
      </c>
      <c r="P180" s="152">
        <f t="shared" si="146"/>
        <v>0</v>
      </c>
      <c r="Q180" s="152" t="e">
        <f t="shared" si="146"/>
        <v>#VALUE!</v>
      </c>
      <c r="R180" s="152">
        <f t="shared" si="146"/>
        <v>0</v>
      </c>
      <c r="S180" s="152">
        <f t="shared" si="146"/>
        <v>0</v>
      </c>
      <c r="T180" s="152">
        <f t="shared" si="146"/>
        <v>0</v>
      </c>
      <c r="U180" s="152">
        <f t="shared" si="146"/>
        <v>0</v>
      </c>
      <c r="V180" s="152">
        <f>W179-V178</f>
        <v>0</v>
      </c>
      <c r="W180" s="152" t="e">
        <f>#REF!-W178</f>
        <v>#REF!</v>
      </c>
      <c r="X180" s="152">
        <f t="shared" si="146"/>
        <v>0</v>
      </c>
    </row>
    <row r="181" spans="1:24" ht="15" thickBot="1" x14ac:dyDescent="0.35"/>
    <row r="182" spans="1:24" x14ac:dyDescent="0.3">
      <c r="A182" s="157">
        <v>45931</v>
      </c>
      <c r="B182" s="157">
        <f>A182+1</f>
        <v>45932</v>
      </c>
      <c r="C182" s="157">
        <f t="shared" ref="C182" si="147">B182+1</f>
        <v>45933</v>
      </c>
      <c r="D182" s="157">
        <f t="shared" ref="D182" si="148">C182+1</f>
        <v>45934</v>
      </c>
      <c r="E182" s="157">
        <f t="shared" ref="E182" si="149">D182+1</f>
        <v>45935</v>
      </c>
      <c r="F182" s="157">
        <f t="shared" ref="F182" si="150">E182+1</f>
        <v>45936</v>
      </c>
      <c r="G182" s="157">
        <f t="shared" ref="G182" si="151">F182+1</f>
        <v>45937</v>
      </c>
      <c r="H182" s="157"/>
      <c r="I182" s="13" t="s">
        <v>8</v>
      </c>
      <c r="K182" s="59">
        <v>45931</v>
      </c>
      <c r="L182" s="59"/>
      <c r="M182" s="59">
        <f>K182+1</f>
        <v>45932</v>
      </c>
      <c r="N182" s="59"/>
      <c r="O182" s="59">
        <f t="shared" ref="O182" si="152">M182+1</f>
        <v>45933</v>
      </c>
      <c r="P182" s="59"/>
      <c r="Q182" s="59">
        <f t="shared" ref="Q182" si="153">O182+1</f>
        <v>45934</v>
      </c>
      <c r="R182" s="59"/>
      <c r="S182" s="59">
        <f t="shared" ref="S182" si="154">Q182+1</f>
        <v>45935</v>
      </c>
      <c r="T182" s="59"/>
      <c r="U182" s="59">
        <f t="shared" ref="U182" si="155">S182+1</f>
        <v>45936</v>
      </c>
      <c r="V182" s="59"/>
      <c r="W182" s="59">
        <f t="shared" ref="W182" si="156">U182+1</f>
        <v>45937</v>
      </c>
      <c r="X182" s="59"/>
    </row>
    <row r="183" spans="1:24" ht="15" thickBot="1" x14ac:dyDescent="0.35">
      <c r="A183" s="22">
        <v>380</v>
      </c>
      <c r="B183" s="22">
        <v>370</v>
      </c>
      <c r="C183" s="22">
        <v>492</v>
      </c>
      <c r="D183" s="22">
        <v>497</v>
      </c>
      <c r="E183" s="22">
        <v>455</v>
      </c>
      <c r="F183" s="22">
        <v>629</v>
      </c>
      <c r="G183" s="22">
        <v>297</v>
      </c>
      <c r="H183" s="15"/>
      <c r="I183" s="15">
        <v>876.5</v>
      </c>
      <c r="K183" s="124" t="s">
        <v>10</v>
      </c>
      <c r="L183" s="125" t="s">
        <v>11</v>
      </c>
      <c r="M183" s="126" t="s">
        <v>10</v>
      </c>
      <c r="N183" s="126" t="s">
        <v>11</v>
      </c>
      <c r="O183" s="126" t="s">
        <v>10</v>
      </c>
      <c r="P183" s="126" t="s">
        <v>11</v>
      </c>
      <c r="Q183" s="126" t="s">
        <v>10</v>
      </c>
      <c r="R183" s="126" t="s">
        <v>11</v>
      </c>
      <c r="S183" s="126" t="s">
        <v>10</v>
      </c>
      <c r="T183" s="126" t="s">
        <v>11</v>
      </c>
      <c r="U183" s="126" t="s">
        <v>10</v>
      </c>
      <c r="V183" s="126" t="s">
        <v>11</v>
      </c>
      <c r="W183" s="126" t="s">
        <v>10</v>
      </c>
      <c r="X183" s="143" t="s">
        <v>11</v>
      </c>
    </row>
    <row r="184" spans="1:24" x14ac:dyDescent="0.3">
      <c r="A184" s="22">
        <v>1185</v>
      </c>
      <c r="B184" s="22">
        <v>1130</v>
      </c>
      <c r="C184" s="22">
        <v>1815</v>
      </c>
      <c r="D184" s="22">
        <v>855</v>
      </c>
      <c r="E184" s="22"/>
      <c r="F184" s="22">
        <v>2430</v>
      </c>
      <c r="G184" s="22">
        <v>1850</v>
      </c>
      <c r="H184" s="15"/>
      <c r="I184" s="15">
        <v>1174</v>
      </c>
      <c r="K184" s="75">
        <v>350</v>
      </c>
      <c r="L184" s="76">
        <v>30</v>
      </c>
      <c r="M184" s="77">
        <v>470</v>
      </c>
      <c r="N184" s="77">
        <v>30</v>
      </c>
      <c r="O184" s="77">
        <v>280</v>
      </c>
      <c r="P184" s="77">
        <v>15</v>
      </c>
      <c r="Q184" s="77">
        <v>300</v>
      </c>
      <c r="R184" s="77">
        <v>57.5</v>
      </c>
      <c r="S184" s="77">
        <v>84</v>
      </c>
      <c r="T184" s="40">
        <v>15</v>
      </c>
      <c r="U184" s="77">
        <v>400</v>
      </c>
      <c r="V184" s="63">
        <v>28</v>
      </c>
      <c r="W184" s="77">
        <v>430</v>
      </c>
      <c r="X184" s="77">
        <v>28</v>
      </c>
    </row>
    <row r="185" spans="1:24" x14ac:dyDescent="0.3">
      <c r="A185" s="22">
        <v>1670.81</v>
      </c>
      <c r="B185" s="44">
        <v>1766.65</v>
      </c>
      <c r="C185" s="22">
        <v>1362.67</v>
      </c>
      <c r="D185" s="22">
        <v>2465.83</v>
      </c>
      <c r="E185" s="46"/>
      <c r="F185" s="22">
        <v>890.15</v>
      </c>
      <c r="G185" s="22">
        <v>1150.3699999999999</v>
      </c>
      <c r="H185" s="15"/>
      <c r="I185" s="15">
        <v>1924</v>
      </c>
      <c r="K185" s="21">
        <v>350</v>
      </c>
      <c r="L185" s="79">
        <v>222</v>
      </c>
      <c r="M185" s="43">
        <v>202</v>
      </c>
      <c r="N185" s="43">
        <v>90</v>
      </c>
      <c r="O185" s="43">
        <v>459</v>
      </c>
      <c r="P185" s="43">
        <v>42.5</v>
      </c>
      <c r="Q185" s="43">
        <v>336</v>
      </c>
      <c r="R185" s="80">
        <v>56</v>
      </c>
      <c r="S185" s="43">
        <v>620</v>
      </c>
      <c r="T185" s="27"/>
      <c r="U185" s="43">
        <v>442</v>
      </c>
      <c r="V185" s="22">
        <v>87.5</v>
      </c>
      <c r="W185" s="43">
        <v>294</v>
      </c>
      <c r="X185" s="43"/>
    </row>
    <row r="186" spans="1:24" x14ac:dyDescent="0.3">
      <c r="A186" s="22"/>
      <c r="B186" s="41"/>
      <c r="C186" s="22"/>
      <c r="D186" s="22"/>
      <c r="E186" s="22"/>
      <c r="F186" s="22"/>
      <c r="G186" s="22"/>
      <c r="H186" s="15"/>
      <c r="I186" s="15">
        <v>3416</v>
      </c>
      <c r="K186" s="21">
        <v>3640</v>
      </c>
      <c r="L186" s="79">
        <v>316</v>
      </c>
      <c r="M186" s="43">
        <v>2450</v>
      </c>
      <c r="N186" s="43">
        <v>260</v>
      </c>
      <c r="O186" s="43">
        <v>3975</v>
      </c>
      <c r="P186" s="43">
        <v>90</v>
      </c>
      <c r="Q186" s="43">
        <v>1940</v>
      </c>
      <c r="R186" s="84"/>
      <c r="S186" s="43">
        <v>100</v>
      </c>
      <c r="T186" s="27"/>
      <c r="U186" s="43">
        <v>3860</v>
      </c>
      <c r="V186" s="22">
        <v>90</v>
      </c>
      <c r="W186" s="43">
        <v>2250</v>
      </c>
      <c r="X186" s="43"/>
    </row>
    <row r="187" spans="1:24" x14ac:dyDescent="0.3">
      <c r="A187" s="22"/>
      <c r="B187" s="22"/>
      <c r="C187" s="22"/>
      <c r="D187" s="22"/>
      <c r="E187" s="22"/>
      <c r="F187" s="22"/>
      <c r="G187" s="22"/>
      <c r="H187" s="15"/>
      <c r="I187" s="15">
        <v>4609</v>
      </c>
      <c r="K187" s="21">
        <v>210</v>
      </c>
      <c r="L187" s="8">
        <v>387</v>
      </c>
      <c r="M187" s="43">
        <v>490</v>
      </c>
      <c r="N187" s="43"/>
      <c r="O187" s="43">
        <v>510</v>
      </c>
      <c r="P187" s="43"/>
      <c r="Q187" s="43">
        <v>140</v>
      </c>
      <c r="R187" s="43"/>
      <c r="S187" s="43"/>
      <c r="T187" s="27"/>
      <c r="U187" s="43">
        <v>490</v>
      </c>
      <c r="V187" s="22">
        <v>415</v>
      </c>
      <c r="W187" s="43">
        <v>530</v>
      </c>
      <c r="X187" s="43"/>
    </row>
    <row r="188" spans="1:24" x14ac:dyDescent="0.3">
      <c r="A188" s="22"/>
      <c r="B188" s="22"/>
      <c r="C188" s="22"/>
      <c r="D188" s="22"/>
      <c r="E188" s="22"/>
      <c r="F188" s="22"/>
      <c r="G188" s="22"/>
      <c r="H188" s="15"/>
      <c r="I188" s="15">
        <v>5820.3</v>
      </c>
      <c r="K188" s="128"/>
      <c r="L188" s="79">
        <v>720</v>
      </c>
      <c r="M188" s="43"/>
      <c r="N188" s="43"/>
      <c r="O188" s="43"/>
      <c r="P188" s="43"/>
      <c r="Q188" s="43"/>
      <c r="R188" s="43"/>
      <c r="S188" s="43"/>
      <c r="T188" s="27"/>
      <c r="U188" s="43"/>
      <c r="V188" s="22"/>
      <c r="W188" s="43"/>
      <c r="X188" s="43"/>
    </row>
    <row r="189" spans="1:24" x14ac:dyDescent="0.3">
      <c r="A189" s="22"/>
      <c r="B189" s="22"/>
      <c r="C189" s="22"/>
      <c r="D189" s="22"/>
      <c r="E189" s="22"/>
      <c r="F189" s="22"/>
      <c r="G189" s="22"/>
      <c r="H189" s="160"/>
      <c r="I189" s="15">
        <v>5969.12</v>
      </c>
      <c r="K189" s="128"/>
      <c r="L189" s="79">
        <v>729</v>
      </c>
      <c r="N189" s="43"/>
      <c r="O189" s="43"/>
      <c r="P189" s="43"/>
      <c r="Q189" s="43"/>
      <c r="R189" s="43"/>
      <c r="S189" s="43"/>
      <c r="T189" s="27"/>
      <c r="U189" s="43"/>
      <c r="V189" s="22"/>
      <c r="W189" s="43"/>
      <c r="X189" s="43"/>
    </row>
    <row r="190" spans="1:24" ht="14.25" customHeight="1" x14ac:dyDescent="0.3">
      <c r="A190" s="22"/>
      <c r="B190" s="22"/>
      <c r="C190" s="22"/>
      <c r="D190" s="22"/>
      <c r="E190" s="22"/>
      <c r="F190" s="22"/>
      <c r="G190" s="22"/>
      <c r="H190" s="65"/>
      <c r="I190" s="15">
        <v>6360</v>
      </c>
      <c r="K190" s="21"/>
      <c r="L190" s="79"/>
      <c r="M190" s="43"/>
      <c r="N190" s="43"/>
      <c r="O190" s="43"/>
      <c r="P190" s="43"/>
      <c r="Q190" s="43"/>
      <c r="R190" s="43"/>
      <c r="S190" s="43"/>
      <c r="T190" s="27"/>
      <c r="U190" s="43"/>
      <c r="V190" s="22"/>
      <c r="W190" s="43"/>
      <c r="X190" s="43"/>
    </row>
    <row r="191" spans="1:24" x14ac:dyDescent="0.3">
      <c r="A191" s="22"/>
      <c r="B191" s="22"/>
      <c r="C191" s="22"/>
      <c r="D191" s="22"/>
      <c r="E191" s="22"/>
      <c r="F191" s="22"/>
      <c r="G191" s="22"/>
      <c r="H191" s="37"/>
      <c r="I191" s="15"/>
      <c r="K191" s="24"/>
      <c r="L191" s="56"/>
      <c r="M191" s="22"/>
      <c r="N191" s="22"/>
      <c r="O191" s="43"/>
      <c r="P191" s="22"/>
      <c r="Q191" s="22"/>
      <c r="R191" s="22"/>
      <c r="S191" s="22"/>
      <c r="T191" s="27"/>
      <c r="U191" s="22"/>
      <c r="V191" s="22"/>
      <c r="W191" s="22"/>
      <c r="X191" s="22"/>
    </row>
    <row r="192" spans="1:24" ht="15" thickBot="1" x14ac:dyDescent="0.35">
      <c r="A192" s="22"/>
      <c r="B192" s="22"/>
      <c r="C192" s="22"/>
      <c r="D192" s="22"/>
      <c r="E192" s="22"/>
      <c r="F192" s="22"/>
      <c r="G192" s="22"/>
      <c r="H192" s="37" t="s">
        <v>9</v>
      </c>
      <c r="I192" s="15"/>
      <c r="K192" s="24"/>
      <c r="L192" s="56"/>
      <c r="M192" s="22"/>
      <c r="N192" s="22"/>
      <c r="O192" s="43"/>
      <c r="P192" s="22"/>
      <c r="Q192" s="22"/>
      <c r="R192" s="22"/>
      <c r="S192" s="22"/>
      <c r="T192" s="27"/>
      <c r="U192" s="22"/>
      <c r="V192" s="22"/>
      <c r="W192" s="22"/>
      <c r="X192" s="22"/>
    </row>
    <row r="193" spans="1:24" ht="15.6" thickTop="1" thickBot="1" x14ac:dyDescent="0.35">
      <c r="A193" s="22"/>
      <c r="B193" s="22"/>
      <c r="C193" s="22"/>
      <c r="D193" s="22"/>
      <c r="E193" s="22"/>
      <c r="F193" s="22"/>
      <c r="G193" s="22"/>
      <c r="H193" s="37"/>
      <c r="I193" s="132">
        <f>SUM(I183:I192)</f>
        <v>30148.92</v>
      </c>
      <c r="K193" s="24"/>
      <c r="L193" s="56"/>
      <c r="M193" s="22"/>
      <c r="N193" s="22"/>
      <c r="O193" s="43"/>
      <c r="P193" s="22"/>
      <c r="Q193" s="22"/>
      <c r="R193" s="22"/>
      <c r="S193" s="22"/>
      <c r="T193" s="27"/>
      <c r="U193" s="22"/>
      <c r="V193" s="22"/>
      <c r="W193" s="22"/>
      <c r="X193" s="22"/>
    </row>
    <row r="194" spans="1:24" ht="15" thickTop="1" x14ac:dyDescent="0.3">
      <c r="A194" s="22"/>
      <c r="B194" s="22"/>
      <c r="C194" s="22"/>
      <c r="D194" s="22"/>
      <c r="E194" s="22"/>
      <c r="F194" s="22"/>
      <c r="G194" s="22"/>
      <c r="H194" s="22"/>
      <c r="I194" s="40"/>
      <c r="K194" s="24"/>
      <c r="L194" s="56"/>
      <c r="M194" s="22"/>
      <c r="N194" s="22"/>
      <c r="O194" s="43"/>
      <c r="P194" s="22"/>
      <c r="Q194" s="22"/>
      <c r="R194" s="22"/>
      <c r="S194" s="22"/>
      <c r="T194" s="27"/>
      <c r="U194" s="22"/>
      <c r="V194" s="22"/>
      <c r="W194" s="22"/>
      <c r="X194" s="22"/>
    </row>
    <row r="195" spans="1:24" x14ac:dyDescent="0.3">
      <c r="A195" s="22"/>
      <c r="B195" s="22"/>
      <c r="C195" s="22"/>
      <c r="D195" s="22"/>
      <c r="E195" s="22"/>
      <c r="F195" s="22"/>
      <c r="G195" s="22"/>
      <c r="H195" s="22"/>
      <c r="I195" s="27"/>
      <c r="K195" s="24"/>
      <c r="L195" s="56"/>
      <c r="M195" s="22"/>
      <c r="N195" s="22"/>
      <c r="O195" s="43"/>
      <c r="P195" s="22"/>
      <c r="Q195" s="22"/>
      <c r="R195" s="22"/>
      <c r="S195" s="22"/>
      <c r="T195" s="27"/>
      <c r="U195" s="22"/>
      <c r="V195" s="22"/>
      <c r="W195" s="22"/>
      <c r="X195" s="22"/>
    </row>
    <row r="196" spans="1:24" x14ac:dyDescent="0.3">
      <c r="A196" s="22"/>
      <c r="B196" s="22"/>
      <c r="C196" s="22"/>
      <c r="D196" s="22"/>
      <c r="E196" s="22"/>
      <c r="F196" s="22"/>
      <c r="G196" s="22"/>
      <c r="H196" s="22"/>
      <c r="I196" s="27"/>
      <c r="K196" s="24"/>
      <c r="L196" s="56"/>
      <c r="M196" s="22"/>
      <c r="N196" s="22"/>
      <c r="O196" s="43"/>
      <c r="P196" s="22"/>
      <c r="Q196" s="22"/>
      <c r="R196" s="22"/>
      <c r="S196" s="22"/>
      <c r="T196" s="27"/>
      <c r="U196" s="22"/>
      <c r="V196" s="22"/>
      <c r="W196" s="22"/>
      <c r="X196" s="22"/>
    </row>
    <row r="197" spans="1:24" x14ac:dyDescent="0.3">
      <c r="A197" s="22"/>
      <c r="B197" s="22"/>
      <c r="C197" s="22"/>
      <c r="D197" s="22"/>
      <c r="E197" s="22"/>
      <c r="F197" s="22"/>
      <c r="G197" s="22"/>
      <c r="H197" s="22"/>
      <c r="I197" s="27"/>
      <c r="K197" s="24"/>
      <c r="L197" s="22"/>
      <c r="M197" s="22"/>
      <c r="N197" s="22"/>
      <c r="O197" s="22"/>
      <c r="P197" s="22"/>
      <c r="Q197" s="22"/>
      <c r="R197" s="22"/>
      <c r="S197" s="22"/>
      <c r="T197" s="27"/>
      <c r="U197" s="22"/>
      <c r="V197" s="22"/>
      <c r="W197" s="22"/>
      <c r="X197" s="22"/>
    </row>
    <row r="198" spans="1:24" ht="15" thickBot="1" x14ac:dyDescent="0.35">
      <c r="A198" s="140">
        <f t="shared" ref="A198:G198" si="157">SUM(A183:A197)</f>
        <v>3235.81</v>
      </c>
      <c r="B198" s="140">
        <f t="shared" si="157"/>
        <v>3266.65</v>
      </c>
      <c r="C198" s="140">
        <f t="shared" si="157"/>
        <v>3669.67</v>
      </c>
      <c r="D198" s="140">
        <f t="shared" si="157"/>
        <v>3817.83</v>
      </c>
      <c r="E198" s="140">
        <f t="shared" si="157"/>
        <v>455</v>
      </c>
      <c r="F198" s="140">
        <f t="shared" si="157"/>
        <v>3949.15</v>
      </c>
      <c r="G198" s="140">
        <f t="shared" si="157"/>
        <v>3297.37</v>
      </c>
      <c r="H198" s="149">
        <f>SUM(A198:G198)+I193</f>
        <v>51840.399999999994</v>
      </c>
      <c r="I198" s="150"/>
      <c r="K198" s="34">
        <f>SUM(K184:K197)</f>
        <v>4550</v>
      </c>
      <c r="L198" s="34">
        <f t="shared" ref="L198:O198" si="158">SUM(L184:L197)</f>
        <v>2404</v>
      </c>
      <c r="M198" s="34">
        <f t="shared" si="158"/>
        <v>3612</v>
      </c>
      <c r="N198" s="34">
        <f t="shared" si="158"/>
        <v>380</v>
      </c>
      <c r="O198" s="34">
        <f t="shared" si="158"/>
        <v>5224</v>
      </c>
      <c r="P198" s="34">
        <f t="shared" ref="P198:X199" si="159">SUM(P184:P197)</f>
        <v>147.5</v>
      </c>
      <c r="Q198" s="34">
        <f t="shared" si="159"/>
        <v>2716</v>
      </c>
      <c r="R198" s="34">
        <f t="shared" si="159"/>
        <v>113.5</v>
      </c>
      <c r="S198" s="34">
        <f t="shared" si="159"/>
        <v>804</v>
      </c>
      <c r="T198" s="34">
        <f t="shared" si="159"/>
        <v>15</v>
      </c>
      <c r="U198" s="34">
        <f t="shared" si="159"/>
        <v>5192</v>
      </c>
      <c r="V198" s="34">
        <f t="shared" si="159"/>
        <v>620.5</v>
      </c>
      <c r="W198" s="34">
        <f t="shared" si="159"/>
        <v>3504</v>
      </c>
      <c r="X198" s="34">
        <f t="shared" si="159"/>
        <v>28</v>
      </c>
    </row>
    <row r="199" spans="1:24" ht="15" thickBot="1" x14ac:dyDescent="0.35">
      <c r="A199" s="140">
        <v>3235.81</v>
      </c>
      <c r="B199" s="140">
        <v>3266.65</v>
      </c>
      <c r="C199" s="140">
        <v>3669.67</v>
      </c>
      <c r="D199" s="140">
        <v>3817.83</v>
      </c>
      <c r="E199" s="140">
        <v>455</v>
      </c>
      <c r="F199" s="140">
        <v>3949.15</v>
      </c>
      <c r="G199" s="140">
        <v>3297.37</v>
      </c>
      <c r="H199" s="163">
        <f>SUM(A199:G199)+I193</f>
        <v>51840.399999999994</v>
      </c>
      <c r="I199" s="151"/>
      <c r="K199" s="34">
        <v>4550</v>
      </c>
      <c r="L199" s="34">
        <v>2404</v>
      </c>
      <c r="M199" s="34">
        <v>3612</v>
      </c>
      <c r="N199" s="34">
        <v>380</v>
      </c>
      <c r="O199" s="34">
        <v>5224</v>
      </c>
      <c r="P199" s="34">
        <v>147.5</v>
      </c>
      <c r="Q199" s="34">
        <v>2716</v>
      </c>
      <c r="R199" s="34">
        <v>113.5</v>
      </c>
      <c r="S199" s="34">
        <v>804</v>
      </c>
      <c r="T199" s="34">
        <f t="shared" si="159"/>
        <v>15</v>
      </c>
      <c r="U199" s="34">
        <v>5192</v>
      </c>
      <c r="V199" s="34">
        <v>620.5</v>
      </c>
      <c r="W199" s="34">
        <v>3504</v>
      </c>
      <c r="X199" s="34">
        <v>135.5</v>
      </c>
    </row>
    <row r="200" spans="1:24" ht="15" thickBot="1" x14ac:dyDescent="0.35">
      <c r="A200" s="63">
        <f t="shared" ref="A200" si="160">A198-A199</f>
        <v>0</v>
      </c>
      <c r="B200" s="63">
        <f t="shared" ref="B200:H200" si="161">B198-B199</f>
        <v>0</v>
      </c>
      <c r="C200" s="63">
        <f t="shared" si="161"/>
        <v>0</v>
      </c>
      <c r="D200" s="63">
        <f t="shared" si="161"/>
        <v>0</v>
      </c>
      <c r="E200" s="63">
        <f t="shared" si="161"/>
        <v>0</v>
      </c>
      <c r="F200" s="63">
        <f t="shared" si="161"/>
        <v>0</v>
      </c>
      <c r="G200" s="63">
        <f t="shared" si="161"/>
        <v>0</v>
      </c>
      <c r="H200" s="63">
        <f t="shared" si="161"/>
        <v>0</v>
      </c>
      <c r="I200" s="22"/>
      <c r="K200" s="152">
        <f>K198-K199</f>
        <v>0</v>
      </c>
      <c r="L200" s="152">
        <f>L198-L199</f>
        <v>0</v>
      </c>
      <c r="M200" s="152">
        <f>M199-M198</f>
        <v>0</v>
      </c>
      <c r="N200" s="152">
        <f>N199-N198</f>
        <v>0</v>
      </c>
      <c r="O200" s="152">
        <f t="shared" ref="O200:T200" si="162">O199-O198</f>
        <v>0</v>
      </c>
      <c r="P200" s="152">
        <f t="shared" si="162"/>
        <v>0</v>
      </c>
      <c r="Q200" s="152">
        <f t="shared" si="162"/>
        <v>0</v>
      </c>
      <c r="R200" s="152">
        <f t="shared" si="162"/>
        <v>0</v>
      </c>
      <c r="S200" s="152">
        <f t="shared" si="162"/>
        <v>0</v>
      </c>
      <c r="T200" s="152">
        <f t="shared" si="162"/>
        <v>0</v>
      </c>
      <c r="U200" s="152">
        <f>U199-U198</f>
        <v>0</v>
      </c>
      <c r="V200" s="152">
        <f>V199-V198</f>
        <v>0</v>
      </c>
      <c r="W200" s="152">
        <f>W199-W198</f>
        <v>0</v>
      </c>
      <c r="X200" s="152">
        <f t="shared" ref="X200" si="163">X199-X198</f>
        <v>107.5</v>
      </c>
    </row>
    <row r="201" spans="1:24" ht="15" thickBot="1" x14ac:dyDescent="0.35"/>
    <row r="202" spans="1:24" x14ac:dyDescent="0.3">
      <c r="A202" s="157">
        <v>45938</v>
      </c>
      <c r="B202" s="157">
        <f>A202+1</f>
        <v>45939</v>
      </c>
      <c r="C202" s="157">
        <f t="shared" ref="C202" si="164">B202+1</f>
        <v>45940</v>
      </c>
      <c r="D202" s="157">
        <f t="shared" ref="D202" si="165">C202+1</f>
        <v>45941</v>
      </c>
      <c r="E202" s="157">
        <f t="shared" ref="E202" si="166">D202+1</f>
        <v>45942</v>
      </c>
      <c r="F202" s="157">
        <f t="shared" ref="F202" si="167">E202+1</f>
        <v>45943</v>
      </c>
      <c r="G202" s="157">
        <f t="shared" ref="G202" si="168">F202+1</f>
        <v>45944</v>
      </c>
      <c r="H202" s="157"/>
      <c r="I202" s="13" t="s">
        <v>8</v>
      </c>
      <c r="K202" s="59">
        <v>45938</v>
      </c>
      <c r="L202" s="59"/>
      <c r="M202" s="59">
        <f>K202+1</f>
        <v>45939</v>
      </c>
      <c r="N202" s="59"/>
      <c r="O202" s="59">
        <f t="shared" ref="O202" si="169">M202+1</f>
        <v>45940</v>
      </c>
      <c r="P202" s="59"/>
      <c r="Q202" s="59">
        <f t="shared" ref="Q202" si="170">O202+1</f>
        <v>45941</v>
      </c>
      <c r="R202" s="59"/>
      <c r="S202" s="59">
        <f t="shared" ref="S202" si="171">Q202+1</f>
        <v>45942</v>
      </c>
      <c r="T202" s="59"/>
      <c r="U202" s="59">
        <f t="shared" ref="U202" si="172">S202+1</f>
        <v>45943</v>
      </c>
      <c r="V202" s="59"/>
      <c r="W202" s="59">
        <f t="shared" ref="W202" si="173">U202+1</f>
        <v>45944</v>
      </c>
      <c r="X202" s="59"/>
    </row>
    <row r="203" spans="1:24" ht="15" thickBot="1" x14ac:dyDescent="0.35">
      <c r="A203" s="22">
        <v>245</v>
      </c>
      <c r="B203" s="22">
        <v>577</v>
      </c>
      <c r="C203" s="22">
        <v>557</v>
      </c>
      <c r="D203" s="22">
        <v>694</v>
      </c>
      <c r="E203" s="22">
        <v>120</v>
      </c>
      <c r="F203" s="22">
        <v>607</v>
      </c>
      <c r="G203" s="22">
        <v>642</v>
      </c>
      <c r="H203" s="15"/>
      <c r="I203" s="15">
        <v>1225</v>
      </c>
      <c r="K203" s="124" t="s">
        <v>10</v>
      </c>
      <c r="L203" s="125" t="s">
        <v>11</v>
      </c>
      <c r="M203" s="126" t="s">
        <v>10</v>
      </c>
      <c r="N203" s="126" t="s">
        <v>11</v>
      </c>
      <c r="O203" s="126" t="s">
        <v>10</v>
      </c>
      <c r="P203" s="126" t="s">
        <v>11</v>
      </c>
      <c r="Q203" s="126" t="s">
        <v>10</v>
      </c>
      <c r="R203" s="126" t="s">
        <v>11</v>
      </c>
      <c r="S203" s="126" t="s">
        <v>10</v>
      </c>
      <c r="T203" s="126" t="s">
        <v>11</v>
      </c>
      <c r="U203" s="126" t="s">
        <v>10</v>
      </c>
      <c r="V203" s="126" t="s">
        <v>11</v>
      </c>
      <c r="W203" s="126" t="s">
        <v>10</v>
      </c>
      <c r="X203" s="143" t="s">
        <v>11</v>
      </c>
    </row>
    <row r="204" spans="1:24" x14ac:dyDescent="0.3">
      <c r="A204" s="22">
        <v>1505</v>
      </c>
      <c r="B204" s="22">
        <v>1145</v>
      </c>
      <c r="C204" s="22">
        <v>2085</v>
      </c>
      <c r="D204" s="22">
        <v>955</v>
      </c>
      <c r="E204" s="22"/>
      <c r="F204" s="22">
        <v>2110</v>
      </c>
      <c r="G204" s="22">
        <v>1215</v>
      </c>
      <c r="H204" s="15"/>
      <c r="I204" s="15">
        <v>1932</v>
      </c>
      <c r="K204" s="75">
        <v>420</v>
      </c>
      <c r="L204" s="76">
        <v>57.5</v>
      </c>
      <c r="M204" s="77">
        <v>290</v>
      </c>
      <c r="N204" s="77">
        <v>24</v>
      </c>
      <c r="O204" s="77">
        <v>260</v>
      </c>
      <c r="P204" s="77">
        <v>15</v>
      </c>
      <c r="Q204" s="77">
        <v>270</v>
      </c>
      <c r="R204" s="77">
        <v>75</v>
      </c>
      <c r="S204" s="77">
        <v>80</v>
      </c>
      <c r="T204" s="40">
        <v>15</v>
      </c>
      <c r="U204" s="77">
        <v>300</v>
      </c>
      <c r="V204" s="63">
        <v>15</v>
      </c>
      <c r="W204" s="77">
        <v>190</v>
      </c>
      <c r="X204" s="77">
        <v>107.5</v>
      </c>
    </row>
    <row r="205" spans="1:24" x14ac:dyDescent="0.3">
      <c r="A205" s="22">
        <v>1648.51</v>
      </c>
      <c r="B205" s="44">
        <v>1314.75</v>
      </c>
      <c r="C205" s="22">
        <v>1314.75</v>
      </c>
      <c r="D205" s="22">
        <v>1329.11</v>
      </c>
      <c r="E205" s="46"/>
      <c r="F205" s="22">
        <v>1314.75</v>
      </c>
      <c r="G205" s="22">
        <v>1410.59</v>
      </c>
      <c r="H205" s="15"/>
      <c r="I205" s="15">
        <v>2992</v>
      </c>
      <c r="K205" s="21">
        <v>318</v>
      </c>
      <c r="L205" s="79">
        <v>90</v>
      </c>
      <c r="M205" s="43">
        <v>200</v>
      </c>
      <c r="N205" s="43">
        <v>35</v>
      </c>
      <c r="O205" s="43">
        <v>448</v>
      </c>
      <c r="P205" s="43">
        <v>42.5</v>
      </c>
      <c r="Q205" s="43">
        <v>168</v>
      </c>
      <c r="R205" s="80">
        <v>1980</v>
      </c>
      <c r="S205" s="43">
        <v>84</v>
      </c>
      <c r="T205" s="27"/>
      <c r="U205" s="43">
        <v>358</v>
      </c>
      <c r="V205" s="22">
        <v>102.5</v>
      </c>
      <c r="W205" s="43">
        <v>278</v>
      </c>
      <c r="X205" s="43">
        <v>67</v>
      </c>
    </row>
    <row r="206" spans="1:24" x14ac:dyDescent="0.3">
      <c r="A206" s="22"/>
      <c r="B206" s="41"/>
      <c r="C206" s="22"/>
      <c r="D206" s="22"/>
      <c r="E206" s="22"/>
      <c r="F206" s="22"/>
      <c r="G206" s="22"/>
      <c r="H206" s="15"/>
      <c r="I206" s="15">
        <v>5969.12</v>
      </c>
      <c r="K206" s="21">
        <v>3140</v>
      </c>
      <c r="L206" s="79"/>
      <c r="M206" s="43">
        <v>2670</v>
      </c>
      <c r="N206" s="43">
        <v>149.9</v>
      </c>
      <c r="O206" s="43">
        <v>3630</v>
      </c>
      <c r="P206" s="43">
        <v>90</v>
      </c>
      <c r="Q206" s="43">
        <v>1890</v>
      </c>
      <c r="R206" s="84"/>
      <c r="S206" s="43">
        <v>910</v>
      </c>
      <c r="T206" s="27"/>
      <c r="U206" s="43">
        <v>3600</v>
      </c>
      <c r="V206" s="22">
        <v>90</v>
      </c>
      <c r="W206" s="43">
        <v>2750</v>
      </c>
      <c r="X206" s="43">
        <v>1200</v>
      </c>
    </row>
    <row r="207" spans="1:24" x14ac:dyDescent="0.3">
      <c r="A207" s="22"/>
      <c r="B207" s="22"/>
      <c r="C207" s="22"/>
      <c r="D207" s="22"/>
      <c r="E207" s="22"/>
      <c r="F207" s="22"/>
      <c r="G207" s="22"/>
      <c r="H207" s="15"/>
      <c r="I207" s="15">
        <v>6360</v>
      </c>
      <c r="K207" s="21">
        <v>240</v>
      </c>
      <c r="L207" s="8"/>
      <c r="M207" s="43">
        <v>370</v>
      </c>
      <c r="N207" s="43"/>
      <c r="O207" s="43">
        <v>220</v>
      </c>
      <c r="P207" s="43"/>
      <c r="Q207" s="43"/>
      <c r="R207" s="43"/>
      <c r="S207" s="43"/>
      <c r="T207" s="27"/>
      <c r="U207" s="43">
        <v>230</v>
      </c>
      <c r="V207" s="22"/>
      <c r="W207" s="43">
        <v>650</v>
      </c>
      <c r="X207" s="43"/>
    </row>
    <row r="208" spans="1:24" x14ac:dyDescent="0.3">
      <c r="A208" s="22"/>
      <c r="B208" s="22"/>
      <c r="C208" s="22"/>
      <c r="D208" s="22"/>
      <c r="E208" s="22"/>
      <c r="F208" s="22"/>
      <c r="G208" s="22"/>
      <c r="H208" s="15"/>
      <c r="I208" s="15">
        <v>5299.86</v>
      </c>
      <c r="K208" s="128"/>
      <c r="L208" s="79"/>
      <c r="M208" s="43"/>
      <c r="N208" s="43"/>
      <c r="O208" s="43"/>
      <c r="P208" s="43"/>
      <c r="Q208" s="43"/>
      <c r="R208" s="43"/>
      <c r="S208" s="43"/>
      <c r="T208" s="27"/>
      <c r="U208" s="43"/>
      <c r="V208" s="22"/>
      <c r="W208" s="43"/>
      <c r="X208" s="43"/>
    </row>
    <row r="209" spans="1:24" x14ac:dyDescent="0.3">
      <c r="A209" s="22"/>
      <c r="B209" s="22"/>
      <c r="C209" s="22"/>
      <c r="D209" s="22"/>
      <c r="E209" s="22"/>
      <c r="F209" s="22"/>
      <c r="G209" s="22"/>
      <c r="H209" s="160"/>
      <c r="I209" s="15">
        <v>424</v>
      </c>
      <c r="K209" s="128"/>
      <c r="L209" s="79"/>
      <c r="N209" s="43"/>
      <c r="O209" s="43"/>
      <c r="P209" s="43"/>
      <c r="Q209" s="43"/>
      <c r="R209" s="43"/>
      <c r="S209" s="43"/>
      <c r="T209" s="27"/>
      <c r="U209" s="43"/>
      <c r="V209" s="22"/>
      <c r="W209" s="43"/>
      <c r="X209" s="43"/>
    </row>
    <row r="210" spans="1:24" x14ac:dyDescent="0.3">
      <c r="A210" s="22"/>
      <c r="B210" s="22"/>
      <c r="C210" s="22"/>
      <c r="D210" s="22"/>
      <c r="E210" s="22"/>
      <c r="F210" s="22"/>
      <c r="G210" s="22"/>
      <c r="H210" s="65"/>
      <c r="I210" s="15">
        <v>4768</v>
      </c>
      <c r="K210" s="21"/>
      <c r="L210" s="79"/>
      <c r="M210" s="43"/>
      <c r="N210" s="43"/>
      <c r="O210" s="43"/>
      <c r="P210" s="43"/>
      <c r="Q210" s="43"/>
      <c r="R210" s="43"/>
      <c r="S210" s="43"/>
      <c r="T210" s="27"/>
      <c r="U210" s="43"/>
      <c r="V210" s="22"/>
      <c r="W210" s="43"/>
      <c r="X210" s="43"/>
    </row>
    <row r="211" spans="1:24" x14ac:dyDescent="0.3">
      <c r="A211" s="22"/>
      <c r="B211" s="22"/>
      <c r="C211" s="22"/>
      <c r="D211" s="22"/>
      <c r="E211" s="22"/>
      <c r="F211" s="22"/>
      <c r="G211" s="22"/>
      <c r="H211" s="37"/>
      <c r="I211" s="15">
        <v>260.22000000000003</v>
      </c>
      <c r="K211" s="24"/>
      <c r="L211" s="56"/>
      <c r="M211" s="22"/>
      <c r="N211" s="22"/>
      <c r="O211" s="43"/>
      <c r="P211" s="22"/>
      <c r="Q211" s="22"/>
      <c r="R211" s="22"/>
      <c r="S211" s="22"/>
      <c r="T211" s="27"/>
      <c r="U211" s="22"/>
      <c r="V211" s="22"/>
      <c r="W211" s="22"/>
      <c r="X211" s="22"/>
    </row>
    <row r="212" spans="1:24" ht="15" thickBot="1" x14ac:dyDescent="0.35">
      <c r="A212" s="22"/>
      <c r="B212" s="22"/>
      <c r="C212" s="22"/>
      <c r="D212" s="22"/>
      <c r="E212" s="22"/>
      <c r="F212" s="22"/>
      <c r="G212" s="22"/>
      <c r="H212" s="37" t="s">
        <v>9</v>
      </c>
      <c r="I212" s="15"/>
      <c r="K212" s="24"/>
      <c r="L212" s="56"/>
      <c r="M212" s="22"/>
      <c r="N212" s="22"/>
      <c r="O212" s="43"/>
      <c r="P212" s="22"/>
      <c r="Q212" s="22"/>
      <c r="R212" s="22"/>
      <c r="S212" s="22"/>
      <c r="T212" s="27"/>
      <c r="U212" s="22"/>
      <c r="V212" s="22"/>
      <c r="W212" s="22"/>
      <c r="X212" s="22"/>
    </row>
    <row r="213" spans="1:24" ht="15.6" thickTop="1" thickBot="1" x14ac:dyDescent="0.35">
      <c r="A213" s="22"/>
      <c r="B213" s="22"/>
      <c r="C213" s="22"/>
      <c r="D213" s="22"/>
      <c r="E213" s="22"/>
      <c r="F213" s="22"/>
      <c r="G213" s="22"/>
      <c r="H213" s="37"/>
      <c r="I213" s="132">
        <f>SUM(I203:I212)</f>
        <v>29230.2</v>
      </c>
      <c r="K213" s="24"/>
      <c r="L213" s="56"/>
      <c r="M213" s="22"/>
      <c r="N213" s="22"/>
      <c r="O213" s="43"/>
      <c r="P213" s="22"/>
      <c r="Q213" s="22"/>
      <c r="R213" s="22"/>
      <c r="S213" s="22"/>
      <c r="T213" s="27"/>
      <c r="U213" s="22"/>
      <c r="V213" s="22"/>
      <c r="W213" s="22"/>
      <c r="X213" s="22"/>
    </row>
    <row r="214" spans="1:24" ht="15" thickTop="1" x14ac:dyDescent="0.3">
      <c r="A214" s="22"/>
      <c r="B214" s="22"/>
      <c r="C214" s="22"/>
      <c r="D214" s="22"/>
      <c r="E214" s="22"/>
      <c r="F214" s="22"/>
      <c r="G214" s="22"/>
      <c r="H214" s="22"/>
      <c r="I214" s="40"/>
      <c r="K214" s="24"/>
      <c r="L214" s="56"/>
      <c r="M214" s="22"/>
      <c r="N214" s="22"/>
      <c r="O214" s="43"/>
      <c r="P214" s="22"/>
      <c r="Q214" s="22"/>
      <c r="R214" s="22"/>
      <c r="S214" s="22"/>
      <c r="T214" s="27"/>
      <c r="U214" s="22"/>
      <c r="V214" s="22"/>
      <c r="W214" s="22"/>
      <c r="X214" s="22"/>
    </row>
    <row r="215" spans="1:24" x14ac:dyDescent="0.3">
      <c r="A215" s="22"/>
      <c r="B215" s="22"/>
      <c r="C215" s="22"/>
      <c r="D215" s="22"/>
      <c r="E215" s="22"/>
      <c r="F215" s="22"/>
      <c r="G215" s="22"/>
      <c r="H215" s="22"/>
      <c r="I215" s="27"/>
      <c r="K215" s="24"/>
      <c r="L215" s="56"/>
      <c r="M215" s="22"/>
      <c r="N215" s="22"/>
      <c r="O215" s="43"/>
      <c r="P215" s="22"/>
      <c r="Q215" s="22"/>
      <c r="R215" s="22"/>
      <c r="S215" s="22"/>
      <c r="T215" s="27"/>
      <c r="U215" s="22"/>
      <c r="V215" s="22"/>
      <c r="W215" s="22"/>
      <c r="X215" s="22"/>
    </row>
    <row r="216" spans="1:24" x14ac:dyDescent="0.3">
      <c r="A216" s="22"/>
      <c r="B216" s="22"/>
      <c r="C216" s="22"/>
      <c r="D216" s="22"/>
      <c r="E216" s="22"/>
      <c r="F216" s="22"/>
      <c r="G216" s="22"/>
      <c r="H216" s="22"/>
      <c r="I216" s="27"/>
      <c r="K216" s="24"/>
      <c r="L216" s="56"/>
      <c r="M216" s="22"/>
      <c r="N216" s="22"/>
      <c r="O216" s="43"/>
      <c r="P216" s="22"/>
      <c r="Q216" s="22"/>
      <c r="R216" s="22"/>
      <c r="S216" s="22"/>
      <c r="T216" s="27"/>
      <c r="U216" s="22"/>
      <c r="V216" s="22"/>
      <c r="W216" s="22"/>
      <c r="X216" s="22"/>
    </row>
    <row r="217" spans="1:24" x14ac:dyDescent="0.3">
      <c r="A217" s="22"/>
      <c r="B217" s="22"/>
      <c r="C217" s="22"/>
      <c r="D217" s="22"/>
      <c r="E217" s="22"/>
      <c r="F217" s="22"/>
      <c r="G217" s="22"/>
      <c r="H217" s="22"/>
      <c r="I217" s="27"/>
      <c r="K217" s="24"/>
      <c r="L217" s="22"/>
      <c r="M217" s="22"/>
      <c r="N217" s="22"/>
      <c r="O217" s="22"/>
      <c r="P217" s="22"/>
      <c r="Q217" s="22"/>
      <c r="R217" s="22"/>
      <c r="S217" s="22"/>
      <c r="T217" s="27"/>
      <c r="U217" s="22"/>
      <c r="V217" s="22"/>
      <c r="W217" s="22"/>
      <c r="X217" s="22"/>
    </row>
    <row r="218" spans="1:24" ht="15" thickBot="1" x14ac:dyDescent="0.35">
      <c r="A218" s="140">
        <f t="shared" ref="A218:G219" si="174">SUM(A203:A217)</f>
        <v>3398.51</v>
      </c>
      <c r="B218" s="140">
        <f t="shared" si="174"/>
        <v>3036.75</v>
      </c>
      <c r="C218" s="140">
        <f t="shared" si="174"/>
        <v>3956.75</v>
      </c>
      <c r="D218" s="140">
        <f t="shared" si="174"/>
        <v>2978.1099999999997</v>
      </c>
      <c r="E218" s="140">
        <f t="shared" si="174"/>
        <v>120</v>
      </c>
      <c r="F218" s="140">
        <f t="shared" si="174"/>
        <v>4031.75</v>
      </c>
      <c r="G218" s="140">
        <f t="shared" si="174"/>
        <v>3267.59</v>
      </c>
      <c r="H218" s="149">
        <f>SUM(A218:G218)+I213</f>
        <v>50019.66</v>
      </c>
      <c r="I218" s="150"/>
      <c r="K218" s="140">
        <f t="shared" ref="K218:X218" si="175">SUM(K203:K217)</f>
        <v>4118</v>
      </c>
      <c r="L218" s="140">
        <f t="shared" si="175"/>
        <v>147.5</v>
      </c>
      <c r="M218" s="140">
        <f t="shared" si="175"/>
        <v>3530</v>
      </c>
      <c r="N218" s="140">
        <f t="shared" si="175"/>
        <v>208.9</v>
      </c>
      <c r="O218" s="140">
        <f t="shared" si="175"/>
        <v>4558</v>
      </c>
      <c r="P218" s="140">
        <f t="shared" si="175"/>
        <v>147.5</v>
      </c>
      <c r="Q218" s="140">
        <f t="shared" si="175"/>
        <v>2328</v>
      </c>
      <c r="R218" s="140">
        <f t="shared" si="175"/>
        <v>2055</v>
      </c>
      <c r="S218" s="140">
        <f t="shared" si="175"/>
        <v>1074</v>
      </c>
      <c r="T218" s="140">
        <f t="shared" si="175"/>
        <v>15</v>
      </c>
      <c r="U218" s="140">
        <f t="shared" si="175"/>
        <v>4488</v>
      </c>
      <c r="V218" s="140">
        <f t="shared" si="175"/>
        <v>207.5</v>
      </c>
      <c r="W218" s="140">
        <f t="shared" si="175"/>
        <v>3868</v>
      </c>
      <c r="X218" s="140">
        <f t="shared" si="175"/>
        <v>1374.5</v>
      </c>
    </row>
    <row r="219" spans="1:24" ht="15" thickBot="1" x14ac:dyDescent="0.35">
      <c r="A219" s="140">
        <v>3398.51</v>
      </c>
      <c r="B219" s="140">
        <v>3036.75</v>
      </c>
      <c r="C219" s="140">
        <v>3956.75</v>
      </c>
      <c r="D219" s="140">
        <v>2978.11</v>
      </c>
      <c r="E219" s="140">
        <f t="shared" si="174"/>
        <v>120</v>
      </c>
      <c r="F219" s="140">
        <v>4031.75</v>
      </c>
      <c r="G219" s="140">
        <v>3267.59</v>
      </c>
      <c r="H219" s="163">
        <f>SUM(A219:G219)+I213</f>
        <v>50019.66</v>
      </c>
      <c r="I219" s="151"/>
      <c r="K219" s="34">
        <v>4118</v>
      </c>
      <c r="L219" s="34">
        <v>147.5</v>
      </c>
      <c r="M219" s="140">
        <v>3530</v>
      </c>
      <c r="N219" s="140">
        <v>208.9</v>
      </c>
      <c r="O219" s="140">
        <v>4558</v>
      </c>
      <c r="P219" s="140">
        <v>147.5</v>
      </c>
      <c r="Q219" s="140">
        <v>2328</v>
      </c>
      <c r="R219" s="140">
        <v>2055</v>
      </c>
      <c r="S219" s="140">
        <v>1074</v>
      </c>
      <c r="T219" s="140">
        <v>15</v>
      </c>
      <c r="U219" s="140">
        <v>4488</v>
      </c>
      <c r="V219" s="140">
        <v>207.5</v>
      </c>
      <c r="W219" s="140">
        <v>3868</v>
      </c>
      <c r="X219" s="140">
        <v>1374.5</v>
      </c>
    </row>
    <row r="220" spans="1:24" ht="15" thickBot="1" x14ac:dyDescent="0.35">
      <c r="A220" s="63">
        <f t="shared" ref="A220:H220" si="176">A218-A219</f>
        <v>0</v>
      </c>
      <c r="B220" s="63">
        <f t="shared" si="176"/>
        <v>0</v>
      </c>
      <c r="C220" s="63">
        <f t="shared" si="176"/>
        <v>0</v>
      </c>
      <c r="D220" s="63">
        <f t="shared" si="176"/>
        <v>0</v>
      </c>
      <c r="E220" s="63">
        <f t="shared" si="176"/>
        <v>0</v>
      </c>
      <c r="F220" s="63">
        <f t="shared" si="176"/>
        <v>0</v>
      </c>
      <c r="G220" s="63">
        <f t="shared" si="176"/>
        <v>0</v>
      </c>
      <c r="H220" s="63">
        <f t="shared" si="176"/>
        <v>0</v>
      </c>
      <c r="I220" s="22"/>
      <c r="K220" s="152">
        <f>K218-K219</f>
        <v>0</v>
      </c>
      <c r="L220" s="152">
        <f>L218-L219</f>
        <v>0</v>
      </c>
      <c r="M220" s="152">
        <f>M219-M218</f>
        <v>0</v>
      </c>
      <c r="N220" s="152">
        <f>N219-N218</f>
        <v>0</v>
      </c>
      <c r="O220" s="152">
        <f t="shared" ref="O220:T220" si="177">O219-O218</f>
        <v>0</v>
      </c>
      <c r="P220" s="152">
        <f t="shared" si="177"/>
        <v>0</v>
      </c>
      <c r="Q220" s="152">
        <f t="shared" si="177"/>
        <v>0</v>
      </c>
      <c r="R220" s="152">
        <f t="shared" si="177"/>
        <v>0</v>
      </c>
      <c r="S220" s="152">
        <f t="shared" si="177"/>
        <v>0</v>
      </c>
      <c r="T220" s="152">
        <f t="shared" si="177"/>
        <v>0</v>
      </c>
      <c r="U220" s="152">
        <f>U219-U218</f>
        <v>0</v>
      </c>
      <c r="V220" s="152">
        <f>V219-V218</f>
        <v>0</v>
      </c>
      <c r="W220" s="152">
        <f>W219-W218</f>
        <v>0</v>
      </c>
      <c r="X220" s="152">
        <f t="shared" ref="X220" si="178">X219-X218</f>
        <v>0</v>
      </c>
    </row>
    <row r="221" spans="1:24" ht="15" thickBot="1" x14ac:dyDescent="0.35"/>
    <row r="222" spans="1:24" x14ac:dyDescent="0.3">
      <c r="A222" s="157">
        <v>45945</v>
      </c>
      <c r="B222" s="157">
        <f>A222+1</f>
        <v>45946</v>
      </c>
      <c r="C222" s="157">
        <f t="shared" ref="C222" si="179">B222+1</f>
        <v>45947</v>
      </c>
      <c r="D222" s="157">
        <f t="shared" ref="D222" si="180">C222+1</f>
        <v>45948</v>
      </c>
      <c r="E222" s="157">
        <f t="shared" ref="E222" si="181">D222+1</f>
        <v>45949</v>
      </c>
      <c r="F222" s="157">
        <f t="shared" ref="F222" si="182">E222+1</f>
        <v>45950</v>
      </c>
      <c r="G222" s="157">
        <f t="shared" ref="G222" si="183">F222+1</f>
        <v>45951</v>
      </c>
      <c r="H222" s="157"/>
      <c r="I222" s="13" t="s">
        <v>8</v>
      </c>
      <c r="K222" s="59">
        <v>45945</v>
      </c>
      <c r="L222" s="59"/>
      <c r="M222" s="59">
        <f>K222+1</f>
        <v>45946</v>
      </c>
      <c r="N222" s="59"/>
      <c r="O222" s="59">
        <f t="shared" ref="O222" si="184">M222+1</f>
        <v>45947</v>
      </c>
      <c r="P222" s="59"/>
      <c r="Q222" s="59">
        <f t="shared" ref="Q222" si="185">O222+1</f>
        <v>45948</v>
      </c>
      <c r="R222" s="59"/>
      <c r="S222" s="59">
        <f t="shared" ref="S222" si="186">Q222+1</f>
        <v>45949</v>
      </c>
      <c r="T222" s="59"/>
      <c r="U222" s="59">
        <f t="shared" ref="U222" si="187">S222+1</f>
        <v>45950</v>
      </c>
      <c r="V222" s="59"/>
      <c r="W222" s="59">
        <f t="shared" ref="W222" si="188">U222+1</f>
        <v>45951</v>
      </c>
      <c r="X222" s="59"/>
    </row>
    <row r="223" spans="1:24" ht="15" thickBot="1" x14ac:dyDescent="0.35">
      <c r="A223" s="22">
        <v>297</v>
      </c>
      <c r="B223" s="22">
        <v>489</v>
      </c>
      <c r="C223" s="22">
        <v>502</v>
      </c>
      <c r="D223" s="22">
        <v>589</v>
      </c>
      <c r="E223" s="22">
        <v>120</v>
      </c>
      <c r="F223" s="22">
        <v>472</v>
      </c>
      <c r="G223" s="22">
        <v>422</v>
      </c>
      <c r="H223" s="15"/>
      <c r="I223" s="15">
        <v>1029</v>
      </c>
      <c r="K223" s="124" t="s">
        <v>10</v>
      </c>
      <c r="L223" s="125" t="s">
        <v>11</v>
      </c>
      <c r="M223" s="126" t="s">
        <v>10</v>
      </c>
      <c r="N223" s="126" t="s">
        <v>11</v>
      </c>
      <c r="O223" s="126" t="s">
        <v>10</v>
      </c>
      <c r="P223" s="126" t="s">
        <v>11</v>
      </c>
      <c r="Q223" s="126" t="s">
        <v>10</v>
      </c>
      <c r="R223" s="126" t="s">
        <v>11</v>
      </c>
      <c r="S223" s="126" t="s">
        <v>10</v>
      </c>
      <c r="T223" s="126" t="s">
        <v>11</v>
      </c>
      <c r="U223" s="126" t="s">
        <v>10</v>
      </c>
      <c r="V223" s="126" t="s">
        <v>11</v>
      </c>
      <c r="W223" s="126" t="s">
        <v>10</v>
      </c>
      <c r="X223" s="143" t="s">
        <v>11</v>
      </c>
    </row>
    <row r="224" spans="1:24" x14ac:dyDescent="0.3">
      <c r="A224" s="22">
        <v>1455</v>
      </c>
      <c r="B224" s="22">
        <v>1470</v>
      </c>
      <c r="C224" s="22">
        <v>1990</v>
      </c>
      <c r="D224" s="22">
        <v>870</v>
      </c>
      <c r="E224" s="22"/>
      <c r="F224" s="22">
        <v>1725</v>
      </c>
      <c r="G224" s="22">
        <v>1310</v>
      </c>
      <c r="H224" s="15"/>
      <c r="I224" s="15">
        <v>2014.5</v>
      </c>
      <c r="K224" s="75">
        <v>318</v>
      </c>
      <c r="L224" s="76">
        <v>52.5</v>
      </c>
      <c r="M224" s="77">
        <v>520</v>
      </c>
      <c r="N224" s="77">
        <v>50</v>
      </c>
      <c r="O224" s="77">
        <v>260</v>
      </c>
      <c r="P224" s="77">
        <v>47.5</v>
      </c>
      <c r="Q224" s="77">
        <v>250</v>
      </c>
      <c r="R224" s="77">
        <v>30</v>
      </c>
      <c r="S224" s="77">
        <v>84</v>
      </c>
      <c r="T224" s="40">
        <v>15</v>
      </c>
      <c r="U224" s="77">
        <v>410</v>
      </c>
      <c r="V224" s="63">
        <v>42.5</v>
      </c>
      <c r="W224" s="77">
        <v>560</v>
      </c>
      <c r="X224" s="77">
        <v>28</v>
      </c>
    </row>
    <row r="225" spans="1:24" x14ac:dyDescent="0.3">
      <c r="A225" s="22">
        <v>1600.59</v>
      </c>
      <c r="B225" s="44">
        <v>1956.65</v>
      </c>
      <c r="C225" s="22">
        <v>1458.51</v>
      </c>
      <c r="D225" s="22">
        <v>2726.05</v>
      </c>
      <c r="E225" s="46"/>
      <c r="F225" s="22">
        <v>1314.75</v>
      </c>
      <c r="G225" s="22">
        <v>1766.65</v>
      </c>
      <c r="H225" s="15"/>
      <c r="I225" s="15">
        <v>3204</v>
      </c>
      <c r="K225" s="21">
        <v>500</v>
      </c>
      <c r="L225" s="79">
        <v>513</v>
      </c>
      <c r="M225" s="43">
        <v>214</v>
      </c>
      <c r="N225" s="43">
        <v>1200</v>
      </c>
      <c r="O225" s="43">
        <v>370</v>
      </c>
      <c r="P225" s="43">
        <v>60</v>
      </c>
      <c r="Q225" s="43">
        <v>246</v>
      </c>
      <c r="R225" s="80">
        <v>28</v>
      </c>
      <c r="S225" s="43">
        <v>100</v>
      </c>
      <c r="T225" s="27"/>
      <c r="U225" s="43">
        <v>370</v>
      </c>
      <c r="V225" s="22">
        <v>615</v>
      </c>
      <c r="W225" s="43">
        <v>286</v>
      </c>
      <c r="X225" s="43">
        <v>82.5</v>
      </c>
    </row>
    <row r="226" spans="1:24" x14ac:dyDescent="0.3">
      <c r="A226" s="22"/>
      <c r="B226" s="41"/>
      <c r="C226" s="22"/>
      <c r="D226" s="22"/>
      <c r="E226" s="22"/>
      <c r="F226" s="22"/>
      <c r="G226" s="22"/>
      <c r="H226" s="15"/>
      <c r="I226" s="15">
        <v>6360</v>
      </c>
      <c r="K226" s="21">
        <v>510</v>
      </c>
      <c r="L226" s="79"/>
      <c r="M226" s="43">
        <v>2020</v>
      </c>
      <c r="N226" s="43"/>
      <c r="O226" s="43">
        <v>4550</v>
      </c>
      <c r="P226" s="43">
        <v>139.80000000000001</v>
      </c>
      <c r="Q226" s="43">
        <v>1670</v>
      </c>
      <c r="R226" s="84"/>
      <c r="S226" s="43">
        <v>930</v>
      </c>
      <c r="T226" s="27"/>
      <c r="U226" s="43">
        <v>4610</v>
      </c>
      <c r="V226" s="22"/>
      <c r="W226" s="43">
        <v>3560</v>
      </c>
      <c r="X226" s="43"/>
    </row>
    <row r="227" spans="1:24" x14ac:dyDescent="0.3">
      <c r="A227" s="22"/>
      <c r="B227" s="22"/>
      <c r="C227" s="22"/>
      <c r="D227" s="22"/>
      <c r="E227" s="22"/>
      <c r="F227" s="22"/>
      <c r="G227" s="22"/>
      <c r="H227" s="15"/>
      <c r="I227" s="15">
        <v>424</v>
      </c>
      <c r="K227" s="21">
        <v>3730</v>
      </c>
      <c r="L227" s="8"/>
      <c r="M227" s="43">
        <v>70</v>
      </c>
      <c r="N227" s="43"/>
      <c r="O227" s="43">
        <v>670</v>
      </c>
      <c r="P227" s="43">
        <v>15</v>
      </c>
      <c r="Q227" s="43"/>
      <c r="R227" s="43"/>
      <c r="S227" s="43"/>
      <c r="T227" s="27"/>
      <c r="U227" s="43">
        <v>380</v>
      </c>
      <c r="V227" s="22"/>
      <c r="W227" s="43">
        <v>370</v>
      </c>
      <c r="X227" s="43"/>
    </row>
    <row r="228" spans="1:24" x14ac:dyDescent="0.3">
      <c r="A228" s="22"/>
      <c r="B228" s="22"/>
      <c r="C228" s="22"/>
      <c r="D228" s="22"/>
      <c r="E228" s="22"/>
      <c r="F228" s="22"/>
      <c r="G228" s="22"/>
      <c r="H228" s="15"/>
      <c r="I228" s="15">
        <v>4938</v>
      </c>
      <c r="K228" s="128"/>
      <c r="L228" s="79"/>
      <c r="M228" s="43"/>
      <c r="N228" s="43"/>
      <c r="O228" s="43"/>
      <c r="P228" s="43"/>
      <c r="Q228" s="43"/>
      <c r="R228" s="43"/>
      <c r="S228" s="43"/>
      <c r="T228" s="27"/>
      <c r="U228" s="43"/>
      <c r="V228" s="22"/>
      <c r="W228" s="43"/>
      <c r="X228" s="43"/>
    </row>
    <row r="229" spans="1:24" x14ac:dyDescent="0.3">
      <c r="A229" s="22"/>
      <c r="B229" s="22"/>
      <c r="C229" s="22"/>
      <c r="D229" s="22"/>
      <c r="E229" s="22"/>
      <c r="F229" s="22"/>
      <c r="G229" s="22"/>
      <c r="H229" s="160"/>
      <c r="I229" s="15">
        <v>780.66</v>
      </c>
      <c r="K229" s="128"/>
      <c r="L229" s="79"/>
      <c r="N229" s="43"/>
      <c r="O229" s="43"/>
      <c r="P229" s="43"/>
      <c r="Q229" s="43"/>
      <c r="R229" s="43"/>
      <c r="S229" s="43"/>
      <c r="T229" s="27"/>
      <c r="U229" s="43"/>
      <c r="V229" s="22"/>
      <c r="W229" s="43"/>
      <c r="X229" s="43"/>
    </row>
    <row r="230" spans="1:24" x14ac:dyDescent="0.3">
      <c r="A230" s="22"/>
      <c r="B230" s="22"/>
      <c r="C230" s="22"/>
      <c r="D230" s="22"/>
      <c r="E230" s="22"/>
      <c r="F230" s="22"/>
      <c r="G230" s="22"/>
      <c r="H230" s="65"/>
      <c r="I230" s="15">
        <v>5969.12</v>
      </c>
      <c r="K230" s="21"/>
      <c r="L230" s="79"/>
      <c r="M230" s="43"/>
      <c r="N230" s="43"/>
      <c r="O230" s="43"/>
      <c r="P230" s="43"/>
      <c r="Q230" s="43"/>
      <c r="R230" s="43"/>
      <c r="S230" s="43"/>
      <c r="T230" s="27"/>
      <c r="U230" s="43"/>
      <c r="V230" s="22"/>
      <c r="W230" s="43"/>
      <c r="X230" s="43"/>
    </row>
    <row r="231" spans="1:24" x14ac:dyDescent="0.3">
      <c r="A231" s="22"/>
      <c r="B231" s="22"/>
      <c r="C231" s="22"/>
      <c r="D231" s="22"/>
      <c r="E231" s="22"/>
      <c r="F231" s="22"/>
      <c r="G231" s="22"/>
      <c r="H231" s="37"/>
      <c r="I231" s="15">
        <v>5560.08</v>
      </c>
      <c r="K231" s="24"/>
      <c r="L231" s="56"/>
      <c r="M231" s="22"/>
      <c r="N231" s="22"/>
      <c r="O231" s="43"/>
      <c r="P231" s="22"/>
      <c r="Q231" s="22"/>
      <c r="R231" s="22"/>
      <c r="S231" s="22"/>
      <c r="T231" s="27"/>
      <c r="U231" s="22"/>
      <c r="V231" s="22"/>
      <c r="W231" s="22"/>
      <c r="X231" s="22"/>
    </row>
    <row r="232" spans="1:24" ht="15" thickBot="1" x14ac:dyDescent="0.35">
      <c r="A232" s="22"/>
      <c r="B232" s="22"/>
      <c r="C232" s="22"/>
      <c r="D232" s="22"/>
      <c r="E232" s="22"/>
      <c r="F232" s="22"/>
      <c r="G232" s="22"/>
      <c r="H232" s="37" t="s">
        <v>9</v>
      </c>
      <c r="I232" s="15"/>
      <c r="K232" s="24"/>
      <c r="L232" s="56"/>
      <c r="M232" s="22"/>
      <c r="N232" s="22"/>
      <c r="O232" s="43"/>
      <c r="P232" s="22"/>
      <c r="Q232" s="22"/>
      <c r="R232" s="22"/>
      <c r="S232" s="22"/>
      <c r="T232" s="27"/>
      <c r="U232" s="22"/>
      <c r="V232" s="22"/>
      <c r="W232" s="22"/>
      <c r="X232" s="22"/>
    </row>
    <row r="233" spans="1:24" ht="15.6" thickTop="1" thickBot="1" x14ac:dyDescent="0.35">
      <c r="A233" s="22"/>
      <c r="B233" s="22"/>
      <c r="C233" s="22"/>
      <c r="D233" s="22"/>
      <c r="E233" s="22"/>
      <c r="F233" s="22"/>
      <c r="G233" s="22"/>
      <c r="H233" s="37"/>
      <c r="I233" s="132">
        <f>SUM(I223:I232)</f>
        <v>30279.360000000001</v>
      </c>
      <c r="K233" s="24"/>
      <c r="L233" s="56"/>
      <c r="M233" s="22"/>
      <c r="N233" s="22"/>
      <c r="O233" s="43"/>
      <c r="P233" s="22"/>
      <c r="Q233" s="22"/>
      <c r="R233" s="22"/>
      <c r="S233" s="22"/>
      <c r="T233" s="27"/>
      <c r="U233" s="22"/>
      <c r="V233" s="22"/>
      <c r="W233" s="22"/>
      <c r="X233" s="22"/>
    </row>
    <row r="234" spans="1:24" ht="15" thickTop="1" x14ac:dyDescent="0.3">
      <c r="A234" s="22"/>
      <c r="B234" s="22"/>
      <c r="C234" s="22"/>
      <c r="D234" s="22"/>
      <c r="E234" s="22"/>
      <c r="F234" s="22"/>
      <c r="G234" s="22"/>
      <c r="H234" s="22"/>
      <c r="I234" s="40"/>
      <c r="K234" s="24"/>
      <c r="L234" s="56"/>
      <c r="M234" s="22"/>
      <c r="N234" s="22"/>
      <c r="O234" s="43"/>
      <c r="P234" s="22"/>
      <c r="Q234" s="22"/>
      <c r="R234" s="22"/>
      <c r="S234" s="22"/>
      <c r="T234" s="27"/>
      <c r="U234" s="22"/>
      <c r="V234" s="22"/>
      <c r="W234" s="22"/>
      <c r="X234" s="22"/>
    </row>
    <row r="235" spans="1:24" x14ac:dyDescent="0.3">
      <c r="A235" s="22"/>
      <c r="B235" s="22"/>
      <c r="C235" s="22"/>
      <c r="D235" s="22"/>
      <c r="E235" s="22"/>
      <c r="F235" s="22"/>
      <c r="G235" s="22"/>
      <c r="H235" s="22"/>
      <c r="I235" s="27"/>
      <c r="K235" s="24"/>
      <c r="L235" s="56"/>
      <c r="M235" s="22"/>
      <c r="N235" s="22"/>
      <c r="O235" s="43"/>
      <c r="P235" s="22"/>
      <c r="Q235" s="22"/>
      <c r="R235" s="22"/>
      <c r="S235" s="22"/>
      <c r="T235" s="27"/>
      <c r="U235" s="22"/>
      <c r="V235" s="22"/>
      <c r="W235" s="22"/>
      <c r="X235" s="22"/>
    </row>
    <row r="236" spans="1:24" x14ac:dyDescent="0.3">
      <c r="A236" s="22"/>
      <c r="B236" s="22"/>
      <c r="C236" s="22"/>
      <c r="D236" s="22"/>
      <c r="E236" s="22"/>
      <c r="F236" s="22"/>
      <c r="G236" s="22"/>
      <c r="H236" s="22"/>
      <c r="I236" s="27"/>
      <c r="K236" s="24"/>
      <c r="L236" s="56"/>
      <c r="M236" s="22"/>
      <c r="N236" s="22"/>
      <c r="O236" s="43"/>
      <c r="P236" s="22"/>
      <c r="Q236" s="22"/>
      <c r="R236" s="22"/>
      <c r="S236" s="22"/>
      <c r="T236" s="27"/>
      <c r="U236" s="22"/>
      <c r="V236" s="22"/>
      <c r="W236" s="22"/>
      <c r="X236" s="22"/>
    </row>
    <row r="237" spans="1:24" x14ac:dyDescent="0.3">
      <c r="A237" s="22"/>
      <c r="B237" s="22"/>
      <c r="C237" s="22"/>
      <c r="D237" s="22"/>
      <c r="E237" s="22"/>
      <c r="F237" s="22"/>
      <c r="G237" s="22"/>
      <c r="H237" s="22"/>
      <c r="I237" s="27"/>
      <c r="K237" s="24"/>
      <c r="L237" s="22"/>
      <c r="M237" s="22"/>
      <c r="N237" s="22"/>
      <c r="O237" s="22"/>
      <c r="P237" s="22"/>
      <c r="Q237" s="22"/>
      <c r="R237" s="22"/>
      <c r="S237" s="22"/>
      <c r="T237" s="27"/>
      <c r="U237" s="22"/>
      <c r="V237" s="22"/>
      <c r="W237" s="22"/>
      <c r="X237" s="22"/>
    </row>
    <row r="238" spans="1:24" ht="15" thickBot="1" x14ac:dyDescent="0.35">
      <c r="A238" s="140">
        <f t="shared" ref="A238:G238" si="189">SUM(A223:A237)</f>
        <v>3352.59</v>
      </c>
      <c r="B238" s="140">
        <f t="shared" si="189"/>
        <v>3915.65</v>
      </c>
      <c r="C238" s="140">
        <f t="shared" si="189"/>
        <v>3950.51</v>
      </c>
      <c r="D238" s="140">
        <f t="shared" si="189"/>
        <v>4185.05</v>
      </c>
      <c r="E238" s="140">
        <f t="shared" si="189"/>
        <v>120</v>
      </c>
      <c r="F238" s="140">
        <f t="shared" si="189"/>
        <v>3511.75</v>
      </c>
      <c r="G238" s="140">
        <f t="shared" si="189"/>
        <v>3498.65</v>
      </c>
      <c r="H238" s="149">
        <f>SUM(A238:G238)+I233</f>
        <v>52813.56</v>
      </c>
      <c r="I238" s="150"/>
      <c r="K238" s="140">
        <f t="shared" ref="K238:X238" si="190">SUM(K223:K237)</f>
        <v>5058</v>
      </c>
      <c r="L238" s="140">
        <f t="shared" si="190"/>
        <v>565.5</v>
      </c>
      <c r="M238" s="140">
        <f t="shared" si="190"/>
        <v>2824</v>
      </c>
      <c r="N238" s="140">
        <f t="shared" si="190"/>
        <v>1250</v>
      </c>
      <c r="O238" s="140">
        <f t="shared" si="190"/>
        <v>5850</v>
      </c>
      <c r="P238" s="140">
        <f t="shared" si="190"/>
        <v>262.3</v>
      </c>
      <c r="Q238" s="140">
        <f t="shared" si="190"/>
        <v>2166</v>
      </c>
      <c r="R238" s="140">
        <f t="shared" si="190"/>
        <v>58</v>
      </c>
      <c r="S238" s="140">
        <f t="shared" si="190"/>
        <v>1114</v>
      </c>
      <c r="T238" s="140">
        <f t="shared" si="190"/>
        <v>15</v>
      </c>
      <c r="U238" s="140">
        <f t="shared" si="190"/>
        <v>5770</v>
      </c>
      <c r="V238" s="140">
        <f t="shared" si="190"/>
        <v>657.5</v>
      </c>
      <c r="W238" s="140">
        <f t="shared" si="190"/>
        <v>4776</v>
      </c>
      <c r="X238" s="140">
        <f t="shared" si="190"/>
        <v>110.5</v>
      </c>
    </row>
    <row r="239" spans="1:24" ht="15" thickBot="1" x14ac:dyDescent="0.35">
      <c r="A239" s="140">
        <v>3352.59</v>
      </c>
      <c r="B239" s="140">
        <v>3915.65</v>
      </c>
      <c r="C239" s="140">
        <v>3950.51</v>
      </c>
      <c r="D239" s="140">
        <v>4185.05</v>
      </c>
      <c r="E239" s="140">
        <v>120</v>
      </c>
      <c r="F239" s="140">
        <v>3511.75</v>
      </c>
      <c r="G239" s="140">
        <v>3498.65</v>
      </c>
      <c r="H239" s="163">
        <f>SUM(A239:G239)+I233</f>
        <v>52813.56</v>
      </c>
      <c r="I239" s="151"/>
      <c r="K239" s="140">
        <v>5058</v>
      </c>
      <c r="L239" s="140">
        <v>565.5</v>
      </c>
      <c r="M239" s="140">
        <v>2824</v>
      </c>
      <c r="N239" s="140">
        <v>1250</v>
      </c>
      <c r="O239" s="140">
        <v>5850</v>
      </c>
      <c r="P239" s="140">
        <v>262.3</v>
      </c>
      <c r="Q239" s="140">
        <v>2166</v>
      </c>
      <c r="R239" s="140">
        <v>78</v>
      </c>
      <c r="S239" s="140">
        <v>1114</v>
      </c>
      <c r="T239" s="140">
        <v>15</v>
      </c>
      <c r="U239" s="140">
        <v>5770</v>
      </c>
      <c r="V239" s="140">
        <v>657.5</v>
      </c>
      <c r="W239" s="140">
        <v>4776</v>
      </c>
      <c r="X239" s="140">
        <v>110.5</v>
      </c>
    </row>
    <row r="240" spans="1:24" ht="15" thickBot="1" x14ac:dyDescent="0.35">
      <c r="A240" s="63">
        <f t="shared" ref="A240:H240" si="191">A238-A239</f>
        <v>0</v>
      </c>
      <c r="B240" s="63">
        <f t="shared" si="191"/>
        <v>0</v>
      </c>
      <c r="C240" s="63">
        <f t="shared" si="191"/>
        <v>0</v>
      </c>
      <c r="D240" s="63">
        <f t="shared" si="191"/>
        <v>0</v>
      </c>
      <c r="E240" s="63">
        <f t="shared" si="191"/>
        <v>0</v>
      </c>
      <c r="F240" s="63">
        <f t="shared" si="191"/>
        <v>0</v>
      </c>
      <c r="G240" s="63">
        <f t="shared" si="191"/>
        <v>0</v>
      </c>
      <c r="H240" s="63">
        <f t="shared" si="191"/>
        <v>0</v>
      </c>
      <c r="I240" s="22"/>
      <c r="K240" s="152">
        <f>K238-K239</f>
        <v>0</v>
      </c>
      <c r="L240" s="152">
        <f>L238-L239</f>
        <v>0</v>
      </c>
      <c r="M240" s="152">
        <f>M239-M238</f>
        <v>0</v>
      </c>
      <c r="N240" s="152">
        <f>N239-N238</f>
        <v>0</v>
      </c>
      <c r="O240" s="152">
        <f t="shared" ref="O240:T240" si="192">O239-O238</f>
        <v>0</v>
      </c>
      <c r="P240" s="152">
        <f t="shared" si="192"/>
        <v>0</v>
      </c>
      <c r="Q240" s="152">
        <f t="shared" si="192"/>
        <v>0</v>
      </c>
      <c r="R240" s="152">
        <f t="shared" si="192"/>
        <v>20</v>
      </c>
      <c r="S240" s="152">
        <f t="shared" si="192"/>
        <v>0</v>
      </c>
      <c r="T240" s="152">
        <f t="shared" si="192"/>
        <v>0</v>
      </c>
      <c r="U240" s="152">
        <f>U239-U238</f>
        <v>0</v>
      </c>
      <c r="V240" s="152">
        <f>V239-V238</f>
        <v>0</v>
      </c>
      <c r="W240" s="152">
        <f>W239-W238</f>
        <v>0</v>
      </c>
      <c r="X240" s="152">
        <f t="shared" ref="X240" si="193">X239-X238</f>
        <v>0</v>
      </c>
    </row>
    <row r="241" spans="1:24" ht="15" thickBot="1" x14ac:dyDescent="0.35"/>
    <row r="242" spans="1:24" x14ac:dyDescent="0.3">
      <c r="A242" s="157">
        <v>45952</v>
      </c>
      <c r="B242" s="157">
        <f>A242+1</f>
        <v>45953</v>
      </c>
      <c r="C242" s="157">
        <f t="shared" ref="C242" si="194">B242+1</f>
        <v>45954</v>
      </c>
      <c r="D242" s="157">
        <f t="shared" ref="D242" si="195">C242+1</f>
        <v>45955</v>
      </c>
      <c r="E242" s="157">
        <f t="shared" ref="E242" si="196">D242+1</f>
        <v>45956</v>
      </c>
      <c r="F242" s="157">
        <f t="shared" ref="F242" si="197">E242+1</f>
        <v>45957</v>
      </c>
      <c r="G242" s="157">
        <f t="shared" ref="G242" si="198">F242+1</f>
        <v>45958</v>
      </c>
      <c r="H242" s="157"/>
      <c r="I242" s="13" t="s">
        <v>8</v>
      </c>
      <c r="K242" s="59">
        <v>45952</v>
      </c>
      <c r="L242" s="59"/>
      <c r="M242" s="59">
        <f>K242+1</f>
        <v>45953</v>
      </c>
      <c r="N242" s="59"/>
      <c r="O242" s="59">
        <f t="shared" ref="O242" si="199">M242+1</f>
        <v>45954</v>
      </c>
      <c r="P242" s="59"/>
      <c r="Q242" s="59">
        <f t="shared" ref="Q242" si="200">O242+1</f>
        <v>45955</v>
      </c>
      <c r="R242" s="59"/>
      <c r="S242" s="59">
        <f t="shared" ref="S242" si="201">Q242+1</f>
        <v>45956</v>
      </c>
      <c r="T242" s="59"/>
      <c r="U242" s="59">
        <f t="shared" ref="U242" si="202">S242+1</f>
        <v>45957</v>
      </c>
      <c r="V242" s="59"/>
      <c r="W242" s="59">
        <f t="shared" ref="W242" si="203">U242+1</f>
        <v>45958</v>
      </c>
      <c r="X242" s="59"/>
    </row>
    <row r="243" spans="1:24" ht="15" thickBot="1" x14ac:dyDescent="0.35">
      <c r="A243" s="22">
        <v>247</v>
      </c>
      <c r="B243" s="22">
        <v>469</v>
      </c>
      <c r="C243" s="22">
        <v>535</v>
      </c>
      <c r="D243" s="22">
        <v>477</v>
      </c>
      <c r="E243" s="22">
        <v>205</v>
      </c>
      <c r="F243" s="22">
        <v>842</v>
      </c>
      <c r="G243" s="22">
        <v>227</v>
      </c>
      <c r="H243" s="15"/>
      <c r="I243" s="15">
        <v>260.22000000000003</v>
      </c>
      <c r="K243" s="124" t="s">
        <v>10</v>
      </c>
      <c r="L243" s="125" t="s">
        <v>11</v>
      </c>
      <c r="M243" s="126" t="s">
        <v>10</v>
      </c>
      <c r="N243" s="126" t="s">
        <v>11</v>
      </c>
      <c r="O243" s="126" t="s">
        <v>10</v>
      </c>
      <c r="P243" s="126" t="s">
        <v>11</v>
      </c>
      <c r="Q243" s="126" t="s">
        <v>10</v>
      </c>
      <c r="R243" s="126" t="s">
        <v>11</v>
      </c>
      <c r="S243" s="126" t="s">
        <v>10</v>
      </c>
      <c r="T243" s="126" t="s">
        <v>11</v>
      </c>
      <c r="U243" s="126" t="s">
        <v>10</v>
      </c>
      <c r="V243" s="126" t="s">
        <v>11</v>
      </c>
      <c r="W243" s="126" t="s">
        <v>10</v>
      </c>
      <c r="X243" s="143" t="s">
        <v>11</v>
      </c>
    </row>
    <row r="244" spans="1:24" x14ac:dyDescent="0.3">
      <c r="A244" s="22">
        <v>1265</v>
      </c>
      <c r="B244" s="22">
        <v>1240</v>
      </c>
      <c r="C244" s="22">
        <v>1625</v>
      </c>
      <c r="D244" s="22">
        <v>1065</v>
      </c>
      <c r="E244" s="22"/>
      <c r="F244" s="22">
        <v>1995</v>
      </c>
      <c r="G244" s="22">
        <v>2015</v>
      </c>
      <c r="H244" s="15"/>
      <c r="I244" s="15">
        <v>424</v>
      </c>
      <c r="K244" s="75">
        <v>500</v>
      </c>
      <c r="L244" s="76">
        <v>28</v>
      </c>
      <c r="M244" s="77">
        <v>690</v>
      </c>
      <c r="N244" s="77">
        <v>56</v>
      </c>
      <c r="O244" s="77">
        <v>250</v>
      </c>
      <c r="P244" s="77">
        <v>42.5</v>
      </c>
      <c r="Q244" s="77">
        <v>250</v>
      </c>
      <c r="R244" s="77">
        <v>28</v>
      </c>
      <c r="S244" s="77">
        <v>80</v>
      </c>
      <c r="T244" s="40">
        <v>15</v>
      </c>
      <c r="U244" s="77">
        <v>180</v>
      </c>
      <c r="V244" s="63">
        <v>115</v>
      </c>
      <c r="W244" s="77">
        <v>570</v>
      </c>
      <c r="X244" s="77">
        <v>840</v>
      </c>
    </row>
    <row r="245" spans="1:24" x14ac:dyDescent="0.3">
      <c r="A245" s="22">
        <v>1670.81</v>
      </c>
      <c r="B245" s="44">
        <v>1766.65</v>
      </c>
      <c r="C245" s="22">
        <v>1622.89</v>
      </c>
      <c r="D245" s="22">
        <v>1329.11</v>
      </c>
      <c r="E245" s="46"/>
      <c r="F245" s="22">
        <v>1362.67</v>
      </c>
      <c r="G245" s="22">
        <v>1840.81</v>
      </c>
      <c r="H245" s="15"/>
      <c r="I245" s="15">
        <v>1013</v>
      </c>
      <c r="K245" s="21">
        <v>318</v>
      </c>
      <c r="L245" s="79">
        <v>60</v>
      </c>
      <c r="M245" s="43">
        <v>226</v>
      </c>
      <c r="N245" s="43">
        <v>57.5</v>
      </c>
      <c r="O245" s="43">
        <v>467</v>
      </c>
      <c r="P245" s="43">
        <v>920</v>
      </c>
      <c r="Q245" s="43">
        <v>168</v>
      </c>
      <c r="R245" s="80">
        <v>30</v>
      </c>
      <c r="S245" s="43">
        <v>72</v>
      </c>
      <c r="T245" s="27"/>
      <c r="U245" s="43">
        <v>402</v>
      </c>
      <c r="V245" s="22">
        <v>200</v>
      </c>
      <c r="W245" s="43">
        <v>312</v>
      </c>
      <c r="X245" s="43">
        <v>28</v>
      </c>
    </row>
    <row r="246" spans="1:24" x14ac:dyDescent="0.3">
      <c r="A246" s="22"/>
      <c r="B246" s="41"/>
      <c r="C246" s="22"/>
      <c r="D246" s="22"/>
      <c r="E246" s="22"/>
      <c r="F246" s="22"/>
      <c r="G246" s="22"/>
      <c r="H246" s="15"/>
      <c r="I246" s="15">
        <v>1174</v>
      </c>
      <c r="K246" s="21">
        <v>4060</v>
      </c>
      <c r="L246" s="79">
        <v>503.5</v>
      </c>
      <c r="M246" s="43">
        <v>3130</v>
      </c>
      <c r="N246" s="43">
        <v>143.30000000000001</v>
      </c>
      <c r="O246" s="43">
        <v>4980</v>
      </c>
      <c r="P246" s="43">
        <v>15</v>
      </c>
      <c r="Q246" s="43">
        <v>2380</v>
      </c>
      <c r="R246" s="84">
        <v>312</v>
      </c>
      <c r="S246" s="43">
        <v>850</v>
      </c>
      <c r="T246" s="27"/>
      <c r="U246" s="43">
        <v>4500</v>
      </c>
      <c r="V246" s="22">
        <v>28</v>
      </c>
      <c r="W246" s="43">
        <v>2630</v>
      </c>
      <c r="X246" s="43">
        <v>50</v>
      </c>
    </row>
    <row r="247" spans="1:24" x14ac:dyDescent="0.3">
      <c r="A247" s="22"/>
      <c r="B247" s="22"/>
      <c r="C247" s="22"/>
      <c r="D247" s="22"/>
      <c r="E247" s="22"/>
      <c r="F247" s="22"/>
      <c r="G247" s="22"/>
      <c r="H247" s="15"/>
      <c r="I247" s="15">
        <v>3416</v>
      </c>
      <c r="K247" s="21">
        <v>210</v>
      </c>
      <c r="L247" s="8"/>
      <c r="M247" s="43">
        <v>220</v>
      </c>
      <c r="N247" s="43"/>
      <c r="O247" s="43">
        <v>350</v>
      </c>
      <c r="P247" s="43">
        <v>150</v>
      </c>
      <c r="Q247" s="43"/>
      <c r="R247" s="43"/>
      <c r="S247" s="43"/>
      <c r="T247" s="27"/>
      <c r="U247" s="43">
        <v>210</v>
      </c>
      <c r="V247" s="22"/>
      <c r="W247" s="43">
        <v>390</v>
      </c>
      <c r="X247" s="43">
        <v>1875</v>
      </c>
    </row>
    <row r="248" spans="1:24" x14ac:dyDescent="0.3">
      <c r="A248" s="22"/>
      <c r="B248" s="22"/>
      <c r="C248" s="22"/>
      <c r="D248" s="22"/>
      <c r="E248" s="22"/>
      <c r="F248" s="22"/>
      <c r="G248" s="22"/>
      <c r="H248" s="15"/>
      <c r="I248" s="15">
        <v>5224</v>
      </c>
      <c r="K248" s="128"/>
      <c r="L248" s="79"/>
      <c r="M248" s="43"/>
      <c r="N248" s="43"/>
      <c r="O248" s="43"/>
      <c r="P248" s="43"/>
      <c r="Q248" s="43"/>
      <c r="R248" s="43"/>
      <c r="S248" s="43"/>
      <c r="T248" s="27"/>
      <c r="U248" s="43"/>
      <c r="V248" s="22"/>
      <c r="W248" s="43"/>
      <c r="X248" s="43"/>
    </row>
    <row r="249" spans="1:24" x14ac:dyDescent="0.3">
      <c r="A249" s="22"/>
      <c r="B249" s="22"/>
      <c r="C249" s="22"/>
      <c r="D249" s="22"/>
      <c r="E249" s="22"/>
      <c r="F249" s="22"/>
      <c r="G249" s="22"/>
      <c r="H249" s="160"/>
      <c r="I249" s="15">
        <v>5820.3</v>
      </c>
      <c r="K249" s="128"/>
      <c r="L249" s="79"/>
      <c r="N249" s="43"/>
      <c r="O249" s="43"/>
      <c r="P249" s="43"/>
      <c r="Q249" s="43"/>
      <c r="R249" s="43"/>
      <c r="S249" s="43"/>
      <c r="T249" s="27"/>
      <c r="U249" s="43"/>
      <c r="V249" s="22"/>
      <c r="W249" s="43"/>
      <c r="X249" s="43"/>
    </row>
    <row r="250" spans="1:24" x14ac:dyDescent="0.3">
      <c r="A250" s="22"/>
      <c r="B250" s="22"/>
      <c r="C250" s="22"/>
      <c r="D250" s="22"/>
      <c r="E250" s="22"/>
      <c r="F250" s="22"/>
      <c r="G250" s="22"/>
      <c r="H250" s="65"/>
      <c r="I250" s="15">
        <v>5969.12</v>
      </c>
      <c r="K250" s="21"/>
      <c r="L250" s="79"/>
      <c r="M250" s="43"/>
      <c r="N250" s="43"/>
      <c r="O250" s="43"/>
      <c r="P250" s="43"/>
      <c r="Q250" s="43"/>
      <c r="R250" s="43"/>
      <c r="S250" s="43"/>
      <c r="T250" s="27"/>
      <c r="U250" s="43"/>
      <c r="V250" s="22"/>
      <c r="W250" s="43"/>
      <c r="X250" s="43"/>
    </row>
    <row r="251" spans="1:24" x14ac:dyDescent="0.3">
      <c r="A251" s="22"/>
      <c r="B251" s="22"/>
      <c r="C251" s="22"/>
      <c r="D251" s="22"/>
      <c r="E251" s="22"/>
      <c r="F251" s="22"/>
      <c r="G251" s="22"/>
      <c r="H251" s="37"/>
      <c r="I251" s="15">
        <v>6360</v>
      </c>
      <c r="K251" s="24"/>
      <c r="L251" s="56"/>
      <c r="M251" s="22"/>
      <c r="N251" s="22"/>
      <c r="O251" s="43"/>
      <c r="P251" s="22"/>
      <c r="Q251" s="22"/>
      <c r="R251" s="22"/>
      <c r="S251" s="22"/>
      <c r="T251" s="27"/>
      <c r="U251" s="22"/>
      <c r="V251" s="22"/>
      <c r="W251" s="22"/>
      <c r="X251" s="22"/>
    </row>
    <row r="252" spans="1:24" ht="15" thickBot="1" x14ac:dyDescent="0.35">
      <c r="A252" s="22"/>
      <c r="B252" s="22"/>
      <c r="C252" s="22"/>
      <c r="D252" s="22"/>
      <c r="E252" s="22"/>
      <c r="F252" s="22"/>
      <c r="G252" s="22"/>
      <c r="H252" s="37" t="s">
        <v>9</v>
      </c>
      <c r="I252" s="15"/>
      <c r="K252" s="24"/>
      <c r="L252" s="56"/>
      <c r="M252" s="22"/>
      <c r="N252" s="22"/>
      <c r="O252" s="43"/>
      <c r="P252" s="22"/>
      <c r="Q252" s="22"/>
      <c r="R252" s="22"/>
      <c r="S252" s="22"/>
      <c r="T252" s="27"/>
      <c r="U252" s="22"/>
      <c r="V252" s="22"/>
      <c r="W252" s="22"/>
      <c r="X252" s="22"/>
    </row>
    <row r="253" spans="1:24" ht="15.6" thickTop="1" thickBot="1" x14ac:dyDescent="0.35">
      <c r="A253" s="22"/>
      <c r="B253" s="22"/>
      <c r="C253" s="22"/>
      <c r="D253" s="22"/>
      <c r="E253" s="22"/>
      <c r="F253" s="22"/>
      <c r="G253" s="22"/>
      <c r="H253" s="37"/>
      <c r="I253" s="132">
        <f>SUM(I243:I252)</f>
        <v>29660.639999999999</v>
      </c>
      <c r="K253" s="24"/>
      <c r="L253" s="56"/>
      <c r="M253" s="22"/>
      <c r="N253" s="22"/>
      <c r="O253" s="43"/>
      <c r="P253" s="22"/>
      <c r="Q253" s="22"/>
      <c r="R253" s="22"/>
      <c r="S253" s="22"/>
      <c r="T253" s="27"/>
      <c r="U253" s="22"/>
      <c r="V253" s="22"/>
      <c r="W253" s="22"/>
      <c r="X253" s="22"/>
    </row>
    <row r="254" spans="1:24" ht="15" thickTop="1" x14ac:dyDescent="0.3">
      <c r="A254" s="22"/>
      <c r="B254" s="22"/>
      <c r="C254" s="22"/>
      <c r="D254" s="22"/>
      <c r="E254" s="22"/>
      <c r="F254" s="22"/>
      <c r="G254" s="22"/>
      <c r="H254" s="22"/>
      <c r="I254" s="40"/>
      <c r="K254" s="24"/>
      <c r="L254" s="56"/>
      <c r="M254" s="22"/>
      <c r="N254" s="22"/>
      <c r="O254" s="43"/>
      <c r="P254" s="22"/>
      <c r="Q254" s="22"/>
      <c r="R254" s="22"/>
      <c r="S254" s="22"/>
      <c r="T254" s="27"/>
      <c r="U254" s="22"/>
      <c r="V254" s="22"/>
      <c r="W254" s="22"/>
      <c r="X254" s="22"/>
    </row>
    <row r="255" spans="1:24" x14ac:dyDescent="0.3">
      <c r="A255" s="22"/>
      <c r="B255" s="22"/>
      <c r="C255" s="22"/>
      <c r="D255" s="22"/>
      <c r="E255" s="22"/>
      <c r="F255" s="22"/>
      <c r="G255" s="22"/>
      <c r="H255" s="22"/>
      <c r="I255" s="27"/>
      <c r="K255" s="24"/>
      <c r="L255" s="56"/>
      <c r="M255" s="22"/>
      <c r="N255" s="22"/>
      <c r="O255" s="43"/>
      <c r="P255" s="22"/>
      <c r="Q255" s="22"/>
      <c r="R255" s="22"/>
      <c r="S255" s="22"/>
      <c r="T255" s="27"/>
      <c r="U255" s="22"/>
      <c r="V255" s="22"/>
      <c r="W255" s="22"/>
      <c r="X255" s="22"/>
    </row>
    <row r="256" spans="1:24" x14ac:dyDescent="0.3">
      <c r="A256" s="22"/>
      <c r="B256" s="22"/>
      <c r="C256" s="22"/>
      <c r="D256" s="22"/>
      <c r="E256" s="22"/>
      <c r="F256" s="22"/>
      <c r="G256" s="22"/>
      <c r="H256" s="22"/>
      <c r="I256" s="27"/>
      <c r="K256" s="24"/>
      <c r="L256" s="56"/>
      <c r="M256" s="22"/>
      <c r="N256" s="22"/>
      <c r="O256" s="43"/>
      <c r="P256" s="22"/>
      <c r="Q256" s="22"/>
      <c r="R256" s="22"/>
      <c r="S256" s="22"/>
      <c r="T256" s="27"/>
      <c r="U256" s="22"/>
      <c r="V256" s="22"/>
      <c r="W256" s="22"/>
      <c r="X256" s="22"/>
    </row>
    <row r="257" spans="1:24" x14ac:dyDescent="0.3">
      <c r="A257" s="22"/>
      <c r="B257" s="22"/>
      <c r="C257" s="22"/>
      <c r="D257" s="22"/>
      <c r="E257" s="22"/>
      <c r="F257" s="22"/>
      <c r="G257" s="22"/>
      <c r="H257" s="22"/>
      <c r="I257" s="27"/>
      <c r="K257" s="24"/>
      <c r="L257" s="22"/>
      <c r="M257" s="22"/>
      <c r="N257" s="22"/>
      <c r="O257" s="22"/>
      <c r="P257" s="22"/>
      <c r="Q257" s="22"/>
      <c r="R257" s="22"/>
      <c r="S257" s="22"/>
      <c r="T257" s="27"/>
      <c r="U257" s="22"/>
      <c r="V257" s="22"/>
      <c r="W257" s="22"/>
      <c r="X257" s="22"/>
    </row>
    <row r="258" spans="1:24" ht="15" thickBot="1" x14ac:dyDescent="0.35">
      <c r="A258" s="140">
        <f t="shared" ref="A258:G258" si="204">SUM(A243:A257)</f>
        <v>3182.81</v>
      </c>
      <c r="B258" s="140">
        <f t="shared" si="204"/>
        <v>3475.65</v>
      </c>
      <c r="C258" s="140">
        <f t="shared" si="204"/>
        <v>3782.8900000000003</v>
      </c>
      <c r="D258" s="140">
        <f t="shared" si="204"/>
        <v>2871.1099999999997</v>
      </c>
      <c r="E258" s="140">
        <f t="shared" si="204"/>
        <v>205</v>
      </c>
      <c r="F258" s="140">
        <f t="shared" si="204"/>
        <v>4199.67</v>
      </c>
      <c r="G258" s="140">
        <f t="shared" si="204"/>
        <v>4082.81</v>
      </c>
      <c r="H258" s="149">
        <f>SUM(A258:G258)+I253</f>
        <v>51460.58</v>
      </c>
      <c r="I258" s="150"/>
      <c r="K258" s="140">
        <f t="shared" ref="K258:X258" si="205">SUM(K243:K257)</f>
        <v>5088</v>
      </c>
      <c r="L258" s="140">
        <f t="shared" si="205"/>
        <v>591.5</v>
      </c>
      <c r="M258" s="140">
        <f t="shared" si="205"/>
        <v>4266</v>
      </c>
      <c r="N258" s="140">
        <f t="shared" si="205"/>
        <v>256.8</v>
      </c>
      <c r="O258" s="140">
        <f t="shared" si="205"/>
        <v>6047</v>
      </c>
      <c r="P258" s="140">
        <f t="shared" si="205"/>
        <v>1127.5</v>
      </c>
      <c r="Q258" s="140">
        <f t="shared" si="205"/>
        <v>2798</v>
      </c>
      <c r="R258" s="140">
        <f t="shared" si="205"/>
        <v>370</v>
      </c>
      <c r="S258" s="140">
        <f t="shared" si="205"/>
        <v>1002</v>
      </c>
      <c r="T258" s="140">
        <f t="shared" si="205"/>
        <v>15</v>
      </c>
      <c r="U258" s="140">
        <f t="shared" si="205"/>
        <v>5292</v>
      </c>
      <c r="V258" s="140">
        <f t="shared" si="205"/>
        <v>343</v>
      </c>
      <c r="W258" s="140">
        <f t="shared" si="205"/>
        <v>3902</v>
      </c>
      <c r="X258" s="140">
        <f t="shared" si="205"/>
        <v>2793</v>
      </c>
    </row>
    <row r="259" spans="1:24" ht="15" thickBot="1" x14ac:dyDescent="0.35">
      <c r="A259" s="140">
        <v>3182.81</v>
      </c>
      <c r="B259" s="140">
        <v>3475.65</v>
      </c>
      <c r="C259" s="140">
        <v>3782.89</v>
      </c>
      <c r="D259" s="140">
        <v>2871.11</v>
      </c>
      <c r="E259" s="140">
        <v>205</v>
      </c>
      <c r="F259" s="140">
        <v>4199.67</v>
      </c>
      <c r="G259" s="140">
        <v>4082.81</v>
      </c>
      <c r="H259" s="163">
        <f>SUM(A259:G259)+I253</f>
        <v>51460.58</v>
      </c>
      <c r="I259" s="151"/>
      <c r="K259" s="140">
        <v>5088</v>
      </c>
      <c r="L259" s="140">
        <v>591.5</v>
      </c>
      <c r="M259" s="140">
        <v>4266</v>
      </c>
      <c r="N259" s="140">
        <v>256.8</v>
      </c>
      <c r="O259" s="140">
        <v>6047</v>
      </c>
      <c r="P259" s="140">
        <v>1127.5</v>
      </c>
      <c r="Q259" s="140">
        <v>2798</v>
      </c>
      <c r="R259" s="140">
        <v>370</v>
      </c>
      <c r="S259" s="140">
        <v>1002</v>
      </c>
      <c r="T259" s="140">
        <v>15</v>
      </c>
      <c r="U259" s="140">
        <v>5292</v>
      </c>
      <c r="V259" s="140">
        <v>343</v>
      </c>
      <c r="W259" s="140">
        <v>3902</v>
      </c>
      <c r="X259" s="140">
        <v>2793</v>
      </c>
    </row>
    <row r="260" spans="1:24" ht="15" thickBot="1" x14ac:dyDescent="0.35">
      <c r="A260" s="63">
        <f t="shared" ref="A260:H260" si="206">A258-A259</f>
        <v>0</v>
      </c>
      <c r="B260" s="63">
        <f t="shared" si="206"/>
        <v>0</v>
      </c>
      <c r="C260" s="63">
        <f t="shared" si="206"/>
        <v>0</v>
      </c>
      <c r="D260" s="63">
        <f t="shared" si="206"/>
        <v>0</v>
      </c>
      <c r="E260" s="63">
        <f t="shared" si="206"/>
        <v>0</v>
      </c>
      <c r="F260" s="63">
        <f t="shared" si="206"/>
        <v>0</v>
      </c>
      <c r="G260" s="63">
        <f t="shared" si="206"/>
        <v>0</v>
      </c>
      <c r="H260" s="63">
        <f t="shared" si="206"/>
        <v>0</v>
      </c>
      <c r="I260" s="22"/>
      <c r="K260" s="152">
        <f>K258-K259</f>
        <v>0</v>
      </c>
      <c r="L260" s="152">
        <f>L258-L259</f>
        <v>0</v>
      </c>
      <c r="M260" s="152">
        <f>M259-M258</f>
        <v>0</v>
      </c>
      <c r="N260" s="152">
        <f>N259-N258</f>
        <v>0</v>
      </c>
      <c r="O260" s="152">
        <f t="shared" ref="O260:T260" si="207">O259-O258</f>
        <v>0</v>
      </c>
      <c r="P260" s="152">
        <f t="shared" si="207"/>
        <v>0</v>
      </c>
      <c r="Q260" s="152">
        <f t="shared" si="207"/>
        <v>0</v>
      </c>
      <c r="R260" s="152">
        <f t="shared" si="207"/>
        <v>0</v>
      </c>
      <c r="S260" s="152">
        <f t="shared" si="207"/>
        <v>0</v>
      </c>
      <c r="T260" s="152">
        <f t="shared" si="207"/>
        <v>0</v>
      </c>
      <c r="U260" s="152">
        <f>U259-U258</f>
        <v>0</v>
      </c>
      <c r="V260" s="152">
        <f>V259-V258</f>
        <v>0</v>
      </c>
      <c r="W260" s="152">
        <f>W259-W258</f>
        <v>0</v>
      </c>
      <c r="X260" s="152">
        <f t="shared" ref="X260" si="208">X259-X258</f>
        <v>0</v>
      </c>
    </row>
    <row r="261" spans="1:24" ht="15" thickBot="1" x14ac:dyDescent="0.35"/>
    <row r="262" spans="1:24" x14ac:dyDescent="0.3">
      <c r="A262" s="157">
        <v>45959</v>
      </c>
      <c r="B262" s="157">
        <f>A262+1</f>
        <v>45960</v>
      </c>
      <c r="C262" s="157">
        <f t="shared" ref="C262" si="209">B262+1</f>
        <v>45961</v>
      </c>
      <c r="D262" s="157">
        <f t="shared" ref="D262" si="210">C262+1</f>
        <v>45962</v>
      </c>
      <c r="E262" s="157">
        <f t="shared" ref="E262" si="211">D262+1</f>
        <v>45963</v>
      </c>
      <c r="F262" s="157">
        <f t="shared" ref="F262" si="212">E262+1</f>
        <v>45964</v>
      </c>
      <c r="G262" s="157">
        <f t="shared" ref="G262" si="213">F262+1</f>
        <v>45965</v>
      </c>
      <c r="H262" s="157"/>
      <c r="I262" s="13" t="s">
        <v>8</v>
      </c>
      <c r="K262" s="59">
        <v>45959</v>
      </c>
      <c r="L262" s="59"/>
      <c r="M262" s="59">
        <f>K262+1</f>
        <v>45960</v>
      </c>
      <c r="N262" s="59"/>
      <c r="O262" s="59">
        <f t="shared" ref="O262" si="214">M262+1</f>
        <v>45961</v>
      </c>
      <c r="P262" s="59"/>
      <c r="Q262" s="59">
        <f t="shared" ref="Q262" si="215">O262+1</f>
        <v>45962</v>
      </c>
      <c r="R262" s="59"/>
      <c r="S262" s="59">
        <f t="shared" ref="S262" si="216">Q262+1</f>
        <v>45963</v>
      </c>
      <c r="T262" s="59"/>
      <c r="U262" s="59">
        <f t="shared" ref="U262" si="217">S262+1</f>
        <v>45964</v>
      </c>
      <c r="V262" s="59"/>
      <c r="W262" s="59">
        <f t="shared" ref="W262" si="218">U262+1</f>
        <v>45965</v>
      </c>
      <c r="X262" s="59"/>
    </row>
    <row r="263" spans="1:24" ht="15" thickBot="1" x14ac:dyDescent="0.35">
      <c r="A263" s="22">
        <v>384</v>
      </c>
      <c r="B263" s="22">
        <v>650</v>
      </c>
      <c r="C263" s="22">
        <v>530</v>
      </c>
      <c r="D263" s="22">
        <v>462</v>
      </c>
      <c r="E263" s="22">
        <v>240</v>
      </c>
      <c r="F263" s="22">
        <v>477</v>
      </c>
      <c r="G263" s="22">
        <v>360</v>
      </c>
      <c r="H263" s="15"/>
      <c r="I263" s="15">
        <v>424</v>
      </c>
      <c r="K263" s="124" t="s">
        <v>10</v>
      </c>
      <c r="L263" s="125" t="s">
        <v>11</v>
      </c>
      <c r="M263" s="126" t="s">
        <v>10</v>
      </c>
      <c r="N263" s="126" t="s">
        <v>11</v>
      </c>
      <c r="O263" s="126" t="s">
        <v>10</v>
      </c>
      <c r="P263" s="126" t="s">
        <v>11</v>
      </c>
      <c r="Q263" s="126" t="s">
        <v>10</v>
      </c>
      <c r="R263" s="126" t="s">
        <v>11</v>
      </c>
      <c r="S263" s="126" t="s">
        <v>10</v>
      </c>
      <c r="T263" s="126" t="s">
        <v>11</v>
      </c>
      <c r="U263" s="126" t="s">
        <v>10</v>
      </c>
      <c r="V263" s="126" t="s">
        <v>11</v>
      </c>
      <c r="W263" s="126" t="s">
        <v>10</v>
      </c>
      <c r="X263" s="143" t="s">
        <v>11</v>
      </c>
    </row>
    <row r="264" spans="1:24" x14ac:dyDescent="0.3">
      <c r="A264" s="22">
        <v>2160</v>
      </c>
      <c r="B264" s="22">
        <v>1250</v>
      </c>
      <c r="C264" s="22">
        <v>1825</v>
      </c>
      <c r="D264" s="22">
        <v>1755</v>
      </c>
      <c r="E264" s="22"/>
      <c r="F264" s="22">
        <v>1755</v>
      </c>
      <c r="G264" s="22">
        <v>1545</v>
      </c>
      <c r="H264" s="15"/>
      <c r="I264" s="15">
        <v>1457</v>
      </c>
      <c r="K264" s="75">
        <v>340</v>
      </c>
      <c r="L264" s="76">
        <v>26</v>
      </c>
      <c r="M264" s="77">
        <v>430</v>
      </c>
      <c r="N264" s="77">
        <v>42.5</v>
      </c>
      <c r="O264" s="77">
        <v>28</v>
      </c>
      <c r="P264" s="77">
        <v>24</v>
      </c>
      <c r="Q264" s="77">
        <v>340</v>
      </c>
      <c r="R264" s="77">
        <v>85</v>
      </c>
      <c r="S264" s="77">
        <v>80</v>
      </c>
      <c r="T264" s="40">
        <v>15</v>
      </c>
      <c r="U264" s="77">
        <v>400</v>
      </c>
      <c r="V264" s="63">
        <v>30</v>
      </c>
      <c r="W264" s="77">
        <v>52</v>
      </c>
      <c r="X264" s="77">
        <v>50</v>
      </c>
    </row>
    <row r="265" spans="1:24" x14ac:dyDescent="0.3">
      <c r="A265" s="22">
        <v>1484.75</v>
      </c>
      <c r="B265" s="44">
        <v>1506.43</v>
      </c>
      <c r="C265" s="22">
        <v>1840.81</v>
      </c>
      <c r="D265" s="22">
        <v>2726.05</v>
      </c>
      <c r="E265" s="46"/>
      <c r="F265" s="22">
        <v>1506.43</v>
      </c>
      <c r="G265" s="22">
        <v>1840.81</v>
      </c>
      <c r="H265" s="15"/>
      <c r="I265" s="15">
        <v>1940</v>
      </c>
      <c r="K265" s="21">
        <v>348</v>
      </c>
      <c r="L265" s="79">
        <v>45</v>
      </c>
      <c r="M265" s="43">
        <v>232</v>
      </c>
      <c r="N265" s="43"/>
      <c r="O265" s="77">
        <v>120</v>
      </c>
      <c r="P265" s="43">
        <v>60</v>
      </c>
      <c r="Q265" s="43">
        <v>1010</v>
      </c>
      <c r="R265" s="80">
        <v>216.2</v>
      </c>
      <c r="S265" s="43">
        <v>84</v>
      </c>
      <c r="T265" s="27"/>
      <c r="U265" s="43">
        <v>422</v>
      </c>
      <c r="V265" s="22">
        <v>230</v>
      </c>
      <c r="W265" s="43">
        <v>290</v>
      </c>
      <c r="X265" s="43">
        <v>173</v>
      </c>
    </row>
    <row r="266" spans="1:24" x14ac:dyDescent="0.3">
      <c r="A266" s="22"/>
      <c r="B266" s="41"/>
      <c r="C266" s="22"/>
      <c r="D266" s="22"/>
      <c r="E266" s="22"/>
      <c r="F266" s="22"/>
      <c r="G266" s="22"/>
      <c r="H266" s="15"/>
      <c r="I266" s="15">
        <v>3561</v>
      </c>
      <c r="K266" s="21">
        <v>3070</v>
      </c>
      <c r="L266" s="79">
        <v>516</v>
      </c>
      <c r="M266" s="43">
        <v>2900</v>
      </c>
      <c r="N266" s="43"/>
      <c r="O266" s="43">
        <v>454</v>
      </c>
      <c r="P266" s="43">
        <v>65</v>
      </c>
      <c r="Q266" s="43">
        <v>3620</v>
      </c>
      <c r="R266" s="84">
        <v>200</v>
      </c>
      <c r="S266" s="43">
        <v>820</v>
      </c>
      <c r="T266" s="27"/>
      <c r="U266" s="43">
        <v>4410</v>
      </c>
      <c r="V266" s="22">
        <v>300</v>
      </c>
      <c r="W266" s="43">
        <v>338</v>
      </c>
      <c r="X266" s="43"/>
    </row>
    <row r="267" spans="1:24" x14ac:dyDescent="0.3">
      <c r="A267" s="22"/>
      <c r="B267" s="22"/>
      <c r="C267" s="22"/>
      <c r="D267" s="22"/>
      <c r="E267" s="22"/>
      <c r="F267" s="22"/>
      <c r="G267" s="22"/>
      <c r="H267" s="15"/>
      <c r="I267" s="15">
        <v>5394</v>
      </c>
      <c r="K267" s="21">
        <v>230</v>
      </c>
      <c r="L267" s="8"/>
      <c r="M267" s="43">
        <v>790</v>
      </c>
      <c r="N267" s="43"/>
      <c r="O267" s="43">
        <v>4480</v>
      </c>
      <c r="P267" s="43"/>
      <c r="Q267" s="43"/>
      <c r="R267" s="43">
        <v>900</v>
      </c>
      <c r="S267" s="43"/>
      <c r="T267" s="27"/>
      <c r="U267" s="43">
        <v>370</v>
      </c>
      <c r="V267" s="22">
        <v>751</v>
      </c>
      <c r="W267" s="43">
        <v>3330</v>
      </c>
      <c r="X267" s="43"/>
    </row>
    <row r="268" spans="1:24" x14ac:dyDescent="0.3">
      <c r="A268" s="22"/>
      <c r="B268" s="22"/>
      <c r="C268" s="22"/>
      <c r="D268" s="22"/>
      <c r="E268" s="22"/>
      <c r="F268" s="22"/>
      <c r="G268" s="22"/>
      <c r="H268" s="15"/>
      <c r="I268" s="15">
        <v>6681.24</v>
      </c>
      <c r="K268" s="128"/>
      <c r="L268" s="79"/>
      <c r="M268" s="43"/>
      <c r="N268" s="43"/>
      <c r="O268" s="43">
        <v>230</v>
      </c>
      <c r="P268" s="43"/>
      <c r="Q268" s="43"/>
      <c r="R268" s="43"/>
      <c r="S268" s="43"/>
      <c r="T268" s="27"/>
      <c r="U268" s="43"/>
      <c r="V268" s="22"/>
      <c r="W268" s="43">
        <v>210</v>
      </c>
      <c r="X268" s="43"/>
    </row>
    <row r="269" spans="1:24" x14ac:dyDescent="0.3">
      <c r="A269" s="22"/>
      <c r="B269" s="22"/>
      <c r="C269" s="22"/>
      <c r="D269" s="22"/>
      <c r="E269" s="22"/>
      <c r="F269" s="22"/>
      <c r="G269" s="22"/>
      <c r="H269" s="160"/>
      <c r="I269" s="15">
        <v>6360</v>
      </c>
      <c r="K269" s="128"/>
      <c r="L269" s="79"/>
      <c r="N269" s="43"/>
      <c r="O269" s="43"/>
      <c r="P269" s="43"/>
      <c r="Q269" s="43"/>
      <c r="R269" s="43"/>
      <c r="S269" s="43"/>
      <c r="T269" s="27"/>
      <c r="U269" s="43"/>
      <c r="V269" s="22"/>
      <c r="W269" s="43"/>
      <c r="X269" s="43"/>
    </row>
    <row r="270" spans="1:24" x14ac:dyDescent="0.3">
      <c r="A270" s="22"/>
      <c r="B270" s="22"/>
      <c r="C270" s="22"/>
      <c r="D270" s="22"/>
      <c r="E270" s="22"/>
      <c r="F270" s="22"/>
      <c r="G270" s="22"/>
      <c r="H270" s="65"/>
      <c r="I270" s="15">
        <v>5820.3</v>
      </c>
      <c r="K270" s="21"/>
      <c r="L270" s="79"/>
      <c r="M270" s="43"/>
      <c r="N270" s="43"/>
      <c r="O270" s="43"/>
      <c r="P270" s="43"/>
      <c r="Q270" s="43"/>
      <c r="R270" s="43"/>
      <c r="S270" s="43"/>
      <c r="T270" s="27"/>
      <c r="U270" s="43"/>
      <c r="V270" s="22"/>
      <c r="W270" s="43"/>
      <c r="X270" s="43"/>
    </row>
    <row r="271" spans="1:24" x14ac:dyDescent="0.3">
      <c r="A271" s="22"/>
      <c r="B271" s="22"/>
      <c r="C271" s="22"/>
      <c r="D271" s="22"/>
      <c r="E271" s="22"/>
      <c r="F271" s="22"/>
      <c r="G271" s="22"/>
      <c r="H271" s="37"/>
      <c r="I271" s="15"/>
      <c r="K271" s="24"/>
      <c r="L271" s="56"/>
      <c r="M271" s="22"/>
      <c r="N271" s="22"/>
      <c r="O271" s="43"/>
      <c r="P271" s="22"/>
      <c r="Q271" s="22"/>
      <c r="R271" s="22"/>
      <c r="S271" s="22"/>
      <c r="T271" s="27"/>
      <c r="U271" s="22"/>
      <c r="V271" s="22"/>
      <c r="W271" s="22"/>
      <c r="X271" s="22"/>
    </row>
    <row r="272" spans="1:24" ht="15" thickBot="1" x14ac:dyDescent="0.35">
      <c r="A272" s="22"/>
      <c r="B272" s="22"/>
      <c r="C272" s="22"/>
      <c r="D272" s="22"/>
      <c r="E272" s="22"/>
      <c r="F272" s="22"/>
      <c r="G272" s="22"/>
      <c r="H272" s="37" t="s">
        <v>9</v>
      </c>
      <c r="I272" s="15"/>
      <c r="K272" s="24"/>
      <c r="L272" s="56"/>
      <c r="M272" s="22"/>
      <c r="N272" s="22"/>
      <c r="O272" s="43"/>
      <c r="P272" s="22"/>
      <c r="Q272" s="22"/>
      <c r="R272" s="22"/>
      <c r="S272" s="22"/>
      <c r="T272" s="27"/>
      <c r="U272" s="22"/>
      <c r="V272" s="22"/>
      <c r="W272" s="22"/>
      <c r="X272" s="22"/>
    </row>
    <row r="273" spans="1:24" ht="15.6" thickTop="1" thickBot="1" x14ac:dyDescent="0.35">
      <c r="A273" s="22"/>
      <c r="B273" s="22"/>
      <c r="C273" s="22"/>
      <c r="D273" s="22"/>
      <c r="E273" s="22"/>
      <c r="F273" s="22"/>
      <c r="G273" s="22"/>
      <c r="H273" s="37"/>
      <c r="I273" s="132">
        <f>SUM(I263:I272)</f>
        <v>31637.539999999997</v>
      </c>
      <c r="K273" s="24"/>
      <c r="L273" s="56"/>
      <c r="M273" s="22"/>
      <c r="N273" s="22"/>
      <c r="O273" s="43"/>
      <c r="P273" s="22"/>
      <c r="Q273" s="22"/>
      <c r="R273" s="22"/>
      <c r="S273" s="22"/>
      <c r="T273" s="27"/>
      <c r="U273" s="22"/>
      <c r="V273" s="22"/>
      <c r="W273" s="22"/>
      <c r="X273" s="22"/>
    </row>
    <row r="274" spans="1:24" ht="15" thickTop="1" x14ac:dyDescent="0.3">
      <c r="A274" s="22"/>
      <c r="B274" s="22"/>
      <c r="C274" s="22"/>
      <c r="D274" s="22"/>
      <c r="E274" s="22"/>
      <c r="F274" s="22"/>
      <c r="G274" s="22"/>
      <c r="H274" s="22"/>
      <c r="I274" s="40"/>
      <c r="K274" s="24"/>
      <c r="L274" s="56"/>
      <c r="M274" s="22"/>
      <c r="N274" s="22"/>
      <c r="O274" s="43"/>
      <c r="P274" s="22"/>
      <c r="Q274" s="22"/>
      <c r="R274" s="22"/>
      <c r="S274" s="22"/>
      <c r="T274" s="27"/>
      <c r="U274" s="22"/>
      <c r="V274" s="22"/>
      <c r="W274" s="22"/>
      <c r="X274" s="22"/>
    </row>
    <row r="275" spans="1:24" x14ac:dyDescent="0.3">
      <c r="A275" s="22"/>
      <c r="B275" s="22"/>
      <c r="C275" s="22"/>
      <c r="D275" s="22"/>
      <c r="E275" s="22"/>
      <c r="F275" s="22"/>
      <c r="G275" s="22"/>
      <c r="H275" s="22"/>
      <c r="I275" s="27"/>
      <c r="K275" s="24"/>
      <c r="L275" s="56"/>
      <c r="M275" s="22"/>
      <c r="N275" s="22"/>
      <c r="O275" s="43"/>
      <c r="P275" s="22"/>
      <c r="Q275" s="22"/>
      <c r="R275" s="22"/>
      <c r="S275" s="22"/>
      <c r="T275" s="27"/>
      <c r="U275" s="22"/>
      <c r="V275" s="22"/>
      <c r="W275" s="22"/>
      <c r="X275" s="22"/>
    </row>
    <row r="276" spans="1:24" x14ac:dyDescent="0.3">
      <c r="A276" s="22"/>
      <c r="B276" s="22"/>
      <c r="C276" s="22"/>
      <c r="D276" s="22"/>
      <c r="E276" s="22"/>
      <c r="F276" s="22"/>
      <c r="G276" s="22"/>
      <c r="H276" s="22"/>
      <c r="I276" s="27"/>
      <c r="K276" s="24"/>
      <c r="L276" s="56"/>
      <c r="M276" s="22"/>
      <c r="N276" s="22"/>
      <c r="O276" s="43"/>
      <c r="P276" s="22"/>
      <c r="Q276" s="22"/>
      <c r="R276" s="22"/>
      <c r="S276" s="22"/>
      <c r="T276" s="27"/>
      <c r="U276" s="22"/>
      <c r="V276" s="22"/>
      <c r="W276" s="22"/>
      <c r="X276" s="22"/>
    </row>
    <row r="277" spans="1:24" x14ac:dyDescent="0.3">
      <c r="A277" s="22"/>
      <c r="B277" s="22"/>
      <c r="C277" s="22"/>
      <c r="D277" s="22"/>
      <c r="E277" s="22"/>
      <c r="F277" s="22"/>
      <c r="G277" s="22"/>
      <c r="H277" s="22"/>
      <c r="I277" s="27"/>
      <c r="K277" s="24"/>
      <c r="L277" s="22"/>
      <c r="M277" s="22"/>
      <c r="N277" s="22"/>
      <c r="O277" s="22"/>
      <c r="P277" s="22"/>
      <c r="Q277" s="22"/>
      <c r="R277" s="22"/>
      <c r="S277" s="22"/>
      <c r="T277" s="27"/>
      <c r="U277" s="22"/>
      <c r="V277" s="22"/>
      <c r="W277" s="22"/>
      <c r="X277" s="22"/>
    </row>
    <row r="278" spans="1:24" ht="15" thickBot="1" x14ac:dyDescent="0.35">
      <c r="A278" s="140">
        <f t="shared" ref="A278:G278" si="219">SUM(A263:A277)</f>
        <v>4028.75</v>
      </c>
      <c r="B278" s="140">
        <f t="shared" si="219"/>
        <v>3406.4300000000003</v>
      </c>
      <c r="C278" s="140">
        <f t="shared" si="219"/>
        <v>4195.8099999999995</v>
      </c>
      <c r="D278" s="140">
        <f t="shared" si="219"/>
        <v>4943.05</v>
      </c>
      <c r="E278" s="140">
        <f t="shared" si="219"/>
        <v>240</v>
      </c>
      <c r="F278" s="140">
        <f t="shared" si="219"/>
        <v>3738.4300000000003</v>
      </c>
      <c r="G278" s="140">
        <f t="shared" si="219"/>
        <v>3745.81</v>
      </c>
      <c r="H278" s="149">
        <f>SUM(A278:G278)+I273</f>
        <v>55935.82</v>
      </c>
      <c r="I278" s="150"/>
      <c r="K278" s="140">
        <f t="shared" ref="K278:X278" si="220">SUM(K263:K277)</f>
        <v>3988</v>
      </c>
      <c r="L278" s="140">
        <f t="shared" si="220"/>
        <v>587</v>
      </c>
      <c r="M278" s="140">
        <f t="shared" si="220"/>
        <v>4352</v>
      </c>
      <c r="N278" s="140">
        <f t="shared" si="220"/>
        <v>42.5</v>
      </c>
      <c r="O278" s="140">
        <f t="shared" si="220"/>
        <v>5312</v>
      </c>
      <c r="P278" s="140">
        <f t="shared" si="220"/>
        <v>149</v>
      </c>
      <c r="Q278" s="140">
        <f t="shared" si="220"/>
        <v>4970</v>
      </c>
      <c r="R278" s="140">
        <f t="shared" si="220"/>
        <v>1401.2</v>
      </c>
      <c r="S278" s="140">
        <f t="shared" si="220"/>
        <v>984</v>
      </c>
      <c r="T278" s="140">
        <f t="shared" si="220"/>
        <v>15</v>
      </c>
      <c r="U278" s="140">
        <f t="shared" si="220"/>
        <v>5602</v>
      </c>
      <c r="V278" s="140">
        <f t="shared" si="220"/>
        <v>1311</v>
      </c>
      <c r="W278" s="140">
        <f t="shared" si="220"/>
        <v>4220</v>
      </c>
      <c r="X278" s="140">
        <f t="shared" si="220"/>
        <v>223</v>
      </c>
    </row>
    <row r="279" spans="1:24" ht="15" thickBot="1" x14ac:dyDescent="0.35">
      <c r="A279" s="140">
        <v>4028.75</v>
      </c>
      <c r="B279" s="140">
        <v>3406.43</v>
      </c>
      <c r="C279" s="140">
        <v>4195.8100000000004</v>
      </c>
      <c r="D279" s="140">
        <v>4943.05</v>
      </c>
      <c r="E279" s="140">
        <v>240</v>
      </c>
      <c r="F279" s="140">
        <v>3738.43</v>
      </c>
      <c r="G279" s="140">
        <v>3745.81</v>
      </c>
      <c r="H279" s="149">
        <f>SUM(A279:G279)+I273</f>
        <v>55935.82</v>
      </c>
      <c r="I279" s="151"/>
      <c r="K279" s="140">
        <v>3988</v>
      </c>
      <c r="L279" s="140">
        <v>587</v>
      </c>
      <c r="M279" s="140">
        <v>4352</v>
      </c>
      <c r="N279" s="140">
        <v>42.5</v>
      </c>
      <c r="O279" s="140">
        <v>5312</v>
      </c>
      <c r="P279" s="140">
        <v>149</v>
      </c>
      <c r="Q279" s="140">
        <v>4970</v>
      </c>
      <c r="R279" s="140">
        <v>1401.2</v>
      </c>
      <c r="S279" s="140">
        <v>984</v>
      </c>
      <c r="T279" s="140">
        <v>15</v>
      </c>
      <c r="U279" s="140">
        <v>5602</v>
      </c>
      <c r="V279" s="140">
        <v>1311</v>
      </c>
      <c r="W279" s="140">
        <v>4190</v>
      </c>
      <c r="X279" s="140">
        <v>223</v>
      </c>
    </row>
    <row r="280" spans="1:24" ht="15" thickBot="1" x14ac:dyDescent="0.35">
      <c r="A280" s="63">
        <f t="shared" ref="A280:H280" si="221">A278-A279</f>
        <v>0</v>
      </c>
      <c r="B280" s="63">
        <f t="shared" si="221"/>
        <v>0</v>
      </c>
      <c r="C280" s="63">
        <f t="shared" si="221"/>
        <v>0</v>
      </c>
      <c r="D280" s="63">
        <f t="shared" si="221"/>
        <v>0</v>
      </c>
      <c r="E280" s="63">
        <f t="shared" si="221"/>
        <v>0</v>
      </c>
      <c r="F280" s="63">
        <f t="shared" si="221"/>
        <v>0</v>
      </c>
      <c r="G280" s="63">
        <f t="shared" si="221"/>
        <v>0</v>
      </c>
      <c r="H280" s="63">
        <f t="shared" si="221"/>
        <v>0</v>
      </c>
      <c r="I280" s="22"/>
      <c r="K280" s="152">
        <f>K278-K279</f>
        <v>0</v>
      </c>
      <c r="L280" s="152">
        <f>L278-L279</f>
        <v>0</v>
      </c>
      <c r="M280" s="152">
        <f>M279-M278</f>
        <v>0</v>
      </c>
      <c r="N280" s="152">
        <f>N279-N278</f>
        <v>0</v>
      </c>
      <c r="O280" s="152">
        <f t="shared" ref="O280:T280" si="222">O279-O278</f>
        <v>0</v>
      </c>
      <c r="P280" s="152">
        <f t="shared" si="222"/>
        <v>0</v>
      </c>
      <c r="Q280" s="152">
        <f t="shared" si="222"/>
        <v>0</v>
      </c>
      <c r="R280" s="152">
        <f t="shared" si="222"/>
        <v>0</v>
      </c>
      <c r="S280" s="152">
        <f t="shared" si="222"/>
        <v>0</v>
      </c>
      <c r="T280" s="152">
        <f t="shared" si="222"/>
        <v>0</v>
      </c>
      <c r="U280" s="152">
        <f>U279-U278</f>
        <v>0</v>
      </c>
      <c r="V280" s="152">
        <f>V279-V278</f>
        <v>0</v>
      </c>
      <c r="W280" s="152">
        <f>W279-W278</f>
        <v>-30</v>
      </c>
      <c r="X280" s="152">
        <f t="shared" ref="X280" si="223">X279-X278</f>
        <v>0</v>
      </c>
    </row>
    <row r="281" spans="1:24" ht="15" thickBot="1" x14ac:dyDescent="0.35"/>
    <row r="282" spans="1:24" x14ac:dyDescent="0.3">
      <c r="A282" s="157">
        <v>45966</v>
      </c>
      <c r="B282" s="157">
        <f>A282+1</f>
        <v>45967</v>
      </c>
      <c r="C282" s="157">
        <f t="shared" ref="C282" si="224">B282+1</f>
        <v>45968</v>
      </c>
      <c r="D282" s="157">
        <f t="shared" ref="D282" si="225">C282+1</f>
        <v>45969</v>
      </c>
      <c r="E282" s="157">
        <f t="shared" ref="E282" si="226">D282+1</f>
        <v>45970</v>
      </c>
      <c r="F282" s="157">
        <f t="shared" ref="F282" si="227">E282+1</f>
        <v>45971</v>
      </c>
      <c r="G282" s="157">
        <f t="shared" ref="G282" si="228">F282+1</f>
        <v>45972</v>
      </c>
      <c r="H282" s="157"/>
      <c r="I282" s="13" t="s">
        <v>8</v>
      </c>
      <c r="K282" s="59">
        <v>45966</v>
      </c>
      <c r="L282" s="59"/>
      <c r="M282" s="59">
        <f>K282+1</f>
        <v>45967</v>
      </c>
      <c r="N282" s="59"/>
      <c r="O282" s="59">
        <f t="shared" ref="O282" si="229">M282+1</f>
        <v>45968</v>
      </c>
      <c r="P282" s="59"/>
      <c r="Q282" s="59">
        <f t="shared" ref="Q282" si="230">O282+1</f>
        <v>45969</v>
      </c>
      <c r="R282" s="59"/>
      <c r="S282" s="59">
        <f t="shared" ref="S282" si="231">Q282+1</f>
        <v>45970</v>
      </c>
      <c r="T282" s="59"/>
      <c r="U282" s="59">
        <f t="shared" ref="U282" si="232">S282+1</f>
        <v>45971</v>
      </c>
      <c r="V282" s="59"/>
      <c r="W282" s="59">
        <f t="shared" ref="W282" si="233">U282+1</f>
        <v>45972</v>
      </c>
      <c r="X282" s="59"/>
    </row>
    <row r="283" spans="1:24" ht="15" thickBot="1" x14ac:dyDescent="0.35">
      <c r="A283" s="22">
        <v>410</v>
      </c>
      <c r="B283" s="22">
        <v>267</v>
      </c>
      <c r="C283" s="22">
        <v>255</v>
      </c>
      <c r="D283" s="22">
        <v>507</v>
      </c>
      <c r="E283" s="22">
        <v>215</v>
      </c>
      <c r="F283" s="22">
        <v>520</v>
      </c>
      <c r="G283" s="22">
        <v>480</v>
      </c>
      <c r="H283" s="15"/>
      <c r="I283" s="15">
        <v>1390</v>
      </c>
      <c r="K283" s="124" t="s">
        <v>10</v>
      </c>
      <c r="L283" s="125" t="s">
        <v>11</v>
      </c>
      <c r="M283" s="126" t="s">
        <v>10</v>
      </c>
      <c r="N283" s="126" t="s">
        <v>11</v>
      </c>
      <c r="O283" s="126" t="s">
        <v>10</v>
      </c>
      <c r="P283" s="126" t="s">
        <v>11</v>
      </c>
      <c r="Q283" s="126" t="s">
        <v>10</v>
      </c>
      <c r="R283" s="126" t="s">
        <v>11</v>
      </c>
      <c r="S283" s="126" t="s">
        <v>10</v>
      </c>
      <c r="T283" s="126" t="s">
        <v>11</v>
      </c>
      <c r="U283" s="126" t="s">
        <v>10</v>
      </c>
      <c r="V283" s="126" t="s">
        <v>11</v>
      </c>
      <c r="W283" s="126" t="s">
        <v>10</v>
      </c>
      <c r="X283" s="143" t="s">
        <v>11</v>
      </c>
    </row>
    <row r="284" spans="1:24" x14ac:dyDescent="0.3">
      <c r="A284" s="22">
        <v>1470</v>
      </c>
      <c r="B284" s="22">
        <v>1150</v>
      </c>
      <c r="C284" s="22">
        <v>2425</v>
      </c>
      <c r="D284" s="22">
        <v>1185</v>
      </c>
      <c r="E284" s="22"/>
      <c r="F284" s="22">
        <v>2655</v>
      </c>
      <c r="G284" s="22">
        <v>1475</v>
      </c>
      <c r="H284" s="15"/>
      <c r="I284" s="15">
        <v>2682</v>
      </c>
      <c r="K284" s="75">
        <v>58</v>
      </c>
      <c r="L284" s="76">
        <v>26</v>
      </c>
      <c r="M284" s="77">
        <v>28</v>
      </c>
      <c r="N284" s="77">
        <v>35</v>
      </c>
      <c r="O284" s="77">
        <v>380</v>
      </c>
      <c r="P284" s="77">
        <v>26</v>
      </c>
      <c r="Q284" s="77">
        <v>260</v>
      </c>
      <c r="R284" s="77">
        <v>50</v>
      </c>
      <c r="S284" s="77">
        <v>100</v>
      </c>
      <c r="T284" s="40"/>
      <c r="U284" s="77">
        <v>28</v>
      </c>
      <c r="V284" s="63">
        <v>42.5</v>
      </c>
      <c r="W284" s="77">
        <v>230</v>
      </c>
      <c r="X284" s="77">
        <v>82.5</v>
      </c>
    </row>
    <row r="285" spans="1:24" x14ac:dyDescent="0.3">
      <c r="A285" s="22">
        <v>1766.65</v>
      </c>
      <c r="B285" s="44">
        <v>1840.81</v>
      </c>
      <c r="C285" s="22">
        <v>1718.73</v>
      </c>
      <c r="D285" s="22">
        <v>973.05</v>
      </c>
      <c r="E285" s="46"/>
      <c r="F285" s="22">
        <v>1410.59</v>
      </c>
      <c r="G285" s="22">
        <v>1670.81</v>
      </c>
      <c r="H285" s="15"/>
      <c r="I285" s="15">
        <v>3415</v>
      </c>
      <c r="K285" s="21">
        <v>300</v>
      </c>
      <c r="L285" s="79">
        <v>75</v>
      </c>
      <c r="M285" s="43">
        <v>490</v>
      </c>
      <c r="N285" s="43"/>
      <c r="O285" s="77">
        <v>520</v>
      </c>
      <c r="P285" s="43">
        <v>44</v>
      </c>
      <c r="Q285" s="43">
        <v>288</v>
      </c>
      <c r="R285" s="80">
        <v>56</v>
      </c>
      <c r="S285" s="43">
        <v>72</v>
      </c>
      <c r="T285" s="27"/>
      <c r="U285" s="43">
        <v>350</v>
      </c>
      <c r="V285" s="22">
        <v>150.9</v>
      </c>
      <c r="W285" s="43">
        <v>286</v>
      </c>
      <c r="X285" s="43">
        <v>879.8</v>
      </c>
    </row>
    <row r="286" spans="1:24" x14ac:dyDescent="0.3">
      <c r="A286" s="22"/>
      <c r="B286" s="41"/>
      <c r="C286" s="22"/>
      <c r="D286" s="22"/>
      <c r="E286" s="22"/>
      <c r="F286" s="22"/>
      <c r="G286" s="22"/>
      <c r="H286" s="15"/>
      <c r="I286" s="15">
        <v>356.06</v>
      </c>
      <c r="K286" s="21">
        <v>370</v>
      </c>
      <c r="L286" s="79">
        <v>262</v>
      </c>
      <c r="M286" s="43">
        <v>266</v>
      </c>
      <c r="N286" s="43"/>
      <c r="O286" s="43">
        <v>4560</v>
      </c>
      <c r="P286" s="43">
        <v>2050</v>
      </c>
      <c r="Q286" s="43">
        <v>2040</v>
      </c>
      <c r="R286" s="84">
        <v>50</v>
      </c>
      <c r="S286" s="43">
        <v>830</v>
      </c>
      <c r="T286" s="27"/>
      <c r="U286" s="43">
        <v>382</v>
      </c>
      <c r="V286" s="22"/>
      <c r="W286" s="43">
        <v>2470</v>
      </c>
      <c r="X286" s="43">
        <v>139.80000000000001</v>
      </c>
    </row>
    <row r="287" spans="1:24" x14ac:dyDescent="0.3">
      <c r="A287" s="22"/>
      <c r="B287" s="22"/>
      <c r="C287" s="22"/>
      <c r="D287" s="22"/>
      <c r="E287" s="22"/>
      <c r="F287" s="22"/>
      <c r="G287" s="22"/>
      <c r="H287" s="15"/>
      <c r="I287" s="15">
        <v>5288</v>
      </c>
      <c r="K287" s="21">
        <v>3610</v>
      </c>
      <c r="L287" s="8"/>
      <c r="M287" s="43">
        <v>2520</v>
      </c>
      <c r="N287" s="43"/>
      <c r="O287" s="43">
        <v>70</v>
      </c>
      <c r="P287" s="43">
        <v>60</v>
      </c>
      <c r="Q287" s="43"/>
      <c r="R287" s="43"/>
      <c r="S287" s="43"/>
      <c r="T287" s="27"/>
      <c r="U287" s="43">
        <v>3300</v>
      </c>
      <c r="V287" s="22"/>
      <c r="W287" s="43">
        <v>510</v>
      </c>
      <c r="X287" s="43">
        <v>1080</v>
      </c>
    </row>
    <row r="288" spans="1:24" x14ac:dyDescent="0.3">
      <c r="A288" s="22"/>
      <c r="B288" s="22"/>
      <c r="C288" s="22"/>
      <c r="D288" s="22"/>
      <c r="E288" s="22"/>
      <c r="F288" s="22"/>
      <c r="G288" s="22"/>
      <c r="H288" s="15"/>
      <c r="I288" s="15">
        <v>5820.3</v>
      </c>
      <c r="K288" s="128">
        <v>210</v>
      </c>
      <c r="L288" s="79"/>
      <c r="M288" s="43">
        <v>350</v>
      </c>
      <c r="N288" s="43"/>
      <c r="O288" s="43"/>
      <c r="P288" s="43"/>
      <c r="Q288" s="43"/>
      <c r="R288" s="43"/>
      <c r="S288" s="43"/>
      <c r="T288" s="27"/>
      <c r="U288" s="43">
        <v>670</v>
      </c>
      <c r="V288" s="22"/>
      <c r="W288" s="43"/>
      <c r="X288" s="43"/>
    </row>
    <row r="289" spans="1:24" x14ac:dyDescent="0.3">
      <c r="A289" s="22"/>
      <c r="B289" s="22"/>
      <c r="C289" s="22"/>
      <c r="D289" s="22"/>
      <c r="E289" s="22"/>
      <c r="F289" s="22"/>
      <c r="G289" s="22"/>
      <c r="H289" s="160"/>
      <c r="I289" s="15">
        <v>5969.12</v>
      </c>
      <c r="K289" s="128">
        <v>30</v>
      </c>
      <c r="L289" s="79"/>
      <c r="N289" s="43"/>
      <c r="O289" s="43"/>
      <c r="P289" s="43"/>
      <c r="Q289" s="43"/>
      <c r="R289" s="43"/>
      <c r="S289" s="43"/>
      <c r="T289" s="27"/>
      <c r="U289" s="43"/>
      <c r="V289" s="22"/>
      <c r="W289" s="43"/>
      <c r="X289" s="43"/>
    </row>
    <row r="290" spans="1:24" x14ac:dyDescent="0.3">
      <c r="A290" s="22"/>
      <c r="B290" s="22"/>
      <c r="C290" s="22"/>
      <c r="D290" s="22"/>
      <c r="E290" s="22"/>
      <c r="F290" s="22"/>
      <c r="G290" s="22"/>
      <c r="H290" s="65"/>
      <c r="I290" s="15">
        <v>6360</v>
      </c>
      <c r="K290" s="21"/>
      <c r="L290" s="79"/>
      <c r="M290" s="43"/>
      <c r="N290" s="43"/>
      <c r="O290" s="43"/>
      <c r="P290" s="43"/>
      <c r="Q290" s="43"/>
      <c r="R290" s="43"/>
      <c r="S290" s="43"/>
      <c r="T290" s="27"/>
      <c r="U290" s="43"/>
      <c r="V290" s="22"/>
      <c r="W290" s="43"/>
      <c r="X290" s="43"/>
    </row>
    <row r="291" spans="1:24" x14ac:dyDescent="0.3">
      <c r="A291" s="22"/>
      <c r="B291" s="22"/>
      <c r="C291" s="22"/>
      <c r="D291" s="22"/>
      <c r="E291" s="22"/>
      <c r="F291" s="22"/>
      <c r="G291" s="22"/>
      <c r="H291" s="37"/>
      <c r="I291" s="15"/>
      <c r="K291" s="24"/>
      <c r="L291" s="56"/>
      <c r="M291" s="22"/>
      <c r="N291" s="22"/>
      <c r="O291" s="43"/>
      <c r="P291" s="22"/>
      <c r="Q291" s="22"/>
      <c r="R291" s="22"/>
      <c r="S291" s="22"/>
      <c r="T291" s="27"/>
      <c r="U291" s="22"/>
      <c r="V291" s="22"/>
      <c r="W291" s="22"/>
      <c r="X291" s="22"/>
    </row>
    <row r="292" spans="1:24" ht="15" thickBot="1" x14ac:dyDescent="0.35">
      <c r="A292" s="22"/>
      <c r="B292" s="22"/>
      <c r="C292" s="22"/>
      <c r="D292" s="22"/>
      <c r="E292" s="22"/>
      <c r="F292" s="22"/>
      <c r="G292" s="22"/>
      <c r="H292" s="37" t="s">
        <v>9</v>
      </c>
      <c r="I292" s="15"/>
      <c r="K292" s="24"/>
      <c r="L292" s="56"/>
      <c r="M292" s="22"/>
      <c r="N292" s="22"/>
      <c r="O292" s="43"/>
      <c r="P292" s="22"/>
      <c r="Q292" s="22"/>
      <c r="R292" s="22"/>
      <c r="S292" s="22"/>
      <c r="T292" s="27"/>
      <c r="U292" s="22"/>
      <c r="V292" s="22"/>
      <c r="W292" s="22"/>
      <c r="X292" s="22"/>
    </row>
    <row r="293" spans="1:24" ht="15.6" thickTop="1" thickBot="1" x14ac:dyDescent="0.35">
      <c r="A293" s="22"/>
      <c r="B293" s="22"/>
      <c r="C293" s="22"/>
      <c r="D293" s="22"/>
      <c r="E293" s="22"/>
      <c r="F293" s="22"/>
      <c r="G293" s="22"/>
      <c r="H293" s="37"/>
      <c r="I293" s="132">
        <f>SUM(I283:I292)</f>
        <v>31280.48</v>
      </c>
      <c r="K293" s="24"/>
      <c r="L293" s="56"/>
      <c r="M293" s="22"/>
      <c r="N293" s="22"/>
      <c r="O293" s="43"/>
      <c r="P293" s="22"/>
      <c r="Q293" s="22"/>
      <c r="R293" s="22"/>
      <c r="S293" s="22"/>
      <c r="T293" s="27"/>
      <c r="U293" s="22"/>
      <c r="V293" s="22"/>
      <c r="W293" s="22"/>
      <c r="X293" s="22"/>
    </row>
    <row r="294" spans="1:24" ht="15" thickTop="1" x14ac:dyDescent="0.3">
      <c r="A294" s="22"/>
      <c r="B294" s="22"/>
      <c r="C294" s="22"/>
      <c r="D294" s="22"/>
      <c r="E294" s="22"/>
      <c r="F294" s="22"/>
      <c r="G294" s="22"/>
      <c r="H294" s="22"/>
      <c r="I294" s="40"/>
      <c r="K294" s="24"/>
      <c r="L294" s="56"/>
      <c r="M294" s="22"/>
      <c r="N294" s="22"/>
      <c r="O294" s="43"/>
      <c r="P294" s="22"/>
      <c r="Q294" s="22"/>
      <c r="R294" s="22"/>
      <c r="S294" s="22"/>
      <c r="T294" s="27"/>
      <c r="U294" s="22"/>
      <c r="V294" s="22"/>
      <c r="W294" s="22"/>
      <c r="X294" s="22"/>
    </row>
    <row r="295" spans="1:24" x14ac:dyDescent="0.3">
      <c r="A295" s="22"/>
      <c r="B295" s="22"/>
      <c r="C295" s="22"/>
      <c r="D295" s="22"/>
      <c r="E295" s="22"/>
      <c r="F295" s="22"/>
      <c r="G295" s="22"/>
      <c r="H295" s="22"/>
      <c r="I295" s="27"/>
      <c r="K295" s="24"/>
      <c r="L295" s="56"/>
      <c r="M295" s="22"/>
      <c r="N295" s="22"/>
      <c r="O295" s="43"/>
      <c r="P295" s="22"/>
      <c r="Q295" s="22"/>
      <c r="R295" s="22"/>
      <c r="S295" s="22"/>
      <c r="T295" s="27"/>
      <c r="U295" s="22"/>
      <c r="V295" s="22"/>
      <c r="W295" s="22"/>
      <c r="X295" s="22"/>
    </row>
    <row r="296" spans="1:24" x14ac:dyDescent="0.3">
      <c r="A296" s="22"/>
      <c r="B296" s="22"/>
      <c r="C296" s="22"/>
      <c r="D296" s="22"/>
      <c r="E296" s="22"/>
      <c r="F296" s="22"/>
      <c r="G296" s="22"/>
      <c r="H296" s="22"/>
      <c r="I296" s="27"/>
      <c r="K296" s="24"/>
      <c r="L296" s="56"/>
      <c r="M296" s="22"/>
      <c r="N296" s="22"/>
      <c r="O296" s="43"/>
      <c r="P296" s="22"/>
      <c r="Q296" s="22"/>
      <c r="R296" s="22"/>
      <c r="S296" s="22"/>
      <c r="T296" s="27"/>
      <c r="U296" s="22"/>
      <c r="V296" s="22"/>
      <c r="W296" s="22"/>
      <c r="X296" s="22"/>
    </row>
    <row r="297" spans="1:24" x14ac:dyDescent="0.3">
      <c r="A297" s="22"/>
      <c r="B297" s="22"/>
      <c r="C297" s="22"/>
      <c r="D297" s="22"/>
      <c r="E297" s="22"/>
      <c r="F297" s="22"/>
      <c r="G297" s="22"/>
      <c r="H297" s="22"/>
      <c r="I297" s="27"/>
      <c r="K297" s="24"/>
      <c r="L297" s="22"/>
      <c r="M297" s="22"/>
      <c r="N297" s="22"/>
      <c r="O297" s="22"/>
      <c r="P297" s="22"/>
      <c r="Q297" s="22"/>
      <c r="R297" s="22"/>
      <c r="S297" s="22"/>
      <c r="T297" s="27"/>
      <c r="U297" s="22"/>
      <c r="V297" s="22"/>
      <c r="W297" s="22"/>
      <c r="X297" s="22"/>
    </row>
    <row r="298" spans="1:24" ht="15" thickBot="1" x14ac:dyDescent="0.35">
      <c r="A298" s="140">
        <f t="shared" ref="A298:G298" si="234">SUM(A283:A297)</f>
        <v>3646.65</v>
      </c>
      <c r="B298" s="140">
        <f t="shared" si="234"/>
        <v>3257.81</v>
      </c>
      <c r="C298" s="140">
        <f t="shared" si="234"/>
        <v>4398.7299999999996</v>
      </c>
      <c r="D298" s="140">
        <f t="shared" si="234"/>
        <v>2665.05</v>
      </c>
      <c r="E298" s="140">
        <f t="shared" si="234"/>
        <v>215</v>
      </c>
      <c r="F298" s="140">
        <f t="shared" si="234"/>
        <v>4585.59</v>
      </c>
      <c r="G298" s="140">
        <f t="shared" si="234"/>
        <v>3625.81</v>
      </c>
      <c r="H298" s="149">
        <f>SUM(A298:G298)+I293</f>
        <v>53675.119999999995</v>
      </c>
      <c r="I298" s="150"/>
      <c r="K298" s="140">
        <f t="shared" ref="K298:X299" si="235">SUM(K283:K297)</f>
        <v>4578</v>
      </c>
      <c r="L298" s="140">
        <f t="shared" si="235"/>
        <v>363</v>
      </c>
      <c r="M298" s="140">
        <f t="shared" si="235"/>
        <v>3654</v>
      </c>
      <c r="N298" s="140">
        <f t="shared" si="235"/>
        <v>35</v>
      </c>
      <c r="O298" s="140">
        <f t="shared" si="235"/>
        <v>5530</v>
      </c>
      <c r="P298" s="140">
        <f t="shared" si="235"/>
        <v>2180</v>
      </c>
      <c r="Q298" s="140">
        <f t="shared" si="235"/>
        <v>2588</v>
      </c>
      <c r="R298" s="140">
        <f t="shared" si="235"/>
        <v>156</v>
      </c>
      <c r="S298" s="140">
        <f t="shared" si="235"/>
        <v>1002</v>
      </c>
      <c r="T298" s="140">
        <f t="shared" si="235"/>
        <v>0</v>
      </c>
      <c r="U298" s="140">
        <f t="shared" si="235"/>
        <v>4730</v>
      </c>
      <c r="V298" s="140">
        <f t="shared" si="235"/>
        <v>193.4</v>
      </c>
      <c r="W298" s="140">
        <f t="shared" si="235"/>
        <v>3496</v>
      </c>
      <c r="X298" s="140">
        <f t="shared" si="235"/>
        <v>2182.1</v>
      </c>
    </row>
    <row r="299" spans="1:24" ht="15" thickBot="1" x14ac:dyDescent="0.35">
      <c r="A299" s="140">
        <v>3646.65</v>
      </c>
      <c r="B299" s="140">
        <v>3257.81</v>
      </c>
      <c r="C299" s="140">
        <v>4398.7299999999996</v>
      </c>
      <c r="D299" s="140">
        <v>2665.05</v>
      </c>
      <c r="E299" s="140">
        <v>215</v>
      </c>
      <c r="F299" s="140">
        <v>4585.59</v>
      </c>
      <c r="G299" s="140">
        <v>3625.81</v>
      </c>
      <c r="H299" s="149">
        <f>SUM(A299:G299)+I293</f>
        <v>53675.119999999995</v>
      </c>
      <c r="I299" s="151"/>
      <c r="K299" s="140">
        <v>4578</v>
      </c>
      <c r="L299" s="140">
        <v>363</v>
      </c>
      <c r="M299" s="140">
        <v>3654</v>
      </c>
      <c r="N299" s="140">
        <v>35</v>
      </c>
      <c r="O299" s="140">
        <v>5530</v>
      </c>
      <c r="P299" s="140">
        <v>2180</v>
      </c>
      <c r="Q299" s="140">
        <v>2588</v>
      </c>
      <c r="R299" s="140">
        <v>156</v>
      </c>
      <c r="S299" s="140">
        <v>1002</v>
      </c>
      <c r="T299" s="140">
        <f t="shared" si="235"/>
        <v>0</v>
      </c>
      <c r="U299" s="140">
        <v>4730</v>
      </c>
      <c r="V299" s="140">
        <v>193.4</v>
      </c>
      <c r="W299" s="140">
        <v>3496</v>
      </c>
      <c r="X299" s="140">
        <v>2182.1</v>
      </c>
    </row>
    <row r="300" spans="1:24" ht="15" thickBot="1" x14ac:dyDescent="0.35">
      <c r="A300" s="63">
        <f t="shared" ref="A300:H300" si="236">A298-A299</f>
        <v>0</v>
      </c>
      <c r="B300" s="63">
        <f t="shared" si="236"/>
        <v>0</v>
      </c>
      <c r="C300" s="63">
        <f t="shared" si="236"/>
        <v>0</v>
      </c>
      <c r="D300" s="63">
        <f t="shared" si="236"/>
        <v>0</v>
      </c>
      <c r="E300" s="63">
        <f t="shared" si="236"/>
        <v>0</v>
      </c>
      <c r="F300" s="63">
        <f t="shared" si="236"/>
        <v>0</v>
      </c>
      <c r="G300" s="63">
        <f t="shared" si="236"/>
        <v>0</v>
      </c>
      <c r="H300" s="63">
        <f t="shared" si="236"/>
        <v>0</v>
      </c>
      <c r="I300" s="22"/>
      <c r="K300" s="152">
        <f>K298-K299</f>
        <v>0</v>
      </c>
      <c r="L300" s="152">
        <f>L298-L299</f>
        <v>0</v>
      </c>
      <c r="M300" s="152">
        <f>M299-M298</f>
        <v>0</v>
      </c>
      <c r="N300" s="152">
        <f>N299-N298</f>
        <v>0</v>
      </c>
      <c r="O300" s="152">
        <f t="shared" ref="O300:T300" si="237">O299-O298</f>
        <v>0</v>
      </c>
      <c r="P300" s="152">
        <f t="shared" si="237"/>
        <v>0</v>
      </c>
      <c r="Q300" s="152">
        <f t="shared" si="237"/>
        <v>0</v>
      </c>
      <c r="R300" s="152">
        <f t="shared" si="237"/>
        <v>0</v>
      </c>
      <c r="S300" s="152">
        <f t="shared" si="237"/>
        <v>0</v>
      </c>
      <c r="T300" s="152">
        <f t="shared" si="237"/>
        <v>0</v>
      </c>
      <c r="U300" s="152">
        <f>U299-U298</f>
        <v>0</v>
      </c>
      <c r="V300" s="152">
        <f>V299-V298</f>
        <v>0</v>
      </c>
      <c r="W300" s="152">
        <f>W299-W298</f>
        <v>0</v>
      </c>
      <c r="X300" s="152">
        <f t="shared" ref="X300" si="238">X299-X298</f>
        <v>0</v>
      </c>
    </row>
    <row r="301" spans="1:24" ht="15" thickBot="1" x14ac:dyDescent="0.35"/>
    <row r="302" spans="1:24" x14ac:dyDescent="0.3">
      <c r="A302" s="157">
        <v>45973</v>
      </c>
      <c r="B302" s="157">
        <f>A302+1</f>
        <v>45974</v>
      </c>
      <c r="C302" s="157">
        <f t="shared" ref="C302:G302" si="239">B302+1</f>
        <v>45975</v>
      </c>
      <c r="D302" s="157">
        <f t="shared" si="239"/>
        <v>45976</v>
      </c>
      <c r="E302" s="157">
        <f t="shared" si="239"/>
        <v>45977</v>
      </c>
      <c r="F302" s="157">
        <f t="shared" si="239"/>
        <v>45978</v>
      </c>
      <c r="G302" s="157">
        <f t="shared" si="239"/>
        <v>45979</v>
      </c>
      <c r="H302" s="157"/>
      <c r="I302" s="13" t="s">
        <v>8</v>
      </c>
      <c r="K302" s="59">
        <v>45973</v>
      </c>
      <c r="L302" s="59"/>
      <c r="M302" s="59">
        <f>K302+1</f>
        <v>45974</v>
      </c>
      <c r="N302" s="59"/>
      <c r="O302" s="59">
        <f t="shared" ref="O302" si="240">M302+1</f>
        <v>45975</v>
      </c>
      <c r="P302" s="59"/>
      <c r="Q302" s="59">
        <f t="shared" ref="Q302" si="241">O302+1</f>
        <v>45976</v>
      </c>
      <c r="R302" s="59"/>
      <c r="S302" s="59">
        <f t="shared" ref="S302" si="242">Q302+1</f>
        <v>45977</v>
      </c>
      <c r="T302" s="59"/>
      <c r="U302" s="59">
        <f t="shared" ref="U302" si="243">S302+1</f>
        <v>45978</v>
      </c>
      <c r="V302" s="59"/>
      <c r="W302" s="59">
        <f t="shared" ref="W302" si="244">U302+1</f>
        <v>45979</v>
      </c>
      <c r="X302" s="59"/>
    </row>
    <row r="303" spans="1:24" ht="15" thickBot="1" x14ac:dyDescent="0.35">
      <c r="A303" s="22">
        <v>275</v>
      </c>
      <c r="B303" s="22">
        <v>435</v>
      </c>
      <c r="C303" s="22">
        <v>369</v>
      </c>
      <c r="D303" s="22">
        <v>377</v>
      </c>
      <c r="E303" s="22">
        <v>215</v>
      </c>
      <c r="F303" s="22">
        <v>285</v>
      </c>
      <c r="G303" s="22">
        <v>195</v>
      </c>
      <c r="H303" s="15"/>
      <c r="I303" s="15">
        <v>1204</v>
      </c>
      <c r="K303" s="124" t="s">
        <v>10</v>
      </c>
      <c r="L303" s="125" t="s">
        <v>11</v>
      </c>
      <c r="M303" s="126" t="s">
        <v>10</v>
      </c>
      <c r="N303" s="126" t="s">
        <v>11</v>
      </c>
      <c r="O303" s="126" t="s">
        <v>10</v>
      </c>
      <c r="P303" s="126" t="s">
        <v>11</v>
      </c>
      <c r="Q303" s="126" t="s">
        <v>10</v>
      </c>
      <c r="R303" s="126" t="s">
        <v>11</v>
      </c>
      <c r="S303" s="126" t="s">
        <v>10</v>
      </c>
      <c r="T303" s="126" t="s">
        <v>11</v>
      </c>
      <c r="U303" s="126" t="s">
        <v>10</v>
      </c>
      <c r="V303" s="126" t="s">
        <v>11</v>
      </c>
      <c r="W303" s="126" t="s">
        <v>10</v>
      </c>
      <c r="X303" s="143" t="s">
        <v>11</v>
      </c>
    </row>
    <row r="304" spans="1:24" x14ac:dyDescent="0.3">
      <c r="A304" s="22">
        <v>1645</v>
      </c>
      <c r="B304" s="22">
        <v>1550</v>
      </c>
      <c r="C304" s="22">
        <v>1807.5</v>
      </c>
      <c r="D304" s="22">
        <v>1295</v>
      </c>
      <c r="E304" s="22"/>
      <c r="F304" s="22">
        <v>1365</v>
      </c>
      <c r="G304" s="22">
        <v>1090</v>
      </c>
      <c r="H304" s="15"/>
      <c r="I304" s="15">
        <v>5601.14</v>
      </c>
      <c r="K304" s="75">
        <v>45</v>
      </c>
      <c r="L304" s="76">
        <v>75</v>
      </c>
      <c r="M304" s="77">
        <v>370</v>
      </c>
      <c r="N304" s="77">
        <v>75.900000000000006</v>
      </c>
      <c r="O304" s="77">
        <v>400</v>
      </c>
      <c r="P304" s="77">
        <v>15</v>
      </c>
      <c r="Q304" s="77">
        <v>28</v>
      </c>
      <c r="R304" s="77">
        <v>50</v>
      </c>
      <c r="S304" s="77">
        <v>100</v>
      </c>
      <c r="T304" s="40">
        <v>15</v>
      </c>
      <c r="U304" s="77">
        <v>420</v>
      </c>
      <c r="V304" s="63">
        <v>82.5</v>
      </c>
      <c r="W304" s="77">
        <v>300</v>
      </c>
      <c r="X304" s="77">
        <v>110</v>
      </c>
    </row>
    <row r="305" spans="1:24" x14ac:dyDescent="0.3">
      <c r="A305" s="22">
        <v>1230.1500000000001</v>
      </c>
      <c r="B305" s="44">
        <v>1676.43</v>
      </c>
      <c r="C305" s="22">
        <v>1232.56</v>
      </c>
      <c r="D305" s="22">
        <v>2205.61</v>
      </c>
      <c r="E305" s="46"/>
      <c r="F305" s="22">
        <v>1054.53</v>
      </c>
      <c r="G305" s="22">
        <v>1676.43</v>
      </c>
      <c r="H305" s="15"/>
      <c r="I305" s="15">
        <v>6325.18</v>
      </c>
      <c r="K305" s="21">
        <v>780</v>
      </c>
      <c r="L305" s="79"/>
      <c r="M305" s="43">
        <v>202</v>
      </c>
      <c r="N305" s="43">
        <v>50</v>
      </c>
      <c r="O305" s="77">
        <v>442</v>
      </c>
      <c r="P305" s="43"/>
      <c r="Q305" s="43">
        <v>330</v>
      </c>
      <c r="R305" s="80">
        <v>84</v>
      </c>
      <c r="S305" s="43">
        <v>84</v>
      </c>
      <c r="T305" s="27"/>
      <c r="U305" s="43">
        <v>214</v>
      </c>
      <c r="V305" s="22"/>
      <c r="W305" s="43">
        <v>292</v>
      </c>
      <c r="X305" s="43">
        <v>369.9</v>
      </c>
    </row>
    <row r="306" spans="1:24" x14ac:dyDescent="0.3">
      <c r="A306" s="22"/>
      <c r="B306" s="41"/>
      <c r="C306" s="22"/>
      <c r="D306" s="22"/>
      <c r="E306" s="22"/>
      <c r="F306" s="22"/>
      <c r="G306" s="22"/>
      <c r="H306" s="15"/>
      <c r="I306" s="15">
        <v>6360</v>
      </c>
      <c r="K306" s="21">
        <v>402</v>
      </c>
      <c r="L306" s="79"/>
      <c r="M306" s="43">
        <v>2720</v>
      </c>
      <c r="N306" s="43">
        <v>1080</v>
      </c>
      <c r="O306" s="43">
        <v>3825</v>
      </c>
      <c r="P306" s="43"/>
      <c r="Q306" s="43">
        <v>324</v>
      </c>
      <c r="R306" s="84">
        <v>1740</v>
      </c>
      <c r="S306" s="43">
        <v>830</v>
      </c>
      <c r="T306" s="27"/>
      <c r="U306" s="43">
        <v>3180</v>
      </c>
      <c r="V306" s="22"/>
      <c r="W306" s="43">
        <v>2790</v>
      </c>
      <c r="X306" s="43">
        <v>60</v>
      </c>
    </row>
    <row r="307" spans="1:24" x14ac:dyDescent="0.3">
      <c r="A307" s="22"/>
      <c r="B307" s="22"/>
      <c r="C307" s="22"/>
      <c r="D307" s="22"/>
      <c r="E307" s="22"/>
      <c r="F307" s="22"/>
      <c r="G307" s="22"/>
      <c r="H307" s="15"/>
      <c r="I307" s="15">
        <v>990</v>
      </c>
      <c r="K307" s="21">
        <v>3810</v>
      </c>
      <c r="L307" s="8"/>
      <c r="M307" s="43">
        <v>210</v>
      </c>
      <c r="N307" s="43"/>
      <c r="O307" s="43">
        <v>440</v>
      </c>
      <c r="P307" s="43"/>
      <c r="Q307" s="43">
        <v>2000</v>
      </c>
      <c r="R307" s="43"/>
      <c r="S307" s="43"/>
      <c r="T307" s="27"/>
      <c r="U307" s="43">
        <v>510</v>
      </c>
      <c r="V307" s="22"/>
      <c r="W307" s="43">
        <v>370</v>
      </c>
      <c r="X307" s="43"/>
    </row>
    <row r="308" spans="1:24" x14ac:dyDescent="0.3">
      <c r="A308" s="22"/>
      <c r="B308" s="22"/>
      <c r="C308" s="22"/>
      <c r="D308" s="22"/>
      <c r="E308" s="22"/>
      <c r="F308" s="22"/>
      <c r="G308" s="22"/>
      <c r="H308" s="15"/>
      <c r="I308" s="15">
        <v>520.44000000000005</v>
      </c>
      <c r="K308" s="128">
        <v>670</v>
      </c>
      <c r="L308" s="79"/>
      <c r="M308" s="43"/>
      <c r="N308" s="43"/>
      <c r="O308" s="43"/>
      <c r="P308" s="43"/>
      <c r="Q308" s="43">
        <v>280</v>
      </c>
      <c r="R308" s="43"/>
      <c r="S308" s="43"/>
      <c r="T308" s="27"/>
      <c r="U308" s="43"/>
      <c r="V308" s="22"/>
      <c r="W308" s="43"/>
      <c r="X308" s="43"/>
    </row>
    <row r="309" spans="1:24" x14ac:dyDescent="0.3">
      <c r="A309" s="22"/>
      <c r="B309" s="22"/>
      <c r="C309" s="22"/>
      <c r="D309" s="22"/>
      <c r="E309" s="22"/>
      <c r="F309" s="22"/>
      <c r="G309" s="22"/>
      <c r="H309" s="160"/>
      <c r="I309" s="15">
        <v>2666</v>
      </c>
      <c r="K309" s="128"/>
      <c r="L309" s="79"/>
      <c r="N309" s="43"/>
      <c r="O309" s="43"/>
      <c r="P309" s="43"/>
      <c r="Q309" s="43"/>
      <c r="R309" s="43"/>
      <c r="S309" s="43"/>
      <c r="T309" s="27"/>
      <c r="U309" s="43"/>
      <c r="V309" s="22"/>
      <c r="W309" s="43"/>
      <c r="X309" s="43"/>
    </row>
    <row r="310" spans="1:24" x14ac:dyDescent="0.3">
      <c r="A310" s="22"/>
      <c r="B310" s="22"/>
      <c r="C310" s="22"/>
      <c r="D310" s="22"/>
      <c r="E310" s="22"/>
      <c r="F310" s="22"/>
      <c r="G310" s="22"/>
      <c r="H310" s="65"/>
      <c r="I310" s="15">
        <v>3320</v>
      </c>
      <c r="K310" s="21"/>
      <c r="L310" s="79"/>
      <c r="M310" s="43"/>
      <c r="N310" s="43"/>
      <c r="O310" s="43"/>
      <c r="P310" s="43"/>
      <c r="Q310" s="43"/>
      <c r="R310" s="43"/>
      <c r="S310" s="43"/>
      <c r="T310" s="27"/>
      <c r="U310" s="43"/>
      <c r="V310" s="22"/>
      <c r="W310" s="43"/>
      <c r="X310" s="43"/>
    </row>
    <row r="311" spans="1:24" x14ac:dyDescent="0.3">
      <c r="A311" s="22"/>
      <c r="B311" s="22"/>
      <c r="C311" s="22"/>
      <c r="D311" s="22"/>
      <c r="E311" s="22"/>
      <c r="F311" s="22"/>
      <c r="G311" s="22"/>
      <c r="H311" s="37"/>
      <c r="I311" s="15">
        <v>5434</v>
      </c>
      <c r="K311" s="24"/>
      <c r="L311" s="56"/>
      <c r="M311" s="22"/>
      <c r="N311" s="22"/>
      <c r="O311" s="43"/>
      <c r="P311" s="22"/>
      <c r="Q311" s="22"/>
      <c r="R311" s="22"/>
      <c r="S311" s="22"/>
      <c r="T311" s="27"/>
      <c r="U311" s="22"/>
      <c r="V311" s="22"/>
      <c r="W311" s="22"/>
      <c r="X311" s="22"/>
    </row>
    <row r="312" spans="1:24" ht="15" thickBot="1" x14ac:dyDescent="0.35">
      <c r="A312" s="22"/>
      <c r="B312" s="22"/>
      <c r="C312" s="22"/>
      <c r="D312" s="22"/>
      <c r="E312" s="22"/>
      <c r="F312" s="22"/>
      <c r="G312" s="22"/>
      <c r="H312" s="37" t="s">
        <v>9</v>
      </c>
      <c r="I312" s="15"/>
      <c r="K312" s="24"/>
      <c r="L312" s="56"/>
      <c r="M312" s="22"/>
      <c r="N312" s="22"/>
      <c r="O312" s="43"/>
      <c r="P312" s="22"/>
      <c r="Q312" s="22"/>
      <c r="R312" s="22"/>
      <c r="S312" s="22"/>
      <c r="T312" s="27"/>
      <c r="U312" s="22"/>
      <c r="V312" s="22"/>
      <c r="W312" s="22"/>
      <c r="X312" s="22"/>
    </row>
    <row r="313" spans="1:24" ht="15.6" thickTop="1" thickBot="1" x14ac:dyDescent="0.35">
      <c r="A313" s="22"/>
      <c r="B313" s="22"/>
      <c r="C313" s="22"/>
      <c r="D313" s="22"/>
      <c r="E313" s="22"/>
      <c r="F313" s="22"/>
      <c r="G313" s="22"/>
      <c r="H313" s="37"/>
      <c r="I313" s="132">
        <f>SUM(I303:I312)</f>
        <v>32420.76</v>
      </c>
      <c r="K313" s="24"/>
      <c r="L313" s="56"/>
      <c r="M313" s="22"/>
      <c r="N313" s="22"/>
      <c r="O313" s="43"/>
      <c r="P313" s="22"/>
      <c r="Q313" s="22"/>
      <c r="R313" s="22"/>
      <c r="S313" s="22"/>
      <c r="T313" s="27"/>
      <c r="U313" s="22"/>
      <c r="V313" s="22"/>
      <c r="W313" s="22"/>
      <c r="X313" s="22"/>
    </row>
    <row r="314" spans="1:24" ht="15" thickTop="1" x14ac:dyDescent="0.3">
      <c r="A314" s="22"/>
      <c r="B314" s="22"/>
      <c r="C314" s="22"/>
      <c r="D314" s="22"/>
      <c r="E314" s="22"/>
      <c r="F314" s="22"/>
      <c r="G314" s="22"/>
      <c r="H314" s="22"/>
      <c r="I314" s="40"/>
      <c r="K314" s="24"/>
      <c r="L314" s="56"/>
      <c r="M314" s="22"/>
      <c r="N314" s="22"/>
      <c r="O314" s="43"/>
      <c r="P314" s="22"/>
      <c r="Q314" s="22"/>
      <c r="R314" s="22"/>
      <c r="S314" s="22"/>
      <c r="T314" s="27"/>
      <c r="U314" s="22"/>
      <c r="V314" s="22"/>
      <c r="W314" s="22"/>
      <c r="X314" s="22"/>
    </row>
    <row r="315" spans="1:24" x14ac:dyDescent="0.3">
      <c r="A315" s="22"/>
      <c r="B315" s="22"/>
      <c r="C315" s="22"/>
      <c r="D315" s="22"/>
      <c r="E315" s="22"/>
      <c r="F315" s="22"/>
      <c r="G315" s="22"/>
      <c r="H315" s="22"/>
      <c r="I315" s="27"/>
      <c r="K315" s="24"/>
      <c r="L315" s="56"/>
      <c r="M315" s="22"/>
      <c r="N315" s="22"/>
      <c r="O315" s="43"/>
      <c r="P315" s="22"/>
      <c r="Q315" s="22"/>
      <c r="R315" s="22"/>
      <c r="S315" s="22"/>
      <c r="T315" s="27"/>
      <c r="U315" s="22"/>
      <c r="V315" s="22"/>
      <c r="W315" s="22"/>
      <c r="X315" s="22"/>
    </row>
    <row r="316" spans="1:24" x14ac:dyDescent="0.3">
      <c r="A316" s="22"/>
      <c r="B316" s="22"/>
      <c r="C316" s="22"/>
      <c r="D316" s="22"/>
      <c r="E316" s="22"/>
      <c r="F316" s="22"/>
      <c r="G316" s="22"/>
      <c r="H316" s="22"/>
      <c r="I316" s="27"/>
      <c r="K316" s="24"/>
      <c r="L316" s="56"/>
      <c r="M316" s="22"/>
      <c r="N316" s="22"/>
      <c r="O316" s="43"/>
      <c r="P316" s="22"/>
      <c r="Q316" s="22"/>
      <c r="R316" s="22"/>
      <c r="S316" s="22"/>
      <c r="T316" s="27"/>
      <c r="U316" s="22"/>
      <c r="V316" s="22"/>
      <c r="W316" s="22"/>
      <c r="X316" s="22"/>
    </row>
    <row r="317" spans="1:24" x14ac:dyDescent="0.3">
      <c r="A317" s="22"/>
      <c r="B317" s="22"/>
      <c r="C317" s="22"/>
      <c r="D317" s="22"/>
      <c r="E317" s="22"/>
      <c r="F317" s="22"/>
      <c r="G317" s="22"/>
      <c r="H317" s="22"/>
      <c r="I317" s="27"/>
      <c r="K317" s="24"/>
      <c r="L317" s="22"/>
      <c r="M317" s="22"/>
      <c r="N317" s="22"/>
      <c r="O317" s="22"/>
      <c r="P317" s="22"/>
      <c r="Q317" s="22"/>
      <c r="R317" s="22"/>
      <c r="S317" s="22"/>
      <c r="T317" s="27"/>
      <c r="U317" s="22"/>
      <c r="V317" s="22"/>
      <c r="W317" s="22"/>
      <c r="X317" s="22"/>
    </row>
    <row r="318" spans="1:24" ht="15" thickBot="1" x14ac:dyDescent="0.35">
      <c r="A318" s="140">
        <f t="shared" ref="A318:B318" si="245">SUM(A303:A317)</f>
        <v>3150.15</v>
      </c>
      <c r="B318" s="140">
        <f t="shared" si="245"/>
        <v>3661.4300000000003</v>
      </c>
      <c r="C318" s="140">
        <f t="shared" ref="C318:G318" si="246">SUM(C303:C317)</f>
        <v>3409.06</v>
      </c>
      <c r="D318" s="140">
        <f t="shared" si="246"/>
        <v>3877.61</v>
      </c>
      <c r="E318" s="140">
        <f t="shared" si="246"/>
        <v>215</v>
      </c>
      <c r="F318" s="140">
        <f t="shared" si="246"/>
        <v>2704.5299999999997</v>
      </c>
      <c r="G318" s="140">
        <f t="shared" si="246"/>
        <v>2961.4300000000003</v>
      </c>
      <c r="H318" s="149">
        <f>SUM(A318:G318)+I313</f>
        <v>52399.97</v>
      </c>
      <c r="I318" s="150"/>
      <c r="K318" s="140">
        <f t="shared" ref="K318:X318" si="247">SUM(K303:K317)</f>
        <v>5707</v>
      </c>
      <c r="L318" s="140">
        <f t="shared" ref="L318:W318" si="248">SUM(L303:L317)</f>
        <v>75</v>
      </c>
      <c r="M318" s="140">
        <f t="shared" si="248"/>
        <v>3502</v>
      </c>
      <c r="N318" s="140">
        <f t="shared" si="248"/>
        <v>1205.9000000000001</v>
      </c>
      <c r="O318" s="140">
        <f t="shared" si="248"/>
        <v>5107</v>
      </c>
      <c r="P318" s="140">
        <f t="shared" si="248"/>
        <v>15</v>
      </c>
      <c r="Q318" s="140">
        <f t="shared" si="248"/>
        <v>2962</v>
      </c>
      <c r="R318" s="140">
        <f t="shared" si="248"/>
        <v>1874</v>
      </c>
      <c r="S318" s="140">
        <f t="shared" si="248"/>
        <v>1014</v>
      </c>
      <c r="T318" s="140">
        <f t="shared" si="248"/>
        <v>15</v>
      </c>
      <c r="U318" s="140">
        <f t="shared" si="248"/>
        <v>4324</v>
      </c>
      <c r="V318" s="140">
        <f t="shared" si="248"/>
        <v>82.5</v>
      </c>
      <c r="W318" s="140">
        <f t="shared" si="248"/>
        <v>3752</v>
      </c>
      <c r="X318" s="140">
        <f t="shared" si="247"/>
        <v>539.9</v>
      </c>
    </row>
    <row r="319" spans="1:24" ht="15" thickBot="1" x14ac:dyDescent="0.35">
      <c r="A319" s="140">
        <v>3150.15</v>
      </c>
      <c r="B319" s="140">
        <v>3661.43</v>
      </c>
      <c r="C319" s="140">
        <v>3409.06</v>
      </c>
      <c r="D319" s="140">
        <v>3877.61</v>
      </c>
      <c r="E319" s="140">
        <v>215</v>
      </c>
      <c r="F319" s="140">
        <v>2704.53</v>
      </c>
      <c r="G319" s="140">
        <v>2961.43</v>
      </c>
      <c r="H319" s="149">
        <f>SUM(A319:G319)+I313</f>
        <v>52399.97</v>
      </c>
      <c r="I319" s="151"/>
      <c r="K319" s="140">
        <v>5707</v>
      </c>
      <c r="L319" s="140">
        <v>75</v>
      </c>
      <c r="M319" s="140">
        <v>3502</v>
      </c>
      <c r="N319" s="140">
        <v>1205.9000000000001</v>
      </c>
      <c r="O319" s="140">
        <v>5107</v>
      </c>
      <c r="P319" s="140">
        <v>15</v>
      </c>
      <c r="Q319" s="140">
        <v>2962</v>
      </c>
      <c r="R319" s="140">
        <v>1874</v>
      </c>
      <c r="S319" s="140">
        <v>1014</v>
      </c>
      <c r="T319" s="140">
        <v>15</v>
      </c>
      <c r="U319" s="140">
        <v>4324</v>
      </c>
      <c r="V319" s="140">
        <v>82.5</v>
      </c>
      <c r="W319" s="140">
        <v>3752</v>
      </c>
      <c r="X319" s="140">
        <v>539.9</v>
      </c>
    </row>
    <row r="320" spans="1:24" ht="15" thickBot="1" x14ac:dyDescent="0.35">
      <c r="A320" s="63">
        <f t="shared" ref="A320:H320" si="249">A318-A319</f>
        <v>0</v>
      </c>
      <c r="B320" s="63">
        <f t="shared" si="249"/>
        <v>0</v>
      </c>
      <c r="C320" s="63">
        <f t="shared" si="249"/>
        <v>0</v>
      </c>
      <c r="D320" s="63">
        <f t="shared" si="249"/>
        <v>0</v>
      </c>
      <c r="E320" s="63">
        <f t="shared" si="249"/>
        <v>0</v>
      </c>
      <c r="F320" s="63">
        <f t="shared" si="249"/>
        <v>0</v>
      </c>
      <c r="G320" s="63">
        <f t="shared" si="249"/>
        <v>0</v>
      </c>
      <c r="H320" s="63">
        <f t="shared" si="249"/>
        <v>0</v>
      </c>
      <c r="I320" s="22"/>
      <c r="K320" s="152">
        <f>K318-K319</f>
        <v>0</v>
      </c>
      <c r="L320" s="152">
        <f>L318-L319</f>
        <v>0</v>
      </c>
      <c r="M320" s="152">
        <f>M319-M318</f>
        <v>0</v>
      </c>
      <c r="N320" s="152">
        <f>N319-N318</f>
        <v>0</v>
      </c>
      <c r="O320" s="152">
        <f t="shared" ref="O320:T320" si="250">O319-O318</f>
        <v>0</v>
      </c>
      <c r="P320" s="152">
        <f t="shared" si="250"/>
        <v>0</v>
      </c>
      <c r="Q320" s="152">
        <f t="shared" si="250"/>
        <v>0</v>
      </c>
      <c r="R320" s="152">
        <f t="shared" si="250"/>
        <v>0</v>
      </c>
      <c r="S320" s="152">
        <f t="shared" si="250"/>
        <v>0</v>
      </c>
      <c r="T320" s="152">
        <f t="shared" si="250"/>
        <v>0</v>
      </c>
      <c r="U320" s="152">
        <f>U319-U318</f>
        <v>0</v>
      </c>
      <c r="V320" s="152">
        <f>V319-V318</f>
        <v>0</v>
      </c>
      <c r="W320" s="152">
        <f>W319-W318</f>
        <v>0</v>
      </c>
      <c r="X320" s="152">
        <f t="shared" ref="X320" si="251">X319-X318</f>
        <v>0</v>
      </c>
    </row>
    <row r="321" spans="1:24" ht="15" thickBot="1" x14ac:dyDescent="0.35"/>
    <row r="322" spans="1:24" x14ac:dyDescent="0.3">
      <c r="A322" s="157">
        <v>45980</v>
      </c>
      <c r="B322" s="157">
        <f>A322+1</f>
        <v>45981</v>
      </c>
      <c r="C322" s="157">
        <f t="shared" ref="C322" si="252">B322+1</f>
        <v>45982</v>
      </c>
      <c r="D322" s="157">
        <f t="shared" ref="D322" si="253">C322+1</f>
        <v>45983</v>
      </c>
      <c r="E322" s="157">
        <f t="shared" ref="E322" si="254">D322+1</f>
        <v>45984</v>
      </c>
      <c r="F322" s="157">
        <f t="shared" ref="F322" si="255">E322+1</f>
        <v>45985</v>
      </c>
      <c r="G322" s="157">
        <f t="shared" ref="G322" si="256">F322+1</f>
        <v>45986</v>
      </c>
      <c r="H322" s="157"/>
      <c r="I322" s="13" t="s">
        <v>8</v>
      </c>
      <c r="K322" s="59">
        <v>45980</v>
      </c>
      <c r="L322" s="59"/>
      <c r="M322" s="59">
        <f>K322+1</f>
        <v>45981</v>
      </c>
      <c r="N322" s="59"/>
      <c r="O322" s="59">
        <f t="shared" ref="O322" si="257">M322+1</f>
        <v>45982</v>
      </c>
      <c r="P322" s="59"/>
      <c r="Q322" s="59">
        <f t="shared" ref="Q322" si="258">O322+1</f>
        <v>45983</v>
      </c>
      <c r="R322" s="59"/>
      <c r="S322" s="59">
        <f t="shared" ref="S322" si="259">Q322+1</f>
        <v>45984</v>
      </c>
      <c r="T322" s="59"/>
      <c r="U322" s="59">
        <f t="shared" ref="U322" si="260">S322+1</f>
        <v>45985</v>
      </c>
      <c r="V322" s="59"/>
      <c r="W322" s="59">
        <f t="shared" ref="W322" si="261">U322+1</f>
        <v>45986</v>
      </c>
      <c r="X322" s="59"/>
    </row>
    <row r="323" spans="1:24" ht="15" thickBot="1" x14ac:dyDescent="0.35">
      <c r="A323" s="22">
        <v>190</v>
      </c>
      <c r="B323" s="22">
        <v>407</v>
      </c>
      <c r="C323" s="22">
        <v>450</v>
      </c>
      <c r="D323" s="22">
        <v>477</v>
      </c>
      <c r="E323" s="22">
        <v>240</v>
      </c>
      <c r="F323" s="22">
        <v>425</v>
      </c>
      <c r="G323" s="22">
        <v>455</v>
      </c>
      <c r="H323" s="15"/>
      <c r="I323" s="15">
        <v>1453</v>
      </c>
      <c r="K323" s="124" t="s">
        <v>10</v>
      </c>
      <c r="L323" s="125" t="s">
        <v>11</v>
      </c>
      <c r="M323" s="126" t="s">
        <v>10</v>
      </c>
      <c r="N323" s="126" t="s">
        <v>11</v>
      </c>
      <c r="O323" s="126" t="s">
        <v>10</v>
      </c>
      <c r="P323" s="126" t="s">
        <v>11</v>
      </c>
      <c r="Q323" s="126" t="s">
        <v>10</v>
      </c>
      <c r="R323" s="126" t="s">
        <v>11</v>
      </c>
      <c r="S323" s="126" t="s">
        <v>10</v>
      </c>
      <c r="T323" s="126" t="s">
        <v>11</v>
      </c>
      <c r="U323" s="126" t="s">
        <v>10</v>
      </c>
      <c r="V323" s="126" t="s">
        <v>11</v>
      </c>
      <c r="W323" s="126" t="s">
        <v>10</v>
      </c>
      <c r="X323" s="143" t="s">
        <v>11</v>
      </c>
    </row>
    <row r="324" spans="1:24" x14ac:dyDescent="0.3">
      <c r="A324" s="22">
        <v>1875</v>
      </c>
      <c r="B324" s="22">
        <v>1065</v>
      </c>
      <c r="C324" s="22">
        <v>2340</v>
      </c>
      <c r="D324" s="22">
        <v>1327.5</v>
      </c>
      <c r="E324" s="22"/>
      <c r="F324" s="22">
        <v>2270</v>
      </c>
      <c r="G324" s="22">
        <v>1510</v>
      </c>
      <c r="H324" s="15"/>
      <c r="I324" s="15">
        <v>1924</v>
      </c>
      <c r="K324" s="75">
        <v>550</v>
      </c>
      <c r="L324" s="76">
        <v>35</v>
      </c>
      <c r="M324" s="77">
        <v>350</v>
      </c>
      <c r="N324" s="77">
        <v>28</v>
      </c>
      <c r="O324" s="77">
        <v>350</v>
      </c>
      <c r="P324" s="77">
        <v>50</v>
      </c>
      <c r="Q324" s="77">
        <v>360</v>
      </c>
      <c r="R324" s="77">
        <v>28</v>
      </c>
      <c r="S324" s="77">
        <v>100</v>
      </c>
      <c r="T324" s="40">
        <v>15</v>
      </c>
      <c r="U324" s="77">
        <v>28</v>
      </c>
      <c r="V324" s="63">
        <v>75</v>
      </c>
      <c r="W324" s="77">
        <v>320</v>
      </c>
      <c r="X324" s="77">
        <v>57.5</v>
      </c>
    </row>
    <row r="325" spans="1:24" x14ac:dyDescent="0.3">
      <c r="A325" s="22">
        <v>1280.48</v>
      </c>
      <c r="B325" s="44">
        <v>1724.35</v>
      </c>
      <c r="C325" s="22">
        <v>1054.53</v>
      </c>
      <c r="D325" s="22">
        <v>1329.11</v>
      </c>
      <c r="E325" s="46"/>
      <c r="F325" s="22">
        <v>1054.53</v>
      </c>
      <c r="G325" s="22">
        <v>1532.67</v>
      </c>
      <c r="H325" s="15"/>
      <c r="I325" s="15">
        <v>3360</v>
      </c>
      <c r="K325" s="21">
        <v>318</v>
      </c>
      <c r="L325" s="79">
        <v>70</v>
      </c>
      <c r="M325" s="43">
        <v>228</v>
      </c>
      <c r="N325" s="43">
        <v>50</v>
      </c>
      <c r="O325" s="77">
        <v>442</v>
      </c>
      <c r="P325" s="43"/>
      <c r="Q325" s="43">
        <v>168</v>
      </c>
      <c r="R325" s="80">
        <v>50</v>
      </c>
      <c r="S325" s="43">
        <v>84</v>
      </c>
      <c r="T325" s="27"/>
      <c r="U325" s="43">
        <v>15</v>
      </c>
      <c r="V325" s="22">
        <v>200</v>
      </c>
      <c r="W325" s="43">
        <v>292</v>
      </c>
      <c r="X325" s="43">
        <v>210</v>
      </c>
    </row>
    <row r="326" spans="1:24" x14ac:dyDescent="0.3">
      <c r="A326" s="22"/>
      <c r="B326" s="41"/>
      <c r="C326" s="22"/>
      <c r="D326" s="22"/>
      <c r="E326" s="22"/>
      <c r="F326" s="22"/>
      <c r="G326" s="22"/>
      <c r="H326" s="15"/>
      <c r="I326" s="15">
        <v>5374</v>
      </c>
      <c r="K326" s="21">
        <v>3600</v>
      </c>
      <c r="L326" s="79"/>
      <c r="M326" s="43">
        <v>2990</v>
      </c>
      <c r="N326" s="43">
        <v>67</v>
      </c>
      <c r="O326" s="43">
        <v>3880</v>
      </c>
      <c r="P326" s="43"/>
      <c r="Q326" s="43">
        <v>2600</v>
      </c>
      <c r="R326" s="84"/>
      <c r="S326" s="43">
        <v>840</v>
      </c>
      <c r="T326" s="27"/>
      <c r="U326" s="43">
        <v>500</v>
      </c>
      <c r="V326" s="22"/>
      <c r="W326" s="43">
        <v>2470</v>
      </c>
      <c r="X326" s="43">
        <v>60</v>
      </c>
    </row>
    <row r="327" spans="1:24" x14ac:dyDescent="0.3">
      <c r="A327" s="22"/>
      <c r="B327" s="22"/>
      <c r="C327" s="22"/>
      <c r="D327" s="22"/>
      <c r="E327" s="22"/>
      <c r="F327" s="22"/>
      <c r="G327" s="22"/>
      <c r="H327" s="15"/>
      <c r="I327" s="15">
        <v>6360</v>
      </c>
      <c r="K327" s="21">
        <v>580</v>
      </c>
      <c r="L327" s="8"/>
      <c r="M327" s="43">
        <v>350</v>
      </c>
      <c r="N327" s="43"/>
      <c r="O327" s="43">
        <v>490</v>
      </c>
      <c r="P327" s="43"/>
      <c r="Q327" s="43"/>
      <c r="R327" s="43"/>
      <c r="S327" s="43"/>
      <c r="T327" s="27"/>
      <c r="U327" s="43">
        <v>370</v>
      </c>
      <c r="V327" s="22"/>
      <c r="W327" s="43">
        <v>370</v>
      </c>
      <c r="X327" s="43"/>
    </row>
    <row r="328" spans="1:24" x14ac:dyDescent="0.3">
      <c r="A328" s="22"/>
      <c r="B328" s="22"/>
      <c r="C328" s="22"/>
      <c r="D328" s="22"/>
      <c r="E328" s="22"/>
      <c r="F328" s="22"/>
      <c r="G328" s="22"/>
      <c r="H328" s="15"/>
      <c r="I328" s="15">
        <v>5969.12</v>
      </c>
      <c r="K328" s="128">
        <v>52</v>
      </c>
      <c r="L328" s="79"/>
      <c r="M328" s="43"/>
      <c r="N328" s="43"/>
      <c r="O328" s="43"/>
      <c r="P328" s="43"/>
      <c r="Q328" s="43"/>
      <c r="R328" s="43"/>
      <c r="S328" s="43"/>
      <c r="T328" s="27"/>
      <c r="U328" s="43">
        <v>3390</v>
      </c>
      <c r="V328" s="22"/>
      <c r="W328" s="43"/>
      <c r="X328" s="43"/>
    </row>
    <row r="329" spans="1:24" x14ac:dyDescent="0.3">
      <c r="A329" s="22"/>
      <c r="B329" s="22"/>
      <c r="C329" s="22"/>
      <c r="D329" s="22"/>
      <c r="E329" s="22"/>
      <c r="F329" s="22"/>
      <c r="G329" s="22"/>
      <c r="H329" s="160"/>
      <c r="I329" s="15">
        <v>520.44000000000005</v>
      </c>
      <c r="K329" s="128"/>
      <c r="L329" s="79"/>
      <c r="N329" s="43"/>
      <c r="O329" s="43"/>
      <c r="P329" s="43"/>
      <c r="Q329" s="43"/>
      <c r="R329" s="43"/>
      <c r="S329" s="43"/>
      <c r="T329" s="27"/>
      <c r="U329" s="43">
        <v>650</v>
      </c>
      <c r="V329" s="22"/>
      <c r="W329" s="43"/>
      <c r="X329" s="43"/>
    </row>
    <row r="330" spans="1:24" x14ac:dyDescent="0.3">
      <c r="A330" s="22"/>
      <c r="B330" s="22"/>
      <c r="C330" s="22"/>
      <c r="D330" s="22"/>
      <c r="E330" s="22"/>
      <c r="F330" s="22"/>
      <c r="G330" s="22"/>
      <c r="H330" s="65"/>
      <c r="I330" s="15">
        <v>5121.76</v>
      </c>
      <c r="K330" s="21"/>
      <c r="L330" s="79"/>
      <c r="M330" s="43"/>
      <c r="N330" s="43"/>
      <c r="O330" s="43"/>
      <c r="P330" s="43"/>
      <c r="Q330" s="43"/>
      <c r="R330" s="43"/>
      <c r="S330" s="43"/>
      <c r="T330" s="27"/>
      <c r="U330" s="43"/>
      <c r="V330" s="22"/>
      <c r="W330" s="43"/>
      <c r="X330" s="43"/>
    </row>
    <row r="331" spans="1:24" x14ac:dyDescent="0.3">
      <c r="A331" s="22"/>
      <c r="B331" s="22"/>
      <c r="C331" s="22"/>
      <c r="D331" s="22"/>
      <c r="E331" s="22"/>
      <c r="F331" s="22"/>
      <c r="G331" s="22"/>
      <c r="H331" s="37"/>
      <c r="I331" s="15"/>
      <c r="K331" s="24"/>
      <c r="L331" s="56"/>
      <c r="M331" s="22"/>
      <c r="N331" s="22"/>
      <c r="O331" s="43"/>
      <c r="P331" s="22"/>
      <c r="Q331" s="22"/>
      <c r="R331" s="22"/>
      <c r="S331" s="22"/>
      <c r="T331" s="27"/>
      <c r="U331" s="22"/>
      <c r="V331" s="22"/>
      <c r="W331" s="22"/>
      <c r="X331" s="22"/>
    </row>
    <row r="332" spans="1:24" ht="15" thickBot="1" x14ac:dyDescent="0.35">
      <c r="A332" s="22"/>
      <c r="B332" s="22"/>
      <c r="C332" s="22"/>
      <c r="D332" s="22"/>
      <c r="E332" s="22"/>
      <c r="F332" s="22"/>
      <c r="G332" s="22"/>
      <c r="H332" s="37" t="s">
        <v>9</v>
      </c>
      <c r="I332" s="15"/>
      <c r="K332" s="24"/>
      <c r="L332" s="56"/>
      <c r="M332" s="22"/>
      <c r="N332" s="22"/>
      <c r="O332" s="43"/>
      <c r="P332" s="22"/>
      <c r="Q332" s="22"/>
      <c r="R332" s="22"/>
      <c r="S332" s="22"/>
      <c r="T332" s="27"/>
      <c r="U332" s="22"/>
      <c r="V332" s="22"/>
      <c r="W332" s="22"/>
      <c r="X332" s="22"/>
    </row>
    <row r="333" spans="1:24" ht="15.6" thickTop="1" thickBot="1" x14ac:dyDescent="0.35">
      <c r="A333" s="22"/>
      <c r="B333" s="22"/>
      <c r="C333" s="22"/>
      <c r="D333" s="22"/>
      <c r="E333" s="22"/>
      <c r="F333" s="22"/>
      <c r="G333" s="22"/>
      <c r="H333" s="37"/>
      <c r="I333" s="132">
        <f>SUM(I323:I332)</f>
        <v>30082.32</v>
      </c>
      <c r="K333" s="24"/>
      <c r="L333" s="56"/>
      <c r="M333" s="22"/>
      <c r="N333" s="22"/>
      <c r="O333" s="43"/>
      <c r="P333" s="22"/>
      <c r="Q333" s="22"/>
      <c r="R333" s="22"/>
      <c r="S333" s="22"/>
      <c r="T333" s="27"/>
      <c r="U333" s="22"/>
      <c r="V333" s="22"/>
      <c r="W333" s="22"/>
      <c r="X333" s="22"/>
    </row>
    <row r="334" spans="1:24" ht="15" thickTop="1" x14ac:dyDescent="0.3">
      <c r="A334" s="22"/>
      <c r="B334" s="22"/>
      <c r="C334" s="22"/>
      <c r="D334" s="22"/>
      <c r="E334" s="22"/>
      <c r="F334" s="22"/>
      <c r="G334" s="22"/>
      <c r="H334" s="22"/>
      <c r="I334" s="40"/>
      <c r="K334" s="24"/>
      <c r="L334" s="56"/>
      <c r="M334" s="22"/>
      <c r="N334" s="22"/>
      <c r="O334" s="43"/>
      <c r="P334" s="22"/>
      <c r="Q334" s="22"/>
      <c r="R334" s="22"/>
      <c r="S334" s="22"/>
      <c r="T334" s="27"/>
      <c r="U334" s="22"/>
      <c r="V334" s="22"/>
      <c r="W334" s="22"/>
      <c r="X334" s="22"/>
    </row>
    <row r="335" spans="1:24" x14ac:dyDescent="0.3">
      <c r="A335" s="22"/>
      <c r="B335" s="22"/>
      <c r="C335" s="22"/>
      <c r="D335" s="22"/>
      <c r="E335" s="22"/>
      <c r="F335" s="22"/>
      <c r="G335" s="22"/>
      <c r="H335" s="22"/>
      <c r="I335" s="27"/>
      <c r="K335" s="24"/>
      <c r="L335" s="56"/>
      <c r="M335" s="22"/>
      <c r="N335" s="22"/>
      <c r="O335" s="43"/>
      <c r="P335" s="22"/>
      <c r="Q335" s="22"/>
      <c r="R335" s="22"/>
      <c r="S335" s="22"/>
      <c r="T335" s="27"/>
      <c r="U335" s="22"/>
      <c r="V335" s="22"/>
      <c r="W335" s="22"/>
      <c r="X335" s="22"/>
    </row>
    <row r="336" spans="1:24" x14ac:dyDescent="0.3">
      <c r="A336" s="22"/>
      <c r="B336" s="22"/>
      <c r="C336" s="22"/>
      <c r="D336" s="22"/>
      <c r="E336" s="22"/>
      <c r="F336" s="22"/>
      <c r="G336" s="22"/>
      <c r="H336" s="22"/>
      <c r="I336" s="27"/>
      <c r="K336" s="24"/>
      <c r="L336" s="56"/>
      <c r="M336" s="22"/>
      <c r="N336" s="22"/>
      <c r="O336" s="43"/>
      <c r="P336" s="22"/>
      <c r="Q336" s="22"/>
      <c r="R336" s="22"/>
      <c r="S336" s="22"/>
      <c r="T336" s="27"/>
      <c r="U336" s="22"/>
      <c r="V336" s="22"/>
      <c r="W336" s="22"/>
      <c r="X336" s="22"/>
    </row>
    <row r="337" spans="1:24" x14ac:dyDescent="0.3">
      <c r="A337" s="22"/>
      <c r="B337" s="22"/>
      <c r="C337" s="22"/>
      <c r="D337" s="22"/>
      <c r="E337" s="22"/>
      <c r="F337" s="22"/>
      <c r="G337" s="22"/>
      <c r="H337" s="22"/>
      <c r="I337" s="27"/>
      <c r="K337" s="24"/>
      <c r="L337" s="22"/>
      <c r="M337" s="22"/>
      <c r="N337" s="22"/>
      <c r="O337" s="22"/>
      <c r="P337" s="22"/>
      <c r="Q337" s="22"/>
      <c r="R337" s="22"/>
      <c r="S337" s="22"/>
      <c r="T337" s="27"/>
      <c r="U337" s="22"/>
      <c r="V337" s="22"/>
      <c r="W337" s="22"/>
      <c r="X337" s="22"/>
    </row>
    <row r="338" spans="1:24" ht="15" thickBot="1" x14ac:dyDescent="0.35">
      <c r="A338" s="140">
        <f t="shared" ref="A338" si="262">SUM(A323:A337)</f>
        <v>3345.48</v>
      </c>
      <c r="B338" s="140">
        <f t="shared" ref="B338:G338" si="263">SUM(B323:B337)</f>
        <v>3196.35</v>
      </c>
      <c r="C338" s="140">
        <f t="shared" si="263"/>
        <v>3844.5299999999997</v>
      </c>
      <c r="D338" s="140">
        <f t="shared" si="263"/>
        <v>3133.6099999999997</v>
      </c>
      <c r="E338" s="140">
        <f t="shared" si="263"/>
        <v>240</v>
      </c>
      <c r="F338" s="140">
        <f t="shared" si="263"/>
        <v>3749.5299999999997</v>
      </c>
      <c r="G338" s="140">
        <f t="shared" si="263"/>
        <v>3497.67</v>
      </c>
      <c r="H338" s="149">
        <f>SUM(A338:G338)+I333</f>
        <v>51089.49</v>
      </c>
      <c r="I338" s="150"/>
      <c r="K338" s="140">
        <f t="shared" ref="K338" si="264">SUM(K323:K337)</f>
        <v>5100</v>
      </c>
      <c r="L338" s="140">
        <f t="shared" ref="L338:X338" si="265">SUM(L323:L337)</f>
        <v>105</v>
      </c>
      <c r="M338" s="140">
        <f t="shared" si="265"/>
        <v>3918</v>
      </c>
      <c r="N338" s="140">
        <f t="shared" si="265"/>
        <v>145</v>
      </c>
      <c r="O338" s="140">
        <f t="shared" si="265"/>
        <v>5162</v>
      </c>
      <c r="P338" s="140">
        <f t="shared" si="265"/>
        <v>50</v>
      </c>
      <c r="Q338" s="140">
        <f t="shared" si="265"/>
        <v>3128</v>
      </c>
      <c r="R338" s="140">
        <f t="shared" si="265"/>
        <v>78</v>
      </c>
      <c r="S338" s="140">
        <f t="shared" si="265"/>
        <v>1024</v>
      </c>
      <c r="T338" s="140">
        <f t="shared" si="265"/>
        <v>15</v>
      </c>
      <c r="U338" s="140">
        <f t="shared" si="265"/>
        <v>4953</v>
      </c>
      <c r="V338" s="140">
        <f t="shared" si="265"/>
        <v>275</v>
      </c>
      <c r="W338" s="140">
        <f t="shared" si="265"/>
        <v>3452</v>
      </c>
      <c r="X338" s="140">
        <f t="shared" si="265"/>
        <v>327.5</v>
      </c>
    </row>
    <row r="339" spans="1:24" ht="15" thickBot="1" x14ac:dyDescent="0.35">
      <c r="A339" s="140">
        <v>3345.48</v>
      </c>
      <c r="B339" s="140">
        <v>3196.35</v>
      </c>
      <c r="C339" s="140">
        <v>3844.53</v>
      </c>
      <c r="D339" s="140">
        <v>3133.61</v>
      </c>
      <c r="E339" s="140">
        <v>240</v>
      </c>
      <c r="F339" s="140">
        <v>3749.53</v>
      </c>
      <c r="G339" s="140">
        <v>3497.67</v>
      </c>
      <c r="H339" s="149">
        <f>SUM(A339:G339)+I333</f>
        <v>51089.49</v>
      </c>
      <c r="I339" s="151"/>
      <c r="K339" s="140">
        <v>5100</v>
      </c>
      <c r="L339" s="140">
        <v>105</v>
      </c>
      <c r="M339" s="140">
        <v>3918</v>
      </c>
      <c r="N339" s="140">
        <v>145</v>
      </c>
      <c r="O339" s="140">
        <v>5162</v>
      </c>
      <c r="P339" s="140">
        <v>50</v>
      </c>
      <c r="Q339" s="140">
        <v>3128</v>
      </c>
      <c r="R339" s="140">
        <v>78</v>
      </c>
      <c r="S339" s="140">
        <v>1024</v>
      </c>
      <c r="T339" s="140">
        <v>15</v>
      </c>
      <c r="U339" s="140">
        <v>4953</v>
      </c>
      <c r="V339" s="140">
        <v>275</v>
      </c>
      <c r="W339" s="140">
        <v>3452</v>
      </c>
      <c r="X339" s="140">
        <v>327.5</v>
      </c>
    </row>
    <row r="340" spans="1:24" ht="15" thickBot="1" x14ac:dyDescent="0.35">
      <c r="A340" s="63">
        <f t="shared" ref="A340:H340" si="266">A338-A339</f>
        <v>0</v>
      </c>
      <c r="B340" s="63">
        <f t="shared" si="266"/>
        <v>0</v>
      </c>
      <c r="C340" s="63">
        <f t="shared" si="266"/>
        <v>0</v>
      </c>
      <c r="D340" s="63">
        <f t="shared" si="266"/>
        <v>0</v>
      </c>
      <c r="E340" s="63">
        <f t="shared" si="266"/>
        <v>0</v>
      </c>
      <c r="F340" s="63">
        <f t="shared" si="266"/>
        <v>0</v>
      </c>
      <c r="G340" s="63">
        <f t="shared" si="266"/>
        <v>0</v>
      </c>
      <c r="H340" s="63">
        <f t="shared" si="266"/>
        <v>0</v>
      </c>
      <c r="I340" s="22"/>
      <c r="K340" s="152">
        <f>K338-K339</f>
        <v>0</v>
      </c>
      <c r="L340" s="152">
        <f>L338-L339</f>
        <v>0</v>
      </c>
      <c r="M340" s="152">
        <f>M339-M338</f>
        <v>0</v>
      </c>
      <c r="N340" s="152">
        <f>N339-N338</f>
        <v>0</v>
      </c>
      <c r="O340" s="152">
        <f t="shared" ref="O340:T340" si="267">O339-O338</f>
        <v>0</v>
      </c>
      <c r="P340" s="152">
        <f t="shared" si="267"/>
        <v>0</v>
      </c>
      <c r="Q340" s="152">
        <f t="shared" si="267"/>
        <v>0</v>
      </c>
      <c r="R340" s="152">
        <f t="shared" si="267"/>
        <v>0</v>
      </c>
      <c r="S340" s="152">
        <f t="shared" si="267"/>
        <v>0</v>
      </c>
      <c r="T340" s="152">
        <f t="shared" si="267"/>
        <v>0</v>
      </c>
      <c r="U340" s="152">
        <f>U339-U338</f>
        <v>0</v>
      </c>
      <c r="V340" s="152">
        <f>V339-V338</f>
        <v>0</v>
      </c>
      <c r="W340" s="152">
        <f>W339-W338</f>
        <v>0</v>
      </c>
      <c r="X340" s="152">
        <f t="shared" ref="X340" si="268">X339-X338</f>
        <v>0</v>
      </c>
    </row>
    <row r="341" spans="1:24" ht="15" thickBot="1" x14ac:dyDescent="0.35"/>
    <row r="342" spans="1:24" x14ac:dyDescent="0.3">
      <c r="A342" s="157">
        <v>45987</v>
      </c>
      <c r="B342" s="157">
        <f>A342+1</f>
        <v>45988</v>
      </c>
      <c r="C342" s="157">
        <f t="shared" ref="C342" si="269">B342+1</f>
        <v>45989</v>
      </c>
      <c r="D342" s="157">
        <f t="shared" ref="D342" si="270">C342+1</f>
        <v>45990</v>
      </c>
      <c r="E342" s="157">
        <f t="shared" ref="E342" si="271">D342+1</f>
        <v>45991</v>
      </c>
      <c r="F342" s="157">
        <f t="shared" ref="F342" si="272">E342+1</f>
        <v>45992</v>
      </c>
      <c r="G342" s="157">
        <f t="shared" ref="G342" si="273">F342+1</f>
        <v>45993</v>
      </c>
      <c r="H342" s="157"/>
      <c r="I342" s="13" t="s">
        <v>8</v>
      </c>
      <c r="K342" s="59">
        <v>45987</v>
      </c>
      <c r="L342" s="59"/>
      <c r="M342" s="59">
        <f>K342+1</f>
        <v>45988</v>
      </c>
      <c r="N342" s="59"/>
      <c r="O342" s="59">
        <f t="shared" ref="O342" si="274">M342+1</f>
        <v>45989</v>
      </c>
      <c r="P342" s="59"/>
      <c r="Q342" s="59">
        <f t="shared" ref="Q342" si="275">O342+1</f>
        <v>45990</v>
      </c>
      <c r="R342" s="59"/>
      <c r="S342" s="59">
        <f t="shared" ref="S342" si="276">Q342+1</f>
        <v>45991</v>
      </c>
      <c r="T342" s="59"/>
      <c r="U342" s="59">
        <f t="shared" ref="U342" si="277">S342+1</f>
        <v>45992</v>
      </c>
      <c r="V342" s="59"/>
      <c r="W342" s="59">
        <f t="shared" ref="W342" si="278">U342+1</f>
        <v>45993</v>
      </c>
      <c r="X342" s="59"/>
    </row>
    <row r="343" spans="1:24" ht="15" thickBot="1" x14ac:dyDescent="0.35">
      <c r="A343" s="22">
        <v>365</v>
      </c>
      <c r="B343" s="22">
        <v>220</v>
      </c>
      <c r="C343" s="22">
        <v>310</v>
      </c>
      <c r="D343" s="22">
        <v>1238.05</v>
      </c>
      <c r="E343" s="22">
        <v>120</v>
      </c>
      <c r="F343" s="22">
        <v>604</v>
      </c>
      <c r="G343" s="22">
        <v>315</v>
      </c>
      <c r="H343" s="15"/>
      <c r="I343" s="15">
        <v>6025.6</v>
      </c>
      <c r="K343" s="124" t="s">
        <v>10</v>
      </c>
      <c r="L343" s="125" t="s">
        <v>11</v>
      </c>
      <c r="M343" s="126" t="s">
        <v>10</v>
      </c>
      <c r="N343" s="126" t="s">
        <v>11</v>
      </c>
      <c r="O343" s="126" t="s">
        <v>10</v>
      </c>
      <c r="P343" s="126" t="s">
        <v>11</v>
      </c>
      <c r="Q343" s="126" t="s">
        <v>10</v>
      </c>
      <c r="R343" s="126" t="s">
        <v>11</v>
      </c>
      <c r="S343" s="126" t="s">
        <v>10</v>
      </c>
      <c r="T343" s="126" t="s">
        <v>11</v>
      </c>
      <c r="U343" s="126" t="s">
        <v>10</v>
      </c>
      <c r="V343" s="126" t="s">
        <v>11</v>
      </c>
      <c r="W343" s="126" t="s">
        <v>10</v>
      </c>
      <c r="X343" s="143" t="s">
        <v>11</v>
      </c>
    </row>
    <row r="344" spans="1:24" x14ac:dyDescent="0.3">
      <c r="A344" s="22">
        <v>1540</v>
      </c>
      <c r="B344" s="22">
        <v>1660</v>
      </c>
      <c r="C344" s="22">
        <v>2370</v>
      </c>
      <c r="D344" s="22">
        <v>1945</v>
      </c>
      <c r="E344" s="22"/>
      <c r="F344" s="22">
        <v>2885</v>
      </c>
      <c r="G344" s="22">
        <v>1890</v>
      </c>
      <c r="H344" s="15"/>
      <c r="I344" s="15">
        <v>4455.3999999999996</v>
      </c>
      <c r="K344" s="75">
        <v>28</v>
      </c>
      <c r="L344" s="76">
        <v>57.5</v>
      </c>
      <c r="M344" s="77">
        <v>580</v>
      </c>
      <c r="N344" s="77">
        <v>50</v>
      </c>
      <c r="O344" s="77">
        <v>15</v>
      </c>
      <c r="P344" s="77">
        <v>15</v>
      </c>
      <c r="Q344" s="77">
        <v>28</v>
      </c>
      <c r="R344" s="77">
        <v>2145</v>
      </c>
      <c r="S344" s="77">
        <v>80</v>
      </c>
      <c r="T344" s="40">
        <v>15</v>
      </c>
      <c r="U344" s="77">
        <v>15</v>
      </c>
      <c r="V344" s="63">
        <v>240</v>
      </c>
      <c r="W344" s="77">
        <v>360</v>
      </c>
      <c r="X344" s="77">
        <v>50</v>
      </c>
    </row>
    <row r="345" spans="1:24" x14ac:dyDescent="0.3">
      <c r="A345" s="22">
        <v>1484.75</v>
      </c>
      <c r="B345" s="44">
        <v>1495.59</v>
      </c>
      <c r="C345" s="22">
        <f>1314.75+7.69</f>
        <v>1322.44</v>
      </c>
      <c r="D345" s="22">
        <v>1329.11</v>
      </c>
      <c r="E345" s="46"/>
      <c r="F345" s="22">
        <v>890.15</v>
      </c>
      <c r="G345" s="22">
        <v>1362.67</v>
      </c>
      <c r="H345" s="15"/>
      <c r="I345" s="15">
        <v>356.06</v>
      </c>
      <c r="K345" s="21">
        <v>380</v>
      </c>
      <c r="L345" s="79"/>
      <c r="M345" s="43">
        <v>202</v>
      </c>
      <c r="N345" s="43">
        <v>60</v>
      </c>
      <c r="O345" s="77">
        <v>410</v>
      </c>
      <c r="P345" s="43">
        <v>28</v>
      </c>
      <c r="Q345" s="43">
        <v>390</v>
      </c>
      <c r="R345" s="80">
        <v>1226.0999999999999</v>
      </c>
      <c r="S345" s="43">
        <v>84</v>
      </c>
      <c r="T345" s="27"/>
      <c r="U345" s="43">
        <v>350</v>
      </c>
      <c r="V345" s="22">
        <v>426</v>
      </c>
      <c r="W345" s="43">
        <v>304</v>
      </c>
      <c r="X345" s="43">
        <v>127</v>
      </c>
    </row>
    <row r="346" spans="1:24" x14ac:dyDescent="0.3">
      <c r="A346" s="22"/>
      <c r="B346" s="41"/>
      <c r="C346" s="22"/>
      <c r="D346" s="22"/>
      <c r="E346" s="22"/>
      <c r="F346" s="22"/>
      <c r="G346" s="22"/>
      <c r="H346" s="15"/>
      <c r="I346" s="15">
        <v>4675</v>
      </c>
      <c r="K346" s="21">
        <v>326</v>
      </c>
      <c r="L346" s="79"/>
      <c r="M346" s="43">
        <v>2680</v>
      </c>
      <c r="N346" s="43">
        <v>2798</v>
      </c>
      <c r="O346" s="43">
        <v>454</v>
      </c>
      <c r="P346" s="43">
        <v>2439</v>
      </c>
      <c r="Q346" s="43">
        <v>798</v>
      </c>
      <c r="R346" s="84"/>
      <c r="S346" s="43">
        <v>880</v>
      </c>
      <c r="T346" s="27"/>
      <c r="U346" s="43">
        <v>388</v>
      </c>
      <c r="V346" s="22">
        <v>300</v>
      </c>
      <c r="W346" s="43">
        <v>2900</v>
      </c>
      <c r="X346" s="43">
        <v>60</v>
      </c>
    </row>
    <row r="347" spans="1:24" x14ac:dyDescent="0.3">
      <c r="A347" s="22"/>
      <c r="B347" s="22"/>
      <c r="C347" s="22"/>
      <c r="D347" s="22"/>
      <c r="E347" s="22"/>
      <c r="F347" s="22"/>
      <c r="G347" s="22"/>
      <c r="H347" s="15"/>
      <c r="I347" s="15">
        <v>3119</v>
      </c>
      <c r="K347" s="21">
        <v>3720</v>
      </c>
      <c r="L347" s="8"/>
      <c r="M347" s="43">
        <v>580</v>
      </c>
      <c r="N347" s="43"/>
      <c r="O347" s="43">
        <v>4170</v>
      </c>
      <c r="P347" s="43">
        <v>120</v>
      </c>
      <c r="Q347" s="43">
        <v>3580</v>
      </c>
      <c r="R347" s="43"/>
      <c r="S347" s="43"/>
      <c r="T347" s="27"/>
      <c r="U347" s="43">
        <v>4640</v>
      </c>
      <c r="V347" s="22"/>
      <c r="W347" s="43">
        <v>350</v>
      </c>
      <c r="X347" s="43">
        <v>250</v>
      </c>
    </row>
    <row r="348" spans="1:24" x14ac:dyDescent="0.3">
      <c r="A348" s="22"/>
      <c r="B348" s="22"/>
      <c r="C348" s="22"/>
      <c r="D348" s="22"/>
      <c r="E348" s="22"/>
      <c r="F348" s="22"/>
      <c r="G348" s="22"/>
      <c r="H348" s="15"/>
      <c r="I348" s="15">
        <v>7632</v>
      </c>
      <c r="K348" s="128">
        <v>230</v>
      </c>
      <c r="L348" s="79"/>
      <c r="M348" s="43"/>
      <c r="N348" s="43"/>
      <c r="O348" s="43">
        <v>230</v>
      </c>
      <c r="P348" s="43"/>
      <c r="Q348" s="43" t="s">
        <v>63</v>
      </c>
      <c r="R348" s="43"/>
      <c r="S348" s="43"/>
      <c r="T348" s="27"/>
      <c r="U348" s="43">
        <v>510</v>
      </c>
      <c r="V348" s="22"/>
      <c r="W348" s="43"/>
      <c r="X348" s="43"/>
    </row>
    <row r="349" spans="1:24" x14ac:dyDescent="0.3">
      <c r="A349" s="22"/>
      <c r="B349" s="22"/>
      <c r="C349" s="22"/>
      <c r="D349" s="22"/>
      <c r="E349" s="22"/>
      <c r="F349" s="22"/>
      <c r="G349" s="22"/>
      <c r="H349" s="160"/>
      <c r="I349" s="15">
        <v>1940</v>
      </c>
      <c r="K349" s="128"/>
      <c r="L349" s="79"/>
      <c r="N349" s="43"/>
      <c r="O349" s="43"/>
      <c r="P349" s="43"/>
      <c r="Q349" s="43"/>
      <c r="R349" s="43"/>
      <c r="S349" s="43"/>
      <c r="T349" s="27"/>
      <c r="U349" s="43"/>
      <c r="V349" s="22"/>
      <c r="W349" s="43"/>
      <c r="X349" s="43"/>
    </row>
    <row r="350" spans="1:24" x14ac:dyDescent="0.3">
      <c r="A350" s="22"/>
      <c r="B350" s="22"/>
      <c r="C350" s="22"/>
      <c r="D350" s="22"/>
      <c r="E350" s="22"/>
      <c r="F350" s="22"/>
      <c r="G350" s="22"/>
      <c r="H350" s="65"/>
      <c r="I350" s="15">
        <v>2135.9699999999998</v>
      </c>
      <c r="K350" s="21"/>
      <c r="L350" s="79"/>
      <c r="M350" s="43"/>
      <c r="N350" s="43"/>
      <c r="O350" s="43"/>
      <c r="P350" s="43"/>
      <c r="Q350" s="43"/>
      <c r="R350" s="43"/>
      <c r="S350" s="43"/>
      <c r="T350" s="27"/>
      <c r="U350" s="43"/>
      <c r="V350" s="22"/>
      <c r="W350" s="43"/>
      <c r="X350" s="43"/>
    </row>
    <row r="351" spans="1:24" x14ac:dyDescent="0.3">
      <c r="A351" s="22"/>
      <c r="B351" s="22"/>
      <c r="C351" s="22"/>
      <c r="D351" s="22"/>
      <c r="E351" s="22"/>
      <c r="F351" s="22"/>
      <c r="G351" s="22"/>
      <c r="H351" s="37"/>
      <c r="I351" s="15">
        <v>915</v>
      </c>
      <c r="K351" s="24"/>
      <c r="L351" s="56"/>
      <c r="M351" s="22"/>
      <c r="N351" s="22"/>
      <c r="O351" s="43"/>
      <c r="P351" s="22"/>
      <c r="Q351" s="22"/>
      <c r="R351" s="22"/>
      <c r="S351" s="22"/>
      <c r="T351" s="27"/>
      <c r="U351" s="22"/>
      <c r="V351" s="22"/>
      <c r="W351" s="22"/>
      <c r="X351" s="22"/>
    </row>
    <row r="352" spans="1:24" x14ac:dyDescent="0.3">
      <c r="A352" s="22"/>
      <c r="B352" s="22"/>
      <c r="C352" s="22"/>
      <c r="D352" s="22"/>
      <c r="E352" s="22"/>
      <c r="F352" s="22"/>
      <c r="G352" s="22"/>
      <c r="H352" s="37" t="s">
        <v>9</v>
      </c>
      <c r="I352" s="15">
        <v>752</v>
      </c>
      <c r="K352" s="24"/>
      <c r="L352" s="56"/>
      <c r="M352" s="22"/>
      <c r="N352" s="22"/>
      <c r="O352" s="43"/>
      <c r="P352" s="22"/>
      <c r="Q352" s="22"/>
      <c r="R352" s="22"/>
      <c r="S352" s="22"/>
      <c r="T352" s="27"/>
      <c r="U352" s="22"/>
      <c r="V352" s="22"/>
      <c r="W352" s="22"/>
      <c r="X352" s="22"/>
    </row>
    <row r="353" spans="1:24" x14ac:dyDescent="0.3">
      <c r="A353" s="22"/>
      <c r="B353" s="22"/>
      <c r="C353" s="22"/>
      <c r="D353" s="22"/>
      <c r="E353" s="22"/>
      <c r="F353" s="22"/>
      <c r="G353" s="22"/>
      <c r="H353" s="37"/>
      <c r="I353" s="15">
        <v>2464.5</v>
      </c>
      <c r="K353" s="24"/>
      <c r="L353" s="56"/>
      <c r="M353" s="22"/>
      <c r="N353" s="22"/>
      <c r="O353" s="43"/>
      <c r="P353" s="22"/>
      <c r="Q353" s="22"/>
      <c r="R353" s="22"/>
      <c r="S353" s="22"/>
      <c r="T353" s="27"/>
      <c r="U353" s="22"/>
      <c r="V353" s="22"/>
      <c r="W353" s="22"/>
      <c r="X353" s="22"/>
    </row>
    <row r="354" spans="1:24" x14ac:dyDescent="0.3">
      <c r="A354" s="22"/>
      <c r="B354" s="22"/>
      <c r="C354" s="22"/>
      <c r="D354" s="22"/>
      <c r="E354" s="22"/>
      <c r="F354" s="22"/>
      <c r="G354" s="22"/>
      <c r="H354" s="22"/>
      <c r="I354" s="40"/>
      <c r="K354" s="24"/>
      <c r="L354" s="56"/>
      <c r="M354" s="22"/>
      <c r="N354" s="22"/>
      <c r="O354" s="43"/>
      <c r="P354" s="22"/>
      <c r="Q354" s="22"/>
      <c r="R354" s="22"/>
      <c r="S354" s="22"/>
      <c r="T354" s="27"/>
      <c r="U354" s="22"/>
      <c r="V354" s="22"/>
      <c r="W354" s="22"/>
      <c r="X354" s="22"/>
    </row>
    <row r="355" spans="1:24" ht="15" thickBot="1" x14ac:dyDescent="0.35">
      <c r="A355" s="22"/>
      <c r="B355" s="22"/>
      <c r="C355" s="22"/>
      <c r="D355" s="22"/>
      <c r="E355" s="22"/>
      <c r="F355" s="22"/>
      <c r="G355" s="22"/>
      <c r="H355" s="22"/>
      <c r="I355" s="27"/>
      <c r="K355" s="24"/>
      <c r="L355" s="56"/>
      <c r="M355" s="22"/>
      <c r="N355" s="22"/>
      <c r="O355" s="43"/>
      <c r="P355" s="22"/>
      <c r="Q355" s="22"/>
      <c r="R355" s="22"/>
      <c r="S355" s="22"/>
      <c r="T355" s="27"/>
      <c r="U355" s="22"/>
      <c r="V355" s="22"/>
      <c r="W355" s="22"/>
      <c r="X355" s="22"/>
    </row>
    <row r="356" spans="1:24" ht="15.6" thickTop="1" thickBot="1" x14ac:dyDescent="0.35">
      <c r="A356" s="22"/>
      <c r="B356" s="22"/>
      <c r="C356" s="22"/>
      <c r="D356" s="22"/>
      <c r="E356" s="22"/>
      <c r="F356" s="22"/>
      <c r="G356" s="22"/>
      <c r="H356" s="22"/>
      <c r="I356" s="132">
        <f>SUM(I343:I355)</f>
        <v>34470.53</v>
      </c>
      <c r="K356" s="24"/>
      <c r="L356" s="56"/>
      <c r="M356" s="22"/>
      <c r="N356" s="22"/>
      <c r="O356" s="43"/>
      <c r="P356" s="22"/>
      <c r="Q356" s="22"/>
      <c r="R356" s="22"/>
      <c r="S356" s="22"/>
      <c r="T356" s="27"/>
      <c r="U356" s="22"/>
      <c r="V356" s="22"/>
      <c r="W356" s="22"/>
      <c r="X356" s="22"/>
    </row>
    <row r="357" spans="1:24" ht="15" thickTop="1" x14ac:dyDescent="0.3">
      <c r="A357" s="22"/>
      <c r="B357" s="22"/>
      <c r="C357" s="22"/>
      <c r="D357" s="22"/>
      <c r="E357" s="22"/>
      <c r="F357" s="22"/>
      <c r="G357" s="22"/>
      <c r="H357" s="22"/>
      <c r="I357" s="27"/>
      <c r="K357" s="24"/>
      <c r="L357" s="22"/>
      <c r="M357" s="22"/>
      <c r="N357" s="22"/>
      <c r="O357" s="22"/>
      <c r="P357" s="22"/>
      <c r="Q357" s="22"/>
      <c r="R357" s="22"/>
      <c r="S357" s="22"/>
      <c r="T357" s="27"/>
      <c r="U357" s="22"/>
      <c r="V357" s="22"/>
      <c r="W357" s="22"/>
      <c r="X357" s="22"/>
    </row>
    <row r="358" spans="1:24" ht="15" thickBot="1" x14ac:dyDescent="0.35">
      <c r="A358" s="140">
        <f t="shared" ref="A358:H359" si="279">SUM(A343:A357)</f>
        <v>3389.75</v>
      </c>
      <c r="B358" s="140">
        <f t="shared" si="279"/>
        <v>3375.59</v>
      </c>
      <c r="C358" s="140">
        <f t="shared" si="279"/>
        <v>4002.44</v>
      </c>
      <c r="D358" s="140">
        <f t="shared" si="279"/>
        <v>4512.16</v>
      </c>
      <c r="E358" s="140">
        <f t="shared" si="279"/>
        <v>120</v>
      </c>
      <c r="F358" s="140">
        <f t="shared" si="279"/>
        <v>4379.1499999999996</v>
      </c>
      <c r="G358" s="140">
        <f t="shared" si="279"/>
        <v>3567.67</v>
      </c>
      <c r="H358" s="149">
        <f>SUM(A358:G358)+I356</f>
        <v>57817.29</v>
      </c>
      <c r="I358" s="150" t="s">
        <v>64</v>
      </c>
      <c r="K358" s="140">
        <f t="shared" ref="K358:X358" si="280">SUM(K343:K357)</f>
        <v>4684</v>
      </c>
      <c r="L358" s="140">
        <f t="shared" si="280"/>
        <v>57.5</v>
      </c>
      <c r="M358" s="140">
        <f t="shared" si="280"/>
        <v>4042</v>
      </c>
      <c r="N358" s="140">
        <f t="shared" si="280"/>
        <v>2908</v>
      </c>
      <c r="O358" s="140">
        <f t="shared" si="280"/>
        <v>5279</v>
      </c>
      <c r="P358" s="140">
        <f t="shared" si="280"/>
        <v>2602</v>
      </c>
      <c r="Q358" s="140">
        <f t="shared" si="280"/>
        <v>4796</v>
      </c>
      <c r="R358" s="140">
        <f t="shared" si="280"/>
        <v>3371.1</v>
      </c>
      <c r="S358" s="140">
        <f t="shared" si="280"/>
        <v>1044</v>
      </c>
      <c r="T358" s="140">
        <f t="shared" si="280"/>
        <v>15</v>
      </c>
      <c r="U358" s="140">
        <f t="shared" si="280"/>
        <v>5903</v>
      </c>
      <c r="V358" s="140">
        <f t="shared" si="280"/>
        <v>966</v>
      </c>
      <c r="W358" s="140">
        <f t="shared" si="280"/>
        <v>3914</v>
      </c>
      <c r="X358" s="140">
        <f t="shared" si="280"/>
        <v>487</v>
      </c>
    </row>
    <row r="359" spans="1:24" ht="15" thickBot="1" x14ac:dyDescent="0.35">
      <c r="A359" s="140">
        <v>3389.75</v>
      </c>
      <c r="B359" s="140">
        <v>3375.59</v>
      </c>
      <c r="C359" s="140">
        <v>4002.44</v>
      </c>
      <c r="D359" s="140">
        <v>4512.16</v>
      </c>
      <c r="E359" s="140">
        <v>120</v>
      </c>
      <c r="F359" s="140">
        <v>4379.1499999999996</v>
      </c>
      <c r="G359" s="140">
        <v>3567.67</v>
      </c>
      <c r="H359" s="140">
        <f t="shared" si="279"/>
        <v>57817.29</v>
      </c>
      <c r="I359" s="151"/>
      <c r="K359" s="140">
        <v>4684</v>
      </c>
      <c r="L359" s="140">
        <v>57.5</v>
      </c>
      <c r="M359" s="140">
        <v>4042</v>
      </c>
      <c r="N359" s="140">
        <v>2908</v>
      </c>
      <c r="O359" s="140">
        <v>5279</v>
      </c>
      <c r="P359" s="140">
        <v>2602</v>
      </c>
      <c r="Q359" s="140">
        <v>4796</v>
      </c>
      <c r="R359" s="140">
        <v>3371.1</v>
      </c>
      <c r="S359" s="140">
        <v>1044</v>
      </c>
      <c r="T359" s="140">
        <v>15</v>
      </c>
      <c r="U359" s="140">
        <v>5903</v>
      </c>
      <c r="V359" s="140">
        <v>966</v>
      </c>
      <c r="W359" s="140">
        <v>3914</v>
      </c>
      <c r="X359" s="140">
        <v>487</v>
      </c>
    </row>
    <row r="360" spans="1:24" ht="15" thickBot="1" x14ac:dyDescent="0.35">
      <c r="A360" s="63">
        <f>A358-A359</f>
        <v>0</v>
      </c>
      <c r="B360" s="63">
        <f>B358-B359</f>
        <v>0</v>
      </c>
      <c r="C360" s="63">
        <f t="shared" ref="C360:H360" si="281">C358-C359</f>
        <v>0</v>
      </c>
      <c r="D360" s="63">
        <f t="shared" si="281"/>
        <v>0</v>
      </c>
      <c r="E360" s="63">
        <f t="shared" si="281"/>
        <v>0</v>
      </c>
      <c r="F360" s="63">
        <f t="shared" si="281"/>
        <v>0</v>
      </c>
      <c r="G360" s="63">
        <f t="shared" si="281"/>
        <v>0</v>
      </c>
      <c r="H360" s="63">
        <f t="shared" si="281"/>
        <v>0</v>
      </c>
      <c r="I360" s="22"/>
      <c r="K360" s="152">
        <f>K358-K359</f>
        <v>0</v>
      </c>
      <c r="L360" s="152">
        <f>L358-L359</f>
        <v>0</v>
      </c>
      <c r="M360" s="152">
        <f>M359-M358</f>
        <v>0</v>
      </c>
      <c r="N360" s="152">
        <f>N359-N358</f>
        <v>0</v>
      </c>
      <c r="O360" s="152">
        <f t="shared" ref="O360:S360" si="282">O359-O358</f>
        <v>0</v>
      </c>
      <c r="P360" s="152">
        <f t="shared" si="282"/>
        <v>0</v>
      </c>
      <c r="Q360" s="152">
        <f t="shared" si="282"/>
        <v>0</v>
      </c>
      <c r="R360" s="152">
        <f t="shared" si="282"/>
        <v>0</v>
      </c>
      <c r="S360" s="152">
        <f t="shared" si="282"/>
        <v>0</v>
      </c>
      <c r="T360" s="152">
        <f>T359-T358</f>
        <v>0</v>
      </c>
      <c r="U360" s="152">
        <f>U359-U358</f>
        <v>0</v>
      </c>
      <c r="V360" s="152">
        <f>V359-V358</f>
        <v>0</v>
      </c>
      <c r="W360" s="152">
        <f>W359-W358</f>
        <v>0</v>
      </c>
      <c r="X360" s="152">
        <f t="shared" ref="X360" si="283">X359-X358</f>
        <v>0</v>
      </c>
    </row>
    <row r="361" spans="1:24" ht="15" thickBot="1" x14ac:dyDescent="0.35"/>
    <row r="362" spans="1:24" x14ac:dyDescent="0.3">
      <c r="A362" s="157">
        <v>45994</v>
      </c>
      <c r="B362" s="157">
        <f>A362+1</f>
        <v>45995</v>
      </c>
      <c r="C362" s="157">
        <f t="shared" ref="C362" si="284">B362+1</f>
        <v>45996</v>
      </c>
      <c r="D362" s="157">
        <f t="shared" ref="D362" si="285">C362+1</f>
        <v>45997</v>
      </c>
      <c r="E362" s="157">
        <f>D362</f>
        <v>45997</v>
      </c>
      <c r="F362" s="157">
        <f t="shared" ref="F362" si="286">E362+1</f>
        <v>45998</v>
      </c>
      <c r="G362" s="157">
        <f t="shared" ref="G362" si="287">F362+1</f>
        <v>45999</v>
      </c>
      <c r="H362" s="157"/>
      <c r="I362" s="13" t="s">
        <v>8</v>
      </c>
      <c r="K362" s="59">
        <v>45994</v>
      </c>
      <c r="L362" s="59"/>
      <c r="M362" s="59">
        <f>K362+1</f>
        <v>45995</v>
      </c>
      <c r="N362" s="59"/>
      <c r="O362" s="59">
        <f t="shared" ref="O362" si="288">M362+1</f>
        <v>45996</v>
      </c>
      <c r="P362" s="59"/>
      <c r="Q362" s="59">
        <f t="shared" ref="Q362" si="289">O362+1</f>
        <v>45997</v>
      </c>
      <c r="R362" s="59"/>
      <c r="S362" s="59">
        <f t="shared" ref="S362" si="290">Q362+1</f>
        <v>45998</v>
      </c>
      <c r="T362" s="59"/>
      <c r="U362" s="59">
        <f t="shared" ref="U362" si="291">S362+1</f>
        <v>45999</v>
      </c>
      <c r="V362" s="59"/>
      <c r="W362" s="59">
        <f t="shared" ref="W362" si="292">U362+1</f>
        <v>46000</v>
      </c>
      <c r="X362" s="59"/>
    </row>
    <row r="363" spans="1:24" ht="15" thickBot="1" x14ac:dyDescent="0.35">
      <c r="A363" s="22">
        <v>384</v>
      </c>
      <c r="B363" s="22">
        <v>500</v>
      </c>
      <c r="C363" s="22">
        <v>450</v>
      </c>
      <c r="D363" s="22">
        <v>460</v>
      </c>
      <c r="E363" s="22">
        <v>215</v>
      </c>
      <c r="F363" s="22">
        <v>570</v>
      </c>
      <c r="G363" s="22">
        <v>300</v>
      </c>
      <c r="H363" s="15"/>
      <c r="I363" s="15">
        <v>6025.6</v>
      </c>
      <c r="K363" s="124" t="s">
        <v>10</v>
      </c>
      <c r="L363" s="125" t="s">
        <v>11</v>
      </c>
      <c r="M363" s="126" t="s">
        <v>10</v>
      </c>
      <c r="N363" s="126" t="s">
        <v>11</v>
      </c>
      <c r="O363" s="126" t="s">
        <v>10</v>
      </c>
      <c r="P363" s="126" t="s">
        <v>11</v>
      </c>
      <c r="Q363" s="126" t="s">
        <v>10</v>
      </c>
      <c r="R363" s="126" t="s">
        <v>11</v>
      </c>
      <c r="S363" s="126" t="s">
        <v>10</v>
      </c>
      <c r="T363" s="126" t="s">
        <v>11</v>
      </c>
      <c r="U363" s="126" t="s">
        <v>10</v>
      </c>
      <c r="V363" s="126" t="s">
        <v>11</v>
      </c>
      <c r="W363" s="126" t="s">
        <v>10</v>
      </c>
      <c r="X363" s="143" t="s">
        <v>11</v>
      </c>
    </row>
    <row r="364" spans="1:24" x14ac:dyDescent="0.3">
      <c r="A364" s="22">
        <v>1980</v>
      </c>
      <c r="B364" s="22">
        <v>1140</v>
      </c>
      <c r="C364" s="22">
        <v>1730</v>
      </c>
      <c r="D364" s="22">
        <v>547.5</v>
      </c>
      <c r="E364" s="22"/>
      <c r="F364" s="22">
        <v>1875</v>
      </c>
      <c r="G364" s="22">
        <v>2525</v>
      </c>
      <c r="H364" s="15"/>
      <c r="I364" s="15">
        <v>4455.3999999999996</v>
      </c>
      <c r="K364" s="75">
        <v>410</v>
      </c>
      <c r="L364" s="76">
        <v>260.5</v>
      </c>
      <c r="M364" s="77">
        <v>370</v>
      </c>
      <c r="N364" s="77">
        <v>22.9</v>
      </c>
      <c r="O364" s="77">
        <v>520</v>
      </c>
      <c r="P364" s="77">
        <v>20</v>
      </c>
      <c r="Q364" s="77">
        <v>290</v>
      </c>
      <c r="R364" s="77">
        <v>75</v>
      </c>
      <c r="S364" s="77">
        <v>100</v>
      </c>
      <c r="T364" s="40">
        <v>15</v>
      </c>
      <c r="U364" s="77">
        <v>32</v>
      </c>
      <c r="V364" s="63">
        <v>50</v>
      </c>
      <c r="W364" s="77">
        <v>15</v>
      </c>
      <c r="X364" s="77">
        <v>30</v>
      </c>
    </row>
    <row r="365" spans="1:24" x14ac:dyDescent="0.3">
      <c r="A365" s="22">
        <v>1246.21</v>
      </c>
      <c r="B365" s="44">
        <v>1362.67</v>
      </c>
      <c r="C365" s="22">
        <v>1246.21</v>
      </c>
      <c r="D365" s="22">
        <v>4769.99</v>
      </c>
      <c r="E365" s="46"/>
      <c r="F365" s="22">
        <v>1060.1500000000001</v>
      </c>
      <c r="G365" s="22">
        <v>1362.67</v>
      </c>
      <c r="H365" s="15"/>
      <c r="I365" s="15">
        <v>4390</v>
      </c>
      <c r="K365" s="21">
        <v>340</v>
      </c>
      <c r="L365" s="79">
        <v>173.9</v>
      </c>
      <c r="M365" s="43">
        <v>226</v>
      </c>
      <c r="N365" s="43">
        <v>50</v>
      </c>
      <c r="O365" s="77">
        <v>454</v>
      </c>
      <c r="P365" s="43">
        <v>60</v>
      </c>
      <c r="Q365" s="43">
        <v>352</v>
      </c>
      <c r="R365" s="80">
        <v>110</v>
      </c>
      <c r="S365" s="43">
        <v>84</v>
      </c>
      <c r="T365" s="27"/>
      <c r="U365" s="43">
        <v>500</v>
      </c>
      <c r="V365" s="22"/>
      <c r="W365" s="43">
        <v>440</v>
      </c>
      <c r="X365" s="43">
        <v>162.5</v>
      </c>
    </row>
    <row r="366" spans="1:24" x14ac:dyDescent="0.3">
      <c r="A366" s="22"/>
      <c r="B366" s="41"/>
      <c r="C366" s="22"/>
      <c r="D366" s="22"/>
      <c r="E366" s="22"/>
      <c r="F366" s="22"/>
      <c r="G366" s="22"/>
      <c r="H366" s="15"/>
      <c r="I366" s="15">
        <v>2869</v>
      </c>
      <c r="K366" s="21">
        <v>3390</v>
      </c>
      <c r="L366" s="79"/>
      <c r="M366" s="43">
        <v>3010</v>
      </c>
      <c r="N366" s="43">
        <v>60</v>
      </c>
      <c r="O366" s="43">
        <v>4100</v>
      </c>
      <c r="P366" s="43">
        <v>141.69999999999999</v>
      </c>
      <c r="Q366" s="43">
        <v>1885</v>
      </c>
      <c r="R366" s="84">
        <v>900</v>
      </c>
      <c r="S366" s="43">
        <v>750</v>
      </c>
      <c r="T366" s="27"/>
      <c r="U366" s="43">
        <v>322</v>
      </c>
      <c r="V366" s="22"/>
      <c r="W366" s="43">
        <v>460</v>
      </c>
      <c r="X366" s="43">
        <v>399.9</v>
      </c>
    </row>
    <row r="367" spans="1:24" x14ac:dyDescent="0.3">
      <c r="A367" s="22"/>
      <c r="B367" s="22"/>
      <c r="C367" s="22"/>
      <c r="D367" s="22"/>
      <c r="E367" s="22"/>
      <c r="F367" s="22"/>
      <c r="G367" s="22"/>
      <c r="H367" s="15"/>
      <c r="I367" s="15">
        <v>6254</v>
      </c>
      <c r="K367" s="21">
        <v>510</v>
      </c>
      <c r="L367" s="8"/>
      <c r="M367" s="43">
        <v>510</v>
      </c>
      <c r="N367" s="43"/>
      <c r="O367" s="43">
        <v>490</v>
      </c>
      <c r="P367" s="43"/>
      <c r="Q367" s="43">
        <v>1120</v>
      </c>
      <c r="R367" s="43"/>
      <c r="S367" s="43"/>
      <c r="T367" s="27"/>
      <c r="U367" s="43">
        <v>4540</v>
      </c>
      <c r="V367" s="22"/>
      <c r="W367" s="43">
        <v>3700</v>
      </c>
      <c r="X367" s="43">
        <v>1980</v>
      </c>
    </row>
    <row r="368" spans="1:24" x14ac:dyDescent="0.3">
      <c r="A368" s="22"/>
      <c r="B368" s="22"/>
      <c r="C368" s="22"/>
      <c r="D368" s="22"/>
      <c r="E368" s="22"/>
      <c r="F368" s="22"/>
      <c r="G368" s="22"/>
      <c r="H368" s="15"/>
      <c r="I368" s="15">
        <v>1728</v>
      </c>
      <c r="K368" s="128"/>
      <c r="L368" s="79"/>
      <c r="M368" s="43"/>
      <c r="N368" s="43"/>
      <c r="O368" s="43">
        <v>15</v>
      </c>
      <c r="P368" s="43"/>
      <c r="Q368" s="43"/>
      <c r="R368" s="43"/>
      <c r="S368" s="43"/>
      <c r="T368" s="27"/>
      <c r="U368" s="43">
        <v>650</v>
      </c>
      <c r="V368" s="22"/>
      <c r="W368" s="43">
        <v>510</v>
      </c>
      <c r="X368" s="43"/>
    </row>
    <row r="369" spans="1:24" x14ac:dyDescent="0.3">
      <c r="A369" s="22"/>
      <c r="B369" s="22"/>
      <c r="C369" s="22"/>
      <c r="D369" s="22"/>
      <c r="E369" s="22"/>
      <c r="F369" s="22"/>
      <c r="G369" s="22"/>
      <c r="H369" s="160"/>
      <c r="I369" s="15">
        <v>1414.63</v>
      </c>
      <c r="K369" s="128"/>
      <c r="L369" s="79"/>
      <c r="N369" s="43"/>
      <c r="O369" s="43"/>
      <c r="P369" s="43"/>
      <c r="Q369" s="43"/>
      <c r="R369" s="43"/>
      <c r="S369" s="43"/>
      <c r="T369" s="27"/>
      <c r="U369" s="43"/>
      <c r="V369" s="22"/>
      <c r="W369" s="43"/>
      <c r="X369" s="43"/>
    </row>
    <row r="370" spans="1:24" x14ac:dyDescent="0.3">
      <c r="A370" s="22"/>
      <c r="B370" s="22"/>
      <c r="C370" s="22"/>
      <c r="D370" s="22"/>
      <c r="E370" s="22"/>
      <c r="F370" s="22"/>
      <c r="G370" s="22"/>
      <c r="H370" s="65"/>
      <c r="I370" s="15">
        <v>1422</v>
      </c>
      <c r="K370" s="21"/>
      <c r="L370" s="79"/>
      <c r="M370" s="43"/>
      <c r="N370" s="43"/>
      <c r="O370" s="43"/>
      <c r="P370" s="43"/>
      <c r="Q370" s="43"/>
      <c r="R370" s="43"/>
      <c r="S370" s="43"/>
      <c r="T370" s="27"/>
      <c r="U370" s="43"/>
      <c r="V370" s="22"/>
      <c r="W370" s="43"/>
      <c r="X370" s="43"/>
    </row>
    <row r="371" spans="1:24" x14ac:dyDescent="0.3">
      <c r="A371" s="22"/>
      <c r="B371" s="22"/>
      <c r="C371" s="22"/>
      <c r="D371" s="22"/>
      <c r="E371" s="22"/>
      <c r="F371" s="22"/>
      <c r="G371" s="22"/>
      <c r="H371" s="37"/>
      <c r="I371" s="15">
        <v>793</v>
      </c>
      <c r="K371" s="24"/>
      <c r="L371" s="56"/>
      <c r="M371" s="22"/>
      <c r="N371" s="22"/>
      <c r="O371" s="43"/>
      <c r="P371" s="22"/>
      <c r="Q371" s="22"/>
      <c r="R371" s="22"/>
      <c r="S371" s="22"/>
      <c r="T371" s="27"/>
      <c r="U371" s="22"/>
      <c r="V371" s="22"/>
      <c r="W371" s="22"/>
      <c r="X371" s="22"/>
    </row>
    <row r="372" spans="1:24" x14ac:dyDescent="0.3">
      <c r="A372" s="22"/>
      <c r="B372" s="22"/>
      <c r="C372" s="22"/>
      <c r="D372" s="22"/>
      <c r="E372" s="22"/>
      <c r="F372" s="22"/>
      <c r="G372" s="22"/>
      <c r="H372" s="37" t="s">
        <v>9</v>
      </c>
      <c r="I372" s="15">
        <v>2464.5</v>
      </c>
      <c r="K372" s="24"/>
      <c r="L372" s="56"/>
      <c r="M372" s="22"/>
      <c r="N372" s="22"/>
      <c r="O372" s="43"/>
      <c r="P372" s="22"/>
      <c r="Q372" s="22"/>
      <c r="R372" s="22"/>
      <c r="S372" s="22"/>
      <c r="T372" s="27"/>
      <c r="U372" s="22"/>
      <c r="V372" s="22"/>
      <c r="W372" s="22"/>
      <c r="X372" s="22"/>
    </row>
    <row r="373" spans="1:24" x14ac:dyDescent="0.3">
      <c r="A373" s="22"/>
      <c r="B373" s="22"/>
      <c r="C373" s="22"/>
      <c r="D373" s="22"/>
      <c r="E373" s="22"/>
      <c r="F373" s="22"/>
      <c r="G373" s="22"/>
      <c r="H373" s="37"/>
      <c r="I373" s="15"/>
      <c r="K373" s="24"/>
      <c r="L373" s="56"/>
      <c r="M373" s="22"/>
      <c r="N373" s="22"/>
      <c r="O373" s="43"/>
      <c r="P373" s="22"/>
      <c r="Q373" s="22"/>
      <c r="R373" s="22"/>
      <c r="S373" s="22"/>
      <c r="T373" s="27"/>
      <c r="U373" s="22"/>
      <c r="V373" s="22"/>
      <c r="W373" s="22"/>
      <c r="X373" s="22"/>
    </row>
    <row r="374" spans="1:24" x14ac:dyDescent="0.3">
      <c r="A374" s="22"/>
      <c r="B374" s="22"/>
      <c r="C374" s="22"/>
      <c r="D374" s="22"/>
      <c r="E374" s="22"/>
      <c r="F374" s="22"/>
      <c r="G374" s="22"/>
      <c r="H374" s="22"/>
      <c r="I374" s="40"/>
      <c r="K374" s="24"/>
      <c r="L374" s="56"/>
      <c r="M374" s="22"/>
      <c r="N374" s="22"/>
      <c r="O374" s="43"/>
      <c r="P374" s="22"/>
      <c r="Q374" s="22"/>
      <c r="R374" s="22"/>
      <c r="S374" s="22"/>
      <c r="T374" s="27"/>
      <c r="U374" s="22"/>
      <c r="V374" s="22"/>
      <c r="W374" s="22"/>
      <c r="X374" s="22"/>
    </row>
    <row r="375" spans="1:24" ht="15" thickBot="1" x14ac:dyDescent="0.35">
      <c r="A375" s="22"/>
      <c r="B375" s="22"/>
      <c r="C375" s="22"/>
      <c r="D375" s="22"/>
      <c r="E375" s="22"/>
      <c r="F375" s="22"/>
      <c r="G375" s="22"/>
      <c r="H375" s="22"/>
      <c r="I375" s="27"/>
      <c r="K375" s="24"/>
      <c r="L375" s="56"/>
      <c r="M375" s="22"/>
      <c r="N375" s="22"/>
      <c r="O375" s="43"/>
      <c r="P375" s="22"/>
      <c r="Q375" s="22"/>
      <c r="R375" s="22"/>
      <c r="S375" s="22"/>
      <c r="T375" s="27"/>
      <c r="U375" s="22"/>
      <c r="V375" s="22"/>
      <c r="W375" s="22"/>
      <c r="X375" s="22"/>
    </row>
    <row r="376" spans="1:24" ht="15.6" thickTop="1" thickBot="1" x14ac:dyDescent="0.35">
      <c r="A376" s="22"/>
      <c r="B376" s="22"/>
      <c r="C376" s="22"/>
      <c r="D376" s="22"/>
      <c r="E376" s="22"/>
      <c r="F376" s="22"/>
      <c r="G376" s="22"/>
      <c r="H376" s="22"/>
      <c r="I376" s="132">
        <f>SUM(I363:I375)</f>
        <v>31816.13</v>
      </c>
      <c r="K376" s="24"/>
      <c r="L376" s="56"/>
      <c r="M376" s="22"/>
      <c r="N376" s="22"/>
      <c r="O376" s="43"/>
      <c r="P376" s="22"/>
      <c r="Q376" s="22"/>
      <c r="R376" s="22"/>
      <c r="S376" s="22"/>
      <c r="T376" s="27"/>
      <c r="U376" s="22"/>
      <c r="V376" s="22"/>
      <c r="W376" s="22"/>
      <c r="X376" s="22"/>
    </row>
    <row r="377" spans="1:24" ht="15" thickTop="1" x14ac:dyDescent="0.3">
      <c r="A377" s="22"/>
      <c r="B377" s="22"/>
      <c r="C377" s="22"/>
      <c r="D377" s="22"/>
      <c r="E377" s="22"/>
      <c r="F377" s="22"/>
      <c r="G377" s="22"/>
      <c r="H377" s="22"/>
      <c r="I377" s="27"/>
      <c r="K377" s="24"/>
      <c r="L377" s="22"/>
      <c r="M377" s="22"/>
      <c r="N377" s="22"/>
      <c r="O377" s="22"/>
      <c r="P377" s="22"/>
      <c r="Q377" s="22"/>
      <c r="R377" s="22"/>
      <c r="S377" s="22"/>
      <c r="T377" s="27"/>
      <c r="U377" s="22"/>
      <c r="V377" s="22"/>
      <c r="W377" s="22"/>
      <c r="X377" s="22"/>
    </row>
    <row r="378" spans="1:24" ht="15" thickBot="1" x14ac:dyDescent="0.35">
      <c r="A378" s="140">
        <f t="shared" ref="A378:G378" si="293">SUM(A363:A377)</f>
        <v>3610.21</v>
      </c>
      <c r="B378" s="140">
        <f t="shared" si="293"/>
        <v>3002.67</v>
      </c>
      <c r="C378" s="140">
        <f t="shared" si="293"/>
        <v>3426.21</v>
      </c>
      <c r="D378" s="140">
        <f t="shared" si="293"/>
        <v>5777.49</v>
      </c>
      <c r="E378" s="140">
        <f t="shared" si="293"/>
        <v>215</v>
      </c>
      <c r="F378" s="140">
        <f t="shared" si="293"/>
        <v>3505.15</v>
      </c>
      <c r="G378" s="140">
        <f t="shared" si="293"/>
        <v>4187.67</v>
      </c>
      <c r="H378" s="149">
        <f>SUM(A378:G378)+I376</f>
        <v>55540.53</v>
      </c>
      <c r="I378" s="150" t="s">
        <v>64</v>
      </c>
      <c r="K378" s="140">
        <f t="shared" ref="K378:X378" si="294">SUM(K363:K377)</f>
        <v>4650</v>
      </c>
      <c r="L378" s="140">
        <f t="shared" si="294"/>
        <v>434.4</v>
      </c>
      <c r="M378" s="140">
        <f t="shared" si="294"/>
        <v>4116</v>
      </c>
      <c r="N378" s="140">
        <f t="shared" si="294"/>
        <v>132.9</v>
      </c>
      <c r="O378" s="140">
        <f t="shared" si="294"/>
        <v>5579</v>
      </c>
      <c r="P378" s="140">
        <f t="shared" si="294"/>
        <v>221.7</v>
      </c>
      <c r="Q378" s="140">
        <f t="shared" si="294"/>
        <v>3647</v>
      </c>
      <c r="R378" s="140">
        <f t="shared" si="294"/>
        <v>1085</v>
      </c>
      <c r="S378" s="140">
        <f t="shared" si="294"/>
        <v>934</v>
      </c>
      <c r="T378" s="140">
        <f t="shared" si="294"/>
        <v>15</v>
      </c>
      <c r="U378" s="140">
        <f t="shared" si="294"/>
        <v>6044</v>
      </c>
      <c r="V378" s="140">
        <f t="shared" si="294"/>
        <v>50</v>
      </c>
      <c r="W378" s="140">
        <f t="shared" si="294"/>
        <v>5125</v>
      </c>
      <c r="X378" s="140">
        <f t="shared" si="294"/>
        <v>2572.4</v>
      </c>
    </row>
    <row r="379" spans="1:24" ht="15" thickBot="1" x14ac:dyDescent="0.35">
      <c r="A379" s="140">
        <v>3610.21</v>
      </c>
      <c r="B379" s="140">
        <v>3002.67</v>
      </c>
      <c r="C379" s="140">
        <v>3426.21</v>
      </c>
      <c r="D379" s="140">
        <v>5777.49</v>
      </c>
      <c r="E379" s="140">
        <v>215</v>
      </c>
      <c r="F379" s="140">
        <v>3505.15</v>
      </c>
      <c r="G379" s="140">
        <v>4187.67</v>
      </c>
      <c r="H379" s="140">
        <f t="shared" ref="H379" si="295">SUM(H364:H378)</f>
        <v>55540.53</v>
      </c>
      <c r="I379" s="151"/>
      <c r="K379" s="140">
        <v>4650</v>
      </c>
      <c r="L379" s="140">
        <v>434.4</v>
      </c>
      <c r="M379" s="140">
        <v>4116</v>
      </c>
      <c r="N379" s="140">
        <v>132.9</v>
      </c>
      <c r="O379" s="140">
        <v>5579</v>
      </c>
      <c r="P379" s="140">
        <v>221.7</v>
      </c>
      <c r="Q379" s="140">
        <v>3647</v>
      </c>
      <c r="R379" s="140">
        <v>1085</v>
      </c>
      <c r="S379" s="140">
        <v>934</v>
      </c>
      <c r="T379" s="140">
        <v>15</v>
      </c>
      <c r="U379" s="140">
        <v>6044</v>
      </c>
      <c r="V379" s="140">
        <v>50</v>
      </c>
      <c r="W379" s="140">
        <v>5125</v>
      </c>
      <c r="X379" s="140">
        <v>2572.4</v>
      </c>
    </row>
    <row r="380" spans="1:24" ht="15" thickBot="1" x14ac:dyDescent="0.35">
      <c r="A380" s="63">
        <f>A378-A379</f>
        <v>0</v>
      </c>
      <c r="B380" s="63">
        <f>B378-B379</f>
        <v>0</v>
      </c>
      <c r="C380" s="63">
        <f t="shared" ref="C380:H380" si="296">C378-C379</f>
        <v>0</v>
      </c>
      <c r="D380" s="63">
        <f t="shared" si="296"/>
        <v>0</v>
      </c>
      <c r="E380" s="63">
        <f t="shared" si="296"/>
        <v>0</v>
      </c>
      <c r="F380" s="63">
        <f t="shared" si="296"/>
        <v>0</v>
      </c>
      <c r="G380" s="63">
        <f t="shared" si="296"/>
        <v>0</v>
      </c>
      <c r="H380" s="63">
        <f t="shared" si="296"/>
        <v>0</v>
      </c>
      <c r="I380" s="22"/>
      <c r="K380" s="152">
        <f>K378-K379</f>
        <v>0</v>
      </c>
      <c r="L380" s="152">
        <f>L378-L379</f>
        <v>0</v>
      </c>
      <c r="M380" s="152">
        <f>M379-M378</f>
        <v>0</v>
      </c>
      <c r="N380" s="152">
        <f>N379-N378</f>
        <v>0</v>
      </c>
      <c r="O380" s="152">
        <f t="shared" ref="O380:S380" si="297">O379-O378</f>
        <v>0</v>
      </c>
      <c r="P380" s="152">
        <f t="shared" si="297"/>
        <v>0</v>
      </c>
      <c r="Q380" s="152">
        <f t="shared" si="297"/>
        <v>0</v>
      </c>
      <c r="R380" s="152">
        <f t="shared" si="297"/>
        <v>0</v>
      </c>
      <c r="S380" s="152">
        <f t="shared" si="297"/>
        <v>0</v>
      </c>
      <c r="T380" s="152">
        <f>T379-T378</f>
        <v>0</v>
      </c>
      <c r="U380" s="152">
        <f>U379-U378</f>
        <v>0</v>
      </c>
      <c r="V380" s="152">
        <f>V379-V378</f>
        <v>0</v>
      </c>
      <c r="W380" s="152">
        <f>W379-W378</f>
        <v>0</v>
      </c>
      <c r="X380" s="152">
        <f t="shared" ref="X380" si="298">X379-X378</f>
        <v>0</v>
      </c>
    </row>
    <row r="381" spans="1:24" ht="15" thickBot="1" x14ac:dyDescent="0.35"/>
    <row r="382" spans="1:24" x14ac:dyDescent="0.3">
      <c r="A382" s="157">
        <v>46001</v>
      </c>
      <c r="B382" s="157">
        <f>A382+1</f>
        <v>46002</v>
      </c>
      <c r="C382" s="157">
        <f t="shared" ref="C382" si="299">B382+1</f>
        <v>46003</v>
      </c>
      <c r="D382" s="157">
        <f t="shared" ref="D382" si="300">C382+1</f>
        <v>46004</v>
      </c>
      <c r="E382" s="157">
        <f>D382+1</f>
        <v>46005</v>
      </c>
      <c r="F382" s="157">
        <f t="shared" ref="F382" si="301">E382+1</f>
        <v>46006</v>
      </c>
      <c r="G382" s="157">
        <f t="shared" ref="G382" si="302">F382+1</f>
        <v>46007</v>
      </c>
      <c r="H382" s="157"/>
      <c r="I382" s="13" t="s">
        <v>8</v>
      </c>
      <c r="K382" s="59">
        <v>46001</v>
      </c>
      <c r="L382" s="59"/>
      <c r="M382" s="59">
        <f>K382+1</f>
        <v>46002</v>
      </c>
      <c r="N382" s="59"/>
      <c r="O382" s="59">
        <f t="shared" ref="O382" si="303">M382+1</f>
        <v>46003</v>
      </c>
      <c r="P382" s="59"/>
      <c r="Q382" s="59">
        <f t="shared" ref="Q382" si="304">O382+1</f>
        <v>46004</v>
      </c>
      <c r="R382" s="59"/>
      <c r="S382" s="59">
        <f t="shared" ref="S382" si="305">Q382+1</f>
        <v>46005</v>
      </c>
      <c r="T382" s="59"/>
      <c r="U382" s="59">
        <f t="shared" ref="U382" si="306">S382+1</f>
        <v>46006</v>
      </c>
      <c r="V382" s="59"/>
      <c r="W382" s="59">
        <f t="shared" ref="W382" si="307">U382+1</f>
        <v>46007</v>
      </c>
      <c r="X382" s="59"/>
    </row>
    <row r="383" spans="1:24" ht="15" thickBot="1" x14ac:dyDescent="0.35">
      <c r="A383" s="22">
        <v>539</v>
      </c>
      <c r="B383" s="22">
        <v>250</v>
      </c>
      <c r="C383" s="22">
        <v>420</v>
      </c>
      <c r="D383" s="22">
        <v>345</v>
      </c>
      <c r="E383" s="22">
        <v>360</v>
      </c>
      <c r="F383" s="22">
        <v>490</v>
      </c>
      <c r="G383" s="22">
        <v>135</v>
      </c>
      <c r="H383" s="15"/>
      <c r="I383" s="15">
        <v>5724.32</v>
      </c>
      <c r="K383" s="124" t="s">
        <v>10</v>
      </c>
      <c r="L383" s="125" t="s">
        <v>11</v>
      </c>
      <c r="M383" s="126" t="s">
        <v>10</v>
      </c>
      <c r="N383" s="126" t="s">
        <v>11</v>
      </c>
      <c r="O383" s="126" t="s">
        <v>10</v>
      </c>
      <c r="P383" s="126" t="s">
        <v>11</v>
      </c>
      <c r="Q383" s="126" t="s">
        <v>10</v>
      </c>
      <c r="R383" s="126" t="s">
        <v>11</v>
      </c>
      <c r="S383" s="126" t="s">
        <v>10</v>
      </c>
      <c r="T383" s="126" t="s">
        <v>11</v>
      </c>
      <c r="U383" s="126" t="s">
        <v>10</v>
      </c>
      <c r="V383" s="126" t="s">
        <v>11</v>
      </c>
      <c r="W383" s="126" t="s">
        <v>10</v>
      </c>
      <c r="X383" s="143" t="s">
        <v>11</v>
      </c>
    </row>
    <row r="384" spans="1:24" x14ac:dyDescent="0.3">
      <c r="A384" s="22">
        <v>2525</v>
      </c>
      <c r="B384" s="22">
        <v>1130</v>
      </c>
      <c r="C384" s="22">
        <v>1710</v>
      </c>
      <c r="D384" s="22">
        <v>780</v>
      </c>
      <c r="E384" s="22"/>
      <c r="F384" s="22">
        <v>2090</v>
      </c>
      <c r="G384" s="22">
        <v>205</v>
      </c>
      <c r="H384" s="15"/>
      <c r="I384" s="15">
        <v>4455.3999999999996</v>
      </c>
      <c r="K384" s="75">
        <v>470</v>
      </c>
      <c r="L384" s="76">
        <v>34.5</v>
      </c>
      <c r="M384" s="77">
        <v>570</v>
      </c>
      <c r="N384" s="77">
        <v>94</v>
      </c>
      <c r="O384" s="77">
        <v>15</v>
      </c>
      <c r="P384" s="77">
        <v>27.5</v>
      </c>
      <c r="Q384" s="77">
        <v>390</v>
      </c>
      <c r="R384" s="77">
        <v>42.5</v>
      </c>
      <c r="S384" s="77">
        <v>100</v>
      </c>
      <c r="T384" s="40">
        <v>15</v>
      </c>
      <c r="U384" s="77">
        <v>15</v>
      </c>
      <c r="V384" s="63">
        <v>42.5</v>
      </c>
      <c r="W384" s="77">
        <v>530</v>
      </c>
      <c r="X384" s="77">
        <v>155</v>
      </c>
    </row>
    <row r="385" spans="1:24" x14ac:dyDescent="0.3">
      <c r="A385" s="22">
        <v>1150.3699999999999</v>
      </c>
      <c r="B385" s="44">
        <v>1198.29</v>
      </c>
      <c r="C385" s="22">
        <v>1198.29</v>
      </c>
      <c r="D385" s="22">
        <v>4769.97</v>
      </c>
      <c r="E385" s="46"/>
      <c r="F385" s="22">
        <v>1150.3699999999999</v>
      </c>
      <c r="G385" s="22">
        <v>815</v>
      </c>
      <c r="H385" s="15"/>
      <c r="I385" s="15">
        <v>876.5</v>
      </c>
      <c r="K385" s="21">
        <v>342</v>
      </c>
      <c r="L385" s="76">
        <v>60</v>
      </c>
      <c r="M385" s="43">
        <v>208</v>
      </c>
      <c r="N385" s="43"/>
      <c r="O385" s="77">
        <v>430</v>
      </c>
      <c r="P385" s="43">
        <v>60</v>
      </c>
      <c r="Q385" s="43">
        <v>192</v>
      </c>
      <c r="R385" s="80">
        <v>162</v>
      </c>
      <c r="S385" s="43">
        <v>84</v>
      </c>
      <c r="T385" s="27"/>
      <c r="U385" s="43">
        <v>500</v>
      </c>
      <c r="V385" s="22">
        <v>250</v>
      </c>
      <c r="W385" s="43">
        <v>310</v>
      </c>
      <c r="X385" s="43">
        <v>1320</v>
      </c>
    </row>
    <row r="386" spans="1:24" x14ac:dyDescent="0.3">
      <c r="A386" s="22"/>
      <c r="B386" s="41"/>
      <c r="C386" s="22"/>
      <c r="D386" s="22"/>
      <c r="E386" s="22"/>
      <c r="F386" s="22"/>
      <c r="G386" s="22">
        <v>790</v>
      </c>
      <c r="H386" s="15"/>
      <c r="I386" s="15">
        <v>380</v>
      </c>
      <c r="K386" s="21">
        <v>4090</v>
      </c>
      <c r="L386" s="76">
        <v>930</v>
      </c>
      <c r="M386" s="43">
        <v>2100</v>
      </c>
      <c r="N386" s="43"/>
      <c r="O386" s="43">
        <v>454</v>
      </c>
      <c r="P386" s="43"/>
      <c r="Q386" s="43">
        <v>1930</v>
      </c>
      <c r="R386" s="84"/>
      <c r="S386" s="43">
        <v>730</v>
      </c>
      <c r="T386" s="27"/>
      <c r="U386" s="43">
        <v>434</v>
      </c>
      <c r="V386" s="22"/>
      <c r="W386" s="43">
        <v>3530</v>
      </c>
      <c r="X386" s="43"/>
    </row>
    <row r="387" spans="1:24" x14ac:dyDescent="0.3">
      <c r="A387" s="22"/>
      <c r="B387" s="22"/>
      <c r="C387" s="22"/>
      <c r="D387" s="22"/>
      <c r="E387" s="22"/>
      <c r="F387" s="22"/>
      <c r="G387" s="22"/>
      <c r="H387" s="15"/>
      <c r="I387" s="15">
        <v>4480</v>
      </c>
      <c r="K387" s="21">
        <v>800</v>
      </c>
      <c r="L387" s="76"/>
      <c r="M387" s="43">
        <v>490</v>
      </c>
      <c r="N387" s="43"/>
      <c r="O387" s="43">
        <v>4130</v>
      </c>
      <c r="P387" s="43"/>
      <c r="Q387" s="43">
        <v>1260</v>
      </c>
      <c r="R387" s="43"/>
      <c r="S387" s="43"/>
      <c r="T387" s="27"/>
      <c r="U387" s="43">
        <v>4470</v>
      </c>
      <c r="V387" s="22"/>
      <c r="W387" s="43"/>
      <c r="X387" s="43"/>
    </row>
    <row r="388" spans="1:24" x14ac:dyDescent="0.3">
      <c r="A388" s="22"/>
      <c r="B388" s="22"/>
      <c r="C388" s="22"/>
      <c r="D388" s="22"/>
      <c r="E388" s="22"/>
      <c r="F388" s="22"/>
      <c r="G388" s="22"/>
      <c r="H388" s="15"/>
      <c r="I388" s="15">
        <v>3081</v>
      </c>
      <c r="K388" s="128"/>
      <c r="L388" s="76"/>
      <c r="M388" s="43"/>
      <c r="N388" s="43"/>
      <c r="O388" s="43">
        <v>510</v>
      </c>
      <c r="P388" s="43"/>
      <c r="Q388" s="43"/>
      <c r="R388" s="43"/>
      <c r="S388" s="43"/>
      <c r="T388" s="27"/>
      <c r="U388" s="43">
        <v>210</v>
      </c>
      <c r="V388" s="22"/>
      <c r="W388" s="43"/>
      <c r="X388" s="43"/>
    </row>
    <row r="389" spans="1:24" x14ac:dyDescent="0.3">
      <c r="A389" s="22"/>
      <c r="B389" s="22"/>
      <c r="C389" s="22"/>
      <c r="D389" s="22"/>
      <c r="E389" s="22"/>
      <c r="F389" s="22"/>
      <c r="G389" s="22"/>
      <c r="H389" s="160"/>
      <c r="I389" s="15">
        <v>6148</v>
      </c>
      <c r="K389" s="128"/>
      <c r="L389" s="76"/>
      <c r="N389" s="43"/>
      <c r="O389" s="43"/>
      <c r="P389" s="43"/>
      <c r="Q389" s="43"/>
      <c r="R389" s="43"/>
      <c r="S389" s="43"/>
      <c r="T389" s="27"/>
      <c r="U389" s="43"/>
      <c r="V389" s="22"/>
      <c r="W389" s="43"/>
      <c r="X389" s="43"/>
    </row>
    <row r="390" spans="1:24" x14ac:dyDescent="0.3">
      <c r="A390" s="22"/>
      <c r="B390" s="22"/>
      <c r="C390" s="22"/>
      <c r="D390" s="22"/>
      <c r="E390" s="22"/>
      <c r="F390" s="22"/>
      <c r="G390" s="22"/>
      <c r="H390" s="65"/>
      <c r="I390" s="15">
        <v>1166.5</v>
      </c>
      <c r="K390" s="21"/>
      <c r="L390" s="76"/>
      <c r="M390" s="43"/>
      <c r="N390" s="43"/>
      <c r="O390" s="43"/>
      <c r="P390" s="43"/>
      <c r="Q390" s="43"/>
      <c r="R390" s="43"/>
      <c r="S390" s="43"/>
      <c r="T390" s="27"/>
      <c r="U390" s="43"/>
      <c r="V390" s="22"/>
      <c r="W390" s="43"/>
      <c r="X390" s="43"/>
    </row>
    <row r="391" spans="1:24" x14ac:dyDescent="0.3">
      <c r="A391" s="22"/>
      <c r="B391" s="22"/>
      <c r="C391" s="22"/>
      <c r="D391" s="22"/>
      <c r="E391" s="22"/>
      <c r="F391" s="22"/>
      <c r="G391" s="22"/>
      <c r="H391" s="37"/>
      <c r="I391" s="15">
        <v>1770.69</v>
      </c>
      <c r="K391" s="24"/>
      <c r="L391" s="76"/>
      <c r="M391" s="22"/>
      <c r="N391" s="22"/>
      <c r="O391" s="43"/>
      <c r="P391" s="22"/>
      <c r="Q391" s="22"/>
      <c r="R391" s="22"/>
      <c r="S391" s="22"/>
      <c r="T391" s="27"/>
      <c r="U391" s="22"/>
      <c r="V391" s="22"/>
      <c r="W391" s="22"/>
      <c r="X391" s="22"/>
    </row>
    <row r="392" spans="1:24" x14ac:dyDescent="0.3">
      <c r="A392" s="22"/>
      <c r="B392" s="22"/>
      <c r="C392" s="22"/>
      <c r="D392" s="22"/>
      <c r="E392" s="22"/>
      <c r="F392" s="22"/>
      <c r="G392" s="22"/>
      <c r="H392" s="37"/>
      <c r="I392" s="15">
        <v>1265</v>
      </c>
      <c r="K392" s="24"/>
      <c r="L392" s="76"/>
      <c r="M392" s="22"/>
      <c r="N392" s="22"/>
      <c r="O392" s="43"/>
      <c r="P392" s="22"/>
      <c r="Q392" s="22"/>
      <c r="R392" s="22"/>
      <c r="S392" s="22"/>
      <c r="T392" s="27"/>
      <c r="U392" s="22"/>
      <c r="V392" s="22"/>
      <c r="W392" s="22"/>
      <c r="X392" s="22"/>
    </row>
    <row r="393" spans="1:24" x14ac:dyDescent="0.3">
      <c r="A393" s="22"/>
      <c r="B393" s="22"/>
      <c r="C393" s="22"/>
      <c r="D393" s="22"/>
      <c r="E393" s="22"/>
      <c r="F393" s="22"/>
      <c r="G393" s="22"/>
      <c r="H393" s="37"/>
      <c r="I393" s="15">
        <v>830</v>
      </c>
      <c r="K393" s="24"/>
      <c r="L393" s="76"/>
      <c r="M393" s="22"/>
      <c r="N393" s="22"/>
      <c r="O393" s="43"/>
      <c r="P393" s="22"/>
      <c r="Q393" s="22"/>
      <c r="R393" s="22"/>
      <c r="S393" s="22"/>
      <c r="T393" s="27"/>
      <c r="U393" s="22"/>
      <c r="V393" s="22"/>
      <c r="W393" s="22"/>
      <c r="X393" s="22"/>
    </row>
    <row r="394" spans="1:24" x14ac:dyDescent="0.3">
      <c r="A394" s="22"/>
      <c r="B394" s="22"/>
      <c r="C394" s="22"/>
      <c r="D394" s="22"/>
      <c r="E394" s="22"/>
      <c r="F394" s="22"/>
      <c r="G394" s="22"/>
      <c r="H394" s="22"/>
      <c r="I394" s="40">
        <v>5936</v>
      </c>
      <c r="K394" s="24"/>
      <c r="L394" s="56"/>
      <c r="M394" s="22"/>
      <c r="N394" s="22"/>
      <c r="O394" s="43"/>
      <c r="P394" s="22"/>
      <c r="Q394" s="22"/>
      <c r="R394" s="22"/>
      <c r="S394" s="22"/>
      <c r="T394" s="27"/>
      <c r="U394" s="22"/>
      <c r="V394" s="22"/>
      <c r="W394" s="22"/>
      <c r="X394" s="22"/>
    </row>
    <row r="395" spans="1:24" ht="15" thickBot="1" x14ac:dyDescent="0.35">
      <c r="A395" s="22"/>
      <c r="B395" s="22"/>
      <c r="C395" s="22"/>
      <c r="D395" s="22"/>
      <c r="E395" s="22"/>
      <c r="F395" s="22"/>
      <c r="G395" s="22"/>
      <c r="H395" s="22"/>
      <c r="I395" s="27"/>
      <c r="K395" s="24"/>
      <c r="L395" s="56"/>
      <c r="M395" s="22"/>
      <c r="N395" s="22"/>
      <c r="O395" s="43"/>
      <c r="P395" s="22"/>
      <c r="Q395" s="22"/>
      <c r="R395" s="22"/>
      <c r="S395" s="22"/>
      <c r="T395" s="27"/>
      <c r="U395" s="22"/>
      <c r="V395" s="22"/>
      <c r="W395" s="22"/>
      <c r="X395" s="22"/>
    </row>
    <row r="396" spans="1:24" ht="15.6" thickTop="1" thickBot="1" x14ac:dyDescent="0.35">
      <c r="A396" s="22"/>
      <c r="B396" s="22"/>
      <c r="C396" s="22"/>
      <c r="D396" s="22"/>
      <c r="E396" s="22"/>
      <c r="F396" s="22"/>
      <c r="G396" s="22"/>
      <c r="H396" s="22"/>
      <c r="I396" s="132">
        <f>SUM(I383:I395)</f>
        <v>36113.410000000003</v>
      </c>
      <c r="K396" s="24"/>
      <c r="L396" s="56"/>
      <c r="M396" s="22"/>
      <c r="N396" s="22"/>
      <c r="O396" s="43"/>
      <c r="P396" s="22"/>
      <c r="Q396" s="22"/>
      <c r="R396" s="22"/>
      <c r="S396" s="22"/>
      <c r="T396" s="27"/>
      <c r="U396" s="22"/>
      <c r="V396" s="22"/>
      <c r="W396" s="22"/>
      <c r="X396" s="22"/>
    </row>
    <row r="397" spans="1:24" ht="15" thickTop="1" x14ac:dyDescent="0.3">
      <c r="A397" s="22"/>
      <c r="B397" s="22"/>
      <c r="C397" s="22"/>
      <c r="D397" s="22"/>
      <c r="E397" s="22"/>
      <c r="F397" s="22"/>
      <c r="G397" s="22"/>
      <c r="H397" s="22"/>
      <c r="I397" s="27"/>
      <c r="K397" s="24"/>
      <c r="L397" s="22"/>
      <c r="M397" s="22"/>
      <c r="N397" s="22"/>
      <c r="O397" s="22"/>
      <c r="P397" s="22"/>
      <c r="Q397" s="22"/>
      <c r="R397" s="22"/>
      <c r="S397" s="22"/>
      <c r="T397" s="27"/>
      <c r="U397" s="22"/>
      <c r="V397" s="22"/>
      <c r="W397" s="22"/>
      <c r="X397" s="22"/>
    </row>
    <row r="398" spans="1:24" ht="15" thickBot="1" x14ac:dyDescent="0.35">
      <c r="A398" s="140">
        <f>SUM(A383:A397)</f>
        <v>4214.37</v>
      </c>
      <c r="B398" s="140">
        <f t="shared" ref="B398:G398" si="308">SUM(B383:B397)</f>
        <v>2578.29</v>
      </c>
      <c r="C398" s="140">
        <f t="shared" si="308"/>
        <v>3328.29</v>
      </c>
      <c r="D398" s="140">
        <f t="shared" si="308"/>
        <v>5894.97</v>
      </c>
      <c r="E398" s="140">
        <f t="shared" si="308"/>
        <v>360</v>
      </c>
      <c r="F398" s="140">
        <f t="shared" si="308"/>
        <v>3730.37</v>
      </c>
      <c r="G398" s="140">
        <f t="shared" si="308"/>
        <v>1945</v>
      </c>
      <c r="H398" s="149">
        <f>SUM(A398:G398)+I396</f>
        <v>58164.700000000004</v>
      </c>
      <c r="I398" s="150" t="s">
        <v>64</v>
      </c>
      <c r="K398" s="140">
        <f t="shared" ref="K398" si="309">SUM(K383:K397)</f>
        <v>5702</v>
      </c>
      <c r="L398" s="140">
        <f t="shared" ref="L398:X398" si="310">SUM(L383:L397)</f>
        <v>1024.5</v>
      </c>
      <c r="M398" s="140">
        <f t="shared" si="310"/>
        <v>3368</v>
      </c>
      <c r="N398" s="140">
        <f t="shared" si="310"/>
        <v>94</v>
      </c>
      <c r="O398" s="140">
        <f t="shared" si="310"/>
        <v>5539</v>
      </c>
      <c r="P398" s="140">
        <f t="shared" si="310"/>
        <v>87.5</v>
      </c>
      <c r="Q398" s="140">
        <f t="shared" si="310"/>
        <v>3772</v>
      </c>
      <c r="R398" s="140">
        <f t="shared" si="310"/>
        <v>204.5</v>
      </c>
      <c r="S398" s="140">
        <f t="shared" si="310"/>
        <v>914</v>
      </c>
      <c r="T398" s="140">
        <f t="shared" si="310"/>
        <v>15</v>
      </c>
      <c r="U398" s="140">
        <f t="shared" si="310"/>
        <v>5629</v>
      </c>
      <c r="V398" s="140">
        <f t="shared" si="310"/>
        <v>292.5</v>
      </c>
      <c r="W398" s="140">
        <f t="shared" si="310"/>
        <v>4370</v>
      </c>
      <c r="X398" s="140">
        <f t="shared" si="310"/>
        <v>1475</v>
      </c>
    </row>
    <row r="399" spans="1:24" ht="15" thickBot="1" x14ac:dyDescent="0.35">
      <c r="A399" s="140">
        <v>4214.37</v>
      </c>
      <c r="B399" s="140">
        <v>2578.29</v>
      </c>
      <c r="C399" s="140">
        <v>3328.29</v>
      </c>
      <c r="D399" s="140">
        <v>5894.97</v>
      </c>
      <c r="E399" s="140">
        <v>360</v>
      </c>
      <c r="F399" s="140">
        <v>3730.37</v>
      </c>
      <c r="G399" s="140">
        <v>1945</v>
      </c>
      <c r="H399" s="140">
        <f t="shared" ref="H399" si="311">SUM(H384:H398)</f>
        <v>58164.700000000004</v>
      </c>
      <c r="I399" s="151"/>
      <c r="K399" s="140">
        <v>5702</v>
      </c>
      <c r="L399" s="140">
        <v>1024.5</v>
      </c>
      <c r="M399" s="140">
        <v>3368</v>
      </c>
      <c r="N399" s="140">
        <v>94</v>
      </c>
      <c r="O399" s="140">
        <v>5539</v>
      </c>
      <c r="P399" s="140">
        <v>87.5</v>
      </c>
      <c r="Q399" s="140">
        <v>3772</v>
      </c>
      <c r="R399" s="140">
        <v>204.5</v>
      </c>
      <c r="S399" s="140">
        <v>914</v>
      </c>
      <c r="T399" s="140">
        <v>15</v>
      </c>
      <c r="U399" s="140">
        <v>5629</v>
      </c>
      <c r="V399" s="140">
        <v>292.5</v>
      </c>
      <c r="W399" s="140">
        <v>4370</v>
      </c>
      <c r="X399" s="140">
        <v>1475</v>
      </c>
    </row>
    <row r="400" spans="1:24" ht="15" thickBot="1" x14ac:dyDescent="0.35">
      <c r="A400" s="63">
        <f>A398-A399</f>
        <v>0</v>
      </c>
      <c r="B400" s="63">
        <f>B398-B399</f>
        <v>0</v>
      </c>
      <c r="C400" s="63">
        <f>C398-C399</f>
        <v>0</v>
      </c>
      <c r="D400" s="63">
        <f t="shared" ref="D400:H400" si="312">D398-D399</f>
        <v>0</v>
      </c>
      <c r="E400" s="63">
        <f t="shared" si="312"/>
        <v>0</v>
      </c>
      <c r="F400" s="63">
        <f t="shared" si="312"/>
        <v>0</v>
      </c>
      <c r="G400" s="63">
        <f t="shared" si="312"/>
        <v>0</v>
      </c>
      <c r="H400" s="63">
        <f t="shared" si="312"/>
        <v>0</v>
      </c>
      <c r="I400" s="22"/>
      <c r="K400" s="152">
        <f>K398-K399</f>
        <v>0</v>
      </c>
      <c r="L400" s="152">
        <f>L398-L399</f>
        <v>0</v>
      </c>
      <c r="M400" s="152">
        <f>M399-M398</f>
        <v>0</v>
      </c>
      <c r="N400" s="152">
        <f>N399-N398</f>
        <v>0</v>
      </c>
      <c r="O400" s="152">
        <f t="shared" ref="O400:S400" si="313">O399-O398</f>
        <v>0</v>
      </c>
      <c r="P400" s="152">
        <f t="shared" si="313"/>
        <v>0</v>
      </c>
      <c r="Q400" s="152">
        <f t="shared" si="313"/>
        <v>0</v>
      </c>
      <c r="R400" s="152">
        <f t="shared" si="313"/>
        <v>0</v>
      </c>
      <c r="S400" s="152">
        <f t="shared" si="313"/>
        <v>0</v>
      </c>
      <c r="T400" s="152">
        <f>T399-T398</f>
        <v>0</v>
      </c>
      <c r="U400" s="152">
        <f>U399-U398</f>
        <v>0</v>
      </c>
      <c r="V400" s="152">
        <f>V399-V398</f>
        <v>0</v>
      </c>
      <c r="W400" s="152">
        <f>W399-W398</f>
        <v>0</v>
      </c>
      <c r="X400" s="152">
        <f t="shared" ref="X400" si="314">X399-X398</f>
        <v>0</v>
      </c>
    </row>
    <row r="401" spans="1:24" ht="15" thickBot="1" x14ac:dyDescent="0.35"/>
    <row r="402" spans="1:24" x14ac:dyDescent="0.3">
      <c r="A402" s="157">
        <v>46008</v>
      </c>
      <c r="B402" s="157">
        <f>A402+1</f>
        <v>46009</v>
      </c>
      <c r="C402" s="157">
        <f t="shared" ref="C402" si="315">B402+1</f>
        <v>46010</v>
      </c>
      <c r="D402" s="157">
        <f t="shared" ref="D402" si="316">C402+1</f>
        <v>46011</v>
      </c>
      <c r="E402" s="157">
        <f>D402+1</f>
        <v>46012</v>
      </c>
      <c r="F402" s="157"/>
      <c r="G402" s="157"/>
      <c r="H402" s="157"/>
      <c r="I402" s="13" t="s">
        <v>8</v>
      </c>
      <c r="K402" s="59">
        <v>46008</v>
      </c>
      <c r="L402" s="59"/>
      <c r="M402" s="59">
        <f>K402+1</f>
        <v>46009</v>
      </c>
      <c r="N402" s="59"/>
      <c r="O402" s="59">
        <f t="shared" ref="O402" si="317">M402+1</f>
        <v>46010</v>
      </c>
      <c r="P402" s="59"/>
      <c r="Q402" s="59">
        <f t="shared" ref="Q402" si="318">O402+1</f>
        <v>46011</v>
      </c>
      <c r="R402" s="59"/>
      <c r="S402" s="59">
        <f t="shared" ref="S402" si="319">Q402+1</f>
        <v>46012</v>
      </c>
      <c r="T402" s="59"/>
      <c r="U402" s="59">
        <f t="shared" ref="U402" si="320">S402+1</f>
        <v>46013</v>
      </c>
      <c r="V402" s="59"/>
      <c r="W402" s="59">
        <f t="shared" ref="W402" si="321">U402+1</f>
        <v>46014</v>
      </c>
      <c r="X402" s="59"/>
    </row>
    <row r="403" spans="1:24" ht="15" thickBot="1" x14ac:dyDescent="0.35">
      <c r="A403" s="22">
        <v>414</v>
      </c>
      <c r="B403" s="22">
        <v>185</v>
      </c>
      <c r="C403" s="22">
        <v>405</v>
      </c>
      <c r="D403" s="22">
        <v>300</v>
      </c>
      <c r="E403" s="22">
        <v>575</v>
      </c>
      <c r="F403" s="22"/>
      <c r="G403" s="22"/>
      <c r="H403" s="15"/>
      <c r="I403" s="15">
        <v>3615.36</v>
      </c>
      <c r="K403" s="124" t="s">
        <v>10</v>
      </c>
      <c r="L403" s="125" t="s">
        <v>11</v>
      </c>
      <c r="M403" s="126" t="s">
        <v>10</v>
      </c>
      <c r="N403" s="126" t="s">
        <v>11</v>
      </c>
      <c r="O403" s="126" t="s">
        <v>10</v>
      </c>
      <c r="P403" s="126" t="s">
        <v>11</v>
      </c>
      <c r="Q403" s="126" t="s">
        <v>10</v>
      </c>
      <c r="R403" s="126" t="s">
        <v>11</v>
      </c>
      <c r="S403" s="126" t="s">
        <v>10</v>
      </c>
      <c r="T403" s="126" t="s">
        <v>11</v>
      </c>
      <c r="U403" s="126" t="s">
        <v>10</v>
      </c>
      <c r="V403" s="126" t="s">
        <v>11</v>
      </c>
      <c r="W403" s="126" t="s">
        <v>10</v>
      </c>
      <c r="X403" s="143" t="s">
        <v>11</v>
      </c>
    </row>
    <row r="404" spans="1:24" x14ac:dyDescent="0.3">
      <c r="A404" s="22">
        <v>2065</v>
      </c>
      <c r="B404" s="22">
        <v>1255</v>
      </c>
      <c r="C404" s="22">
        <v>1940</v>
      </c>
      <c r="D404" s="22">
        <v>950</v>
      </c>
      <c r="E404" s="22"/>
      <c r="F404" s="22"/>
      <c r="G404" s="22"/>
      <c r="H404" s="15"/>
      <c r="I404" s="15">
        <v>2673.24</v>
      </c>
      <c r="K404" s="75">
        <v>32</v>
      </c>
      <c r="L404" s="76">
        <v>60</v>
      </c>
      <c r="M404" s="77">
        <v>570</v>
      </c>
      <c r="N404" s="77">
        <v>50</v>
      </c>
      <c r="O404" s="77">
        <v>15</v>
      </c>
      <c r="P404" s="77">
        <v>35</v>
      </c>
      <c r="Q404" s="77">
        <v>370</v>
      </c>
      <c r="R404" s="77">
        <v>95</v>
      </c>
      <c r="S404" s="77">
        <v>100</v>
      </c>
      <c r="T404" s="40"/>
      <c r="U404" s="77"/>
      <c r="V404" s="63"/>
      <c r="W404" s="77"/>
      <c r="X404" s="77"/>
    </row>
    <row r="405" spans="1:24" x14ac:dyDescent="0.3">
      <c r="A405" s="22">
        <v>1060.1500000000001</v>
      </c>
      <c r="B405" s="44">
        <v>1187.45</v>
      </c>
      <c r="C405" s="22">
        <v>890.15</v>
      </c>
      <c r="D405" s="22">
        <v>4715.1899999999996</v>
      </c>
      <c r="E405" s="46"/>
      <c r="F405" s="22"/>
      <c r="G405" s="22"/>
      <c r="H405" s="15"/>
      <c r="I405" s="15">
        <v>785</v>
      </c>
      <c r="K405" s="21">
        <v>540</v>
      </c>
      <c r="L405" s="76">
        <v>81.5</v>
      </c>
      <c r="M405" s="43">
        <v>278</v>
      </c>
      <c r="N405" s="43">
        <v>1980</v>
      </c>
      <c r="O405" s="77">
        <v>400</v>
      </c>
      <c r="P405" s="43"/>
      <c r="Q405" s="43">
        <v>218</v>
      </c>
      <c r="R405" s="80">
        <v>78</v>
      </c>
      <c r="S405" s="43">
        <v>534</v>
      </c>
      <c r="T405" s="27"/>
      <c r="U405" s="43"/>
      <c r="V405" s="22"/>
      <c r="W405" s="43"/>
      <c r="X405" s="43"/>
    </row>
    <row r="406" spans="1:24" x14ac:dyDescent="0.3">
      <c r="A406" s="22"/>
      <c r="B406" s="41"/>
      <c r="C406" s="22"/>
      <c r="D406" s="22"/>
      <c r="E406" s="22"/>
      <c r="F406" s="22"/>
      <c r="G406" s="22"/>
      <c r="H406" s="15"/>
      <c r="I406" s="15">
        <v>2815</v>
      </c>
      <c r="K406" s="21">
        <v>366</v>
      </c>
      <c r="L406" s="76">
        <v>154.19999999999999</v>
      </c>
      <c r="M406" s="43">
        <v>3950</v>
      </c>
      <c r="N406" s="43"/>
      <c r="O406" s="43">
        <v>480</v>
      </c>
      <c r="P406" s="43"/>
      <c r="Q406" s="43">
        <v>2430</v>
      </c>
      <c r="R406" s="84">
        <v>1500</v>
      </c>
      <c r="S406" s="43">
        <v>1910</v>
      </c>
      <c r="T406" s="27"/>
      <c r="U406" s="43"/>
      <c r="V406" s="22"/>
      <c r="W406" s="43"/>
      <c r="X406" s="43"/>
    </row>
    <row r="407" spans="1:24" x14ac:dyDescent="0.3">
      <c r="A407" s="22"/>
      <c r="B407" s="22"/>
      <c r="C407" s="22"/>
      <c r="D407" s="22"/>
      <c r="E407" s="22"/>
      <c r="F407" s="22"/>
      <c r="G407" s="22"/>
      <c r="H407" s="15"/>
      <c r="I407" s="15">
        <v>3604</v>
      </c>
      <c r="K407" s="21">
        <v>4110</v>
      </c>
      <c r="L407" s="76"/>
      <c r="M407" s="43">
        <v>560</v>
      </c>
      <c r="N407" s="43"/>
      <c r="O407" s="43">
        <v>5280</v>
      </c>
      <c r="P407" s="43"/>
      <c r="Q407" s="43">
        <v>840</v>
      </c>
      <c r="R407" s="43"/>
      <c r="S407" s="43"/>
      <c r="T407" s="27"/>
      <c r="U407" s="43"/>
      <c r="V407" s="22"/>
      <c r="W407" s="43"/>
      <c r="X407" s="43"/>
    </row>
    <row r="408" spans="1:24" x14ac:dyDescent="0.3">
      <c r="A408" s="22"/>
      <c r="B408" s="22"/>
      <c r="C408" s="22"/>
      <c r="D408" s="22"/>
      <c r="E408" s="22"/>
      <c r="F408" s="22"/>
      <c r="G408" s="22"/>
      <c r="H408" s="15"/>
      <c r="I408" s="15">
        <v>864</v>
      </c>
      <c r="K408" s="128">
        <v>770</v>
      </c>
      <c r="L408" s="76"/>
      <c r="M408" s="43"/>
      <c r="N408" s="43"/>
      <c r="O408" s="43">
        <v>1050</v>
      </c>
      <c r="P408" s="43"/>
      <c r="Q408" s="43"/>
      <c r="R408" s="43"/>
      <c r="S408" s="43"/>
      <c r="T408" s="27"/>
      <c r="U408" s="43"/>
      <c r="V408" s="22"/>
      <c r="W408" s="43"/>
      <c r="X408" s="43"/>
    </row>
    <row r="409" spans="1:24" x14ac:dyDescent="0.3">
      <c r="A409" s="22"/>
      <c r="B409" s="22"/>
      <c r="C409" s="22"/>
      <c r="D409" s="22"/>
      <c r="E409" s="22"/>
      <c r="F409" s="22"/>
      <c r="G409" s="22"/>
      <c r="H409" s="160"/>
      <c r="I409" s="15">
        <v>1091.5999999999999</v>
      </c>
      <c r="K409" s="128"/>
      <c r="L409" s="76"/>
      <c r="N409" s="43"/>
      <c r="O409" s="43"/>
      <c r="P409" s="43"/>
      <c r="Q409" s="43"/>
      <c r="R409" s="43"/>
      <c r="S409" s="43"/>
      <c r="T409" s="27"/>
      <c r="U409" s="43"/>
      <c r="V409" s="22"/>
      <c r="W409" s="43"/>
      <c r="X409" s="43"/>
    </row>
    <row r="410" spans="1:24" x14ac:dyDescent="0.3">
      <c r="A410" s="22"/>
      <c r="B410" s="22"/>
      <c r="C410" s="22"/>
      <c r="D410" s="22"/>
      <c r="E410" s="22"/>
      <c r="F410" s="22"/>
      <c r="G410" s="22"/>
      <c r="H410" s="65"/>
      <c r="I410" s="15">
        <v>715</v>
      </c>
      <c r="K410" s="21"/>
      <c r="L410" s="76"/>
      <c r="M410" s="43"/>
      <c r="N410" s="43"/>
      <c r="O410" s="43"/>
      <c r="P410" s="43"/>
      <c r="Q410" s="43"/>
      <c r="R410" s="43"/>
      <c r="S410" s="43"/>
      <c r="T410" s="27"/>
      <c r="U410" s="43"/>
      <c r="V410" s="22"/>
      <c r="W410" s="43"/>
      <c r="X410" s="43"/>
    </row>
    <row r="411" spans="1:24" x14ac:dyDescent="0.3">
      <c r="A411" s="22"/>
      <c r="B411" s="22"/>
      <c r="C411" s="22"/>
      <c r="D411" s="22"/>
      <c r="E411" s="22"/>
      <c r="F411" s="22"/>
      <c r="G411" s="22"/>
      <c r="H411" s="37"/>
      <c r="I411" s="15">
        <v>498</v>
      </c>
      <c r="K411" s="24"/>
      <c r="L411" s="76"/>
      <c r="M411" s="22"/>
      <c r="N411" s="22"/>
      <c r="O411" s="43"/>
      <c r="P411" s="22"/>
      <c r="Q411" s="22"/>
      <c r="R411" s="22"/>
      <c r="S411" s="22"/>
      <c r="T411" s="27"/>
      <c r="U411" s="22"/>
      <c r="V411" s="22"/>
      <c r="W411" s="22"/>
      <c r="X411" s="22"/>
    </row>
    <row r="412" spans="1:24" x14ac:dyDescent="0.3">
      <c r="A412" s="22"/>
      <c r="B412" s="22"/>
      <c r="C412" s="22"/>
      <c r="D412" s="22"/>
      <c r="E412" s="22"/>
      <c r="F412" s="22"/>
      <c r="G412" s="22"/>
      <c r="H412" s="37"/>
      <c r="I412" s="15">
        <v>2222</v>
      </c>
      <c r="K412" s="24"/>
      <c r="L412" s="76"/>
      <c r="M412" s="22"/>
      <c r="N412" s="22"/>
      <c r="O412" s="43"/>
      <c r="P412" s="22"/>
      <c r="Q412" s="22"/>
      <c r="R412" s="22"/>
      <c r="S412" s="22"/>
      <c r="T412" s="27"/>
      <c r="U412" s="22"/>
      <c r="V412" s="22"/>
      <c r="W412" s="22"/>
      <c r="X412" s="22"/>
    </row>
    <row r="413" spans="1:24" x14ac:dyDescent="0.3">
      <c r="A413" s="22"/>
      <c r="B413" s="22"/>
      <c r="C413" s="22"/>
      <c r="D413" s="22"/>
      <c r="E413" s="22"/>
      <c r="F413" s="22"/>
      <c r="G413" s="22"/>
      <c r="H413" s="37"/>
      <c r="I413" s="15"/>
      <c r="K413" s="24"/>
      <c r="L413" s="76"/>
      <c r="M413" s="22"/>
      <c r="N413" s="22"/>
      <c r="O413" s="43"/>
      <c r="P413" s="22"/>
      <c r="Q413" s="22"/>
      <c r="R413" s="22"/>
      <c r="S413" s="22"/>
      <c r="T413" s="27"/>
      <c r="U413" s="22"/>
      <c r="V413" s="22"/>
      <c r="W413" s="22"/>
      <c r="X413" s="22"/>
    </row>
    <row r="414" spans="1:24" x14ac:dyDescent="0.3">
      <c r="A414" s="22"/>
      <c r="B414" s="22"/>
      <c r="C414" s="22"/>
      <c r="D414" s="22"/>
      <c r="E414" s="22"/>
      <c r="F414" s="22"/>
      <c r="G414" s="22"/>
      <c r="H414" s="22"/>
      <c r="I414" s="40"/>
      <c r="K414" s="24"/>
      <c r="L414" s="56"/>
      <c r="M414" s="22"/>
      <c r="N414" s="22"/>
      <c r="O414" s="43"/>
      <c r="P414" s="22"/>
      <c r="Q414" s="22"/>
      <c r="R414" s="22"/>
      <c r="S414" s="22"/>
      <c r="T414" s="27"/>
      <c r="U414" s="22"/>
      <c r="V414" s="22"/>
      <c r="W414" s="22"/>
      <c r="X414" s="22"/>
    </row>
    <row r="415" spans="1:24" ht="15" thickBot="1" x14ac:dyDescent="0.35">
      <c r="A415" s="22"/>
      <c r="B415" s="22"/>
      <c r="C415" s="22"/>
      <c r="D415" s="22"/>
      <c r="E415" s="22"/>
      <c r="F415" s="22"/>
      <c r="G415" s="22"/>
      <c r="H415" s="22"/>
      <c r="I415" s="27"/>
      <c r="K415" s="24"/>
      <c r="L415" s="56"/>
      <c r="M415" s="22"/>
      <c r="N415" s="22"/>
      <c r="O415" s="43"/>
      <c r="P415" s="22"/>
      <c r="Q415" s="22"/>
      <c r="R415" s="22"/>
      <c r="S415" s="22"/>
      <c r="T415" s="27"/>
      <c r="U415" s="22"/>
      <c r="V415" s="22"/>
      <c r="W415" s="22"/>
      <c r="X415" s="22"/>
    </row>
    <row r="416" spans="1:24" ht="15.6" thickTop="1" thickBot="1" x14ac:dyDescent="0.35">
      <c r="A416" s="22"/>
      <c r="B416" s="22"/>
      <c r="C416" s="22"/>
      <c r="D416" s="22"/>
      <c r="E416" s="22"/>
      <c r="F416" s="22"/>
      <c r="G416" s="22"/>
      <c r="H416" s="22"/>
      <c r="I416" s="132">
        <f>SUM(I403:I415)</f>
        <v>18883.2</v>
      </c>
      <c r="K416" s="24"/>
      <c r="L416" s="56"/>
      <c r="M416" s="22"/>
      <c r="N416" s="22"/>
      <c r="O416" s="43"/>
      <c r="P416" s="22"/>
      <c r="Q416" s="22"/>
      <c r="R416" s="22"/>
      <c r="S416" s="22"/>
      <c r="T416" s="27"/>
      <c r="U416" s="22"/>
      <c r="V416" s="22"/>
      <c r="W416" s="22"/>
      <c r="X416" s="22"/>
    </row>
    <row r="417" spans="1:24" ht="15" thickTop="1" x14ac:dyDescent="0.3">
      <c r="A417" s="22"/>
      <c r="B417" s="22"/>
      <c r="C417" s="22"/>
      <c r="D417" s="22"/>
      <c r="E417" s="22"/>
      <c r="F417" s="22"/>
      <c r="G417" s="22"/>
      <c r="H417" s="22"/>
      <c r="I417" s="27"/>
      <c r="K417" s="24"/>
      <c r="L417" s="22"/>
      <c r="M417" s="22"/>
      <c r="N417" s="22"/>
      <c r="O417" s="22"/>
      <c r="P417" s="22"/>
      <c r="Q417" s="22"/>
      <c r="R417" s="22"/>
      <c r="S417" s="22"/>
      <c r="T417" s="27"/>
      <c r="U417" s="22"/>
      <c r="V417" s="22"/>
      <c r="W417" s="22"/>
      <c r="X417" s="22"/>
    </row>
    <row r="418" spans="1:24" ht="15" thickBot="1" x14ac:dyDescent="0.35">
      <c r="A418" s="140">
        <f>SUM(A403:A417)</f>
        <v>3539.15</v>
      </c>
      <c r="B418" s="140">
        <f t="shared" ref="B418:H419" si="322">SUM(B403:B417)</f>
        <v>2627.45</v>
      </c>
      <c r="C418" s="140">
        <f t="shared" si="322"/>
        <v>3235.15</v>
      </c>
      <c r="D418" s="140">
        <f t="shared" si="322"/>
        <v>5965.19</v>
      </c>
      <c r="E418" s="140">
        <f t="shared" si="322"/>
        <v>575</v>
      </c>
      <c r="F418" s="140">
        <f t="shared" si="322"/>
        <v>0</v>
      </c>
      <c r="G418" s="140">
        <f t="shared" si="322"/>
        <v>0</v>
      </c>
      <c r="H418" s="149">
        <f>SUM(A418:G418)+I416</f>
        <v>34825.14</v>
      </c>
      <c r="I418" s="150" t="s">
        <v>64</v>
      </c>
      <c r="K418" s="140">
        <f t="shared" ref="K418:X419" si="323">SUM(K403:K417)</f>
        <v>5818</v>
      </c>
      <c r="L418" s="140">
        <f t="shared" si="323"/>
        <v>295.7</v>
      </c>
      <c r="M418" s="140">
        <f t="shared" si="323"/>
        <v>5358</v>
      </c>
      <c r="N418" s="140">
        <f t="shared" si="323"/>
        <v>2030</v>
      </c>
      <c r="O418" s="140">
        <f t="shared" si="323"/>
        <v>7225</v>
      </c>
      <c r="P418" s="140">
        <f t="shared" si="323"/>
        <v>35</v>
      </c>
      <c r="Q418" s="140">
        <f t="shared" si="323"/>
        <v>3858</v>
      </c>
      <c r="R418" s="140">
        <f t="shared" si="323"/>
        <v>1673</v>
      </c>
      <c r="S418" s="140">
        <f t="shared" si="323"/>
        <v>2544</v>
      </c>
      <c r="T418" s="140">
        <f t="shared" si="323"/>
        <v>0</v>
      </c>
      <c r="U418" s="140">
        <f t="shared" si="323"/>
        <v>0</v>
      </c>
      <c r="V418" s="140">
        <f t="shared" si="323"/>
        <v>0</v>
      </c>
      <c r="W418" s="140">
        <f t="shared" si="323"/>
        <v>0</v>
      </c>
      <c r="X418" s="140">
        <f t="shared" si="323"/>
        <v>0</v>
      </c>
    </row>
    <row r="419" spans="1:24" ht="15" thickBot="1" x14ac:dyDescent="0.35">
      <c r="A419" s="140">
        <v>3539.15</v>
      </c>
      <c r="B419" s="140">
        <v>2627.45</v>
      </c>
      <c r="C419" s="140">
        <v>3255.15</v>
      </c>
      <c r="D419" s="140">
        <v>5965.19</v>
      </c>
      <c r="E419" s="140">
        <v>575</v>
      </c>
      <c r="F419" s="140">
        <f t="shared" si="322"/>
        <v>0</v>
      </c>
      <c r="G419" s="140">
        <f t="shared" si="322"/>
        <v>0</v>
      </c>
      <c r="H419" s="140">
        <f t="shared" si="322"/>
        <v>34825.14</v>
      </c>
      <c r="I419" s="151"/>
      <c r="K419" s="140">
        <v>5818</v>
      </c>
      <c r="L419" s="140">
        <v>295.7</v>
      </c>
      <c r="M419" s="140">
        <v>5358</v>
      </c>
      <c r="N419" s="140">
        <v>2030</v>
      </c>
      <c r="O419" s="140">
        <v>7225</v>
      </c>
      <c r="P419" s="140">
        <v>35</v>
      </c>
      <c r="Q419" s="140">
        <v>3858</v>
      </c>
      <c r="R419" s="140">
        <v>1673</v>
      </c>
      <c r="S419" s="140">
        <v>2544</v>
      </c>
      <c r="T419" s="140">
        <f t="shared" si="323"/>
        <v>0</v>
      </c>
      <c r="U419" s="140">
        <f t="shared" si="323"/>
        <v>0</v>
      </c>
      <c r="V419" s="140">
        <f t="shared" si="323"/>
        <v>0</v>
      </c>
      <c r="W419" s="140">
        <f t="shared" si="323"/>
        <v>0</v>
      </c>
      <c r="X419" s="140">
        <f t="shared" si="323"/>
        <v>0</v>
      </c>
    </row>
    <row r="420" spans="1:24" ht="15" thickBot="1" x14ac:dyDescent="0.35">
      <c r="A420" s="63">
        <f>A418-A419</f>
        <v>0</v>
      </c>
      <c r="B420" s="63">
        <f>B418-B419</f>
        <v>0</v>
      </c>
      <c r="C420" s="63">
        <f>C418-C419</f>
        <v>-20</v>
      </c>
      <c r="D420" s="63">
        <f t="shared" ref="D420:H420" si="324">D418-D419</f>
        <v>0</v>
      </c>
      <c r="E420" s="63">
        <f t="shared" si="324"/>
        <v>0</v>
      </c>
      <c r="F420" s="63">
        <f t="shared" si="324"/>
        <v>0</v>
      </c>
      <c r="G420" s="63">
        <f t="shared" si="324"/>
        <v>0</v>
      </c>
      <c r="H420" s="63">
        <f t="shared" si="324"/>
        <v>0</v>
      </c>
      <c r="I420" s="22"/>
      <c r="K420" s="152">
        <f>K418-K419</f>
        <v>0</v>
      </c>
      <c r="L420" s="152">
        <f>L418-L419</f>
        <v>0</v>
      </c>
      <c r="M420" s="152">
        <f>M419-M418</f>
        <v>0</v>
      </c>
      <c r="N420" s="152">
        <f>N419-N418</f>
        <v>0</v>
      </c>
      <c r="O420" s="152">
        <f t="shared" ref="O420:S420" si="325">O419-O418</f>
        <v>0</v>
      </c>
      <c r="P420" s="152">
        <f t="shared" si="325"/>
        <v>0</v>
      </c>
      <c r="Q420" s="152">
        <f t="shared" si="325"/>
        <v>0</v>
      </c>
      <c r="R420" s="152">
        <f t="shared" si="325"/>
        <v>0</v>
      </c>
      <c r="S420" s="152">
        <f t="shared" si="325"/>
        <v>0</v>
      </c>
      <c r="T420" s="152">
        <f>T419-T418</f>
        <v>0</v>
      </c>
      <c r="U420" s="152">
        <f>U419-U418</f>
        <v>0</v>
      </c>
      <c r="V420" s="152">
        <f>V419-V418</f>
        <v>0</v>
      </c>
      <c r="W420" s="152">
        <f>W419-W418</f>
        <v>0</v>
      </c>
      <c r="X420" s="152">
        <f t="shared" ref="X420" si="326">X419-X418</f>
        <v>0</v>
      </c>
    </row>
    <row r="421" spans="1:24" ht="15" thickBot="1" x14ac:dyDescent="0.35"/>
    <row r="422" spans="1:24" x14ac:dyDescent="0.3">
      <c r="A422" s="157">
        <v>46013</v>
      </c>
      <c r="B422" s="157">
        <f>A422+1</f>
        <v>46014</v>
      </c>
      <c r="C422" s="157">
        <f t="shared" ref="C422" si="327">B422+1</f>
        <v>46015</v>
      </c>
      <c r="D422" s="157">
        <f t="shared" ref="D422" si="328">C422+1</f>
        <v>46016</v>
      </c>
      <c r="E422" s="157">
        <f>D422+1</f>
        <v>46017</v>
      </c>
      <c r="F422" s="157">
        <f t="shared" ref="F422:G422" si="329">E422+1</f>
        <v>46018</v>
      </c>
      <c r="G422" s="157">
        <f t="shared" si="329"/>
        <v>46019</v>
      </c>
      <c r="H422" s="157"/>
      <c r="I422" s="13" t="s">
        <v>8</v>
      </c>
      <c r="K422" s="59">
        <v>46013</v>
      </c>
      <c r="L422" s="59"/>
      <c r="M422" s="59">
        <f>K422+1</f>
        <v>46014</v>
      </c>
      <c r="N422" s="59"/>
      <c r="O422" s="59">
        <f t="shared" ref="O422" si="330">M422+1</f>
        <v>46015</v>
      </c>
      <c r="P422" s="59"/>
      <c r="Q422" s="59">
        <f t="shared" ref="Q422" si="331">O422+1</f>
        <v>46016</v>
      </c>
      <c r="R422" s="59"/>
      <c r="S422" s="59">
        <f t="shared" ref="S422" si="332">Q422+1</f>
        <v>46017</v>
      </c>
      <c r="T422" s="59"/>
      <c r="U422" s="59">
        <f t="shared" ref="U422" si="333">S422+1</f>
        <v>46018</v>
      </c>
      <c r="V422" s="59"/>
      <c r="W422" s="59">
        <f t="shared" ref="W422" si="334">U422+1</f>
        <v>46019</v>
      </c>
      <c r="X422" s="59"/>
    </row>
    <row r="423" spans="1:24" ht="15" thickBot="1" x14ac:dyDescent="0.35">
      <c r="A423" s="22">
        <v>205</v>
      </c>
      <c r="B423" s="22">
        <v>165</v>
      </c>
      <c r="C423" s="22">
        <v>319</v>
      </c>
      <c r="D423" s="22">
        <v>290</v>
      </c>
      <c r="E423" s="22">
        <v>180</v>
      </c>
      <c r="F423" s="22">
        <v>300</v>
      </c>
      <c r="G423" s="22">
        <v>205</v>
      </c>
      <c r="H423" s="15"/>
      <c r="I423" s="15">
        <v>6025.6</v>
      </c>
      <c r="K423" s="124" t="s">
        <v>10</v>
      </c>
      <c r="L423" s="125" t="s">
        <v>11</v>
      </c>
      <c r="M423" s="126" t="s">
        <v>10</v>
      </c>
      <c r="N423" s="126" t="s">
        <v>11</v>
      </c>
      <c r="O423" s="126" t="s">
        <v>10</v>
      </c>
      <c r="P423" s="126" t="s">
        <v>11</v>
      </c>
      <c r="Q423" s="126" t="s">
        <v>10</v>
      </c>
      <c r="R423" s="126" t="s">
        <v>11</v>
      </c>
      <c r="S423" s="126" t="s">
        <v>10</v>
      </c>
      <c r="T423" s="126" t="s">
        <v>11</v>
      </c>
      <c r="U423" s="126" t="s">
        <v>10</v>
      </c>
      <c r="V423" s="126" t="s">
        <v>11</v>
      </c>
      <c r="W423" s="126" t="s">
        <v>10</v>
      </c>
      <c r="X423" s="143" t="s">
        <v>11</v>
      </c>
    </row>
    <row r="424" spans="1:24" x14ac:dyDescent="0.3">
      <c r="A424" s="22">
        <v>2520</v>
      </c>
      <c r="B424" s="22">
        <v>1530</v>
      </c>
      <c r="C424" s="22">
        <v>2160</v>
      </c>
      <c r="D424" s="22">
        <v>589</v>
      </c>
      <c r="E424" s="22">
        <v>2425</v>
      </c>
      <c r="F424" s="22">
        <v>900</v>
      </c>
      <c r="G424" s="22"/>
      <c r="H424" s="15"/>
      <c r="I424" s="15">
        <v>4455.3999999999996</v>
      </c>
      <c r="K424" s="75">
        <v>15</v>
      </c>
      <c r="L424" s="76">
        <v>42.5</v>
      </c>
      <c r="M424" s="77">
        <v>500</v>
      </c>
      <c r="N424" s="77">
        <v>50</v>
      </c>
      <c r="O424" s="77">
        <v>570</v>
      </c>
      <c r="P424" s="77">
        <v>22.5</v>
      </c>
      <c r="Q424" s="77">
        <v>460</v>
      </c>
      <c r="R424" s="77">
        <v>15</v>
      </c>
      <c r="S424" s="77">
        <v>15</v>
      </c>
      <c r="T424" s="40">
        <v>35</v>
      </c>
      <c r="U424" s="77">
        <v>400</v>
      </c>
      <c r="V424" s="63">
        <v>76</v>
      </c>
      <c r="W424" s="77">
        <v>80</v>
      </c>
      <c r="X424" s="77">
        <v>15</v>
      </c>
    </row>
    <row r="425" spans="1:24" x14ac:dyDescent="0.3">
      <c r="A425" s="22">
        <v>1246.21</v>
      </c>
      <c r="B425" s="44">
        <v>1532.67</v>
      </c>
      <c r="C425" s="22">
        <v>1150.3699999999999</v>
      </c>
      <c r="D425" s="22"/>
      <c r="E425" s="46"/>
      <c r="F425" s="22">
        <v>4769.97</v>
      </c>
      <c r="G425" s="22"/>
      <c r="H425" s="15"/>
      <c r="I425" s="15">
        <v>570</v>
      </c>
      <c r="K425" s="75">
        <v>650</v>
      </c>
      <c r="L425" s="76">
        <v>60</v>
      </c>
      <c r="M425" s="43">
        <v>356</v>
      </c>
      <c r="N425" s="43">
        <v>1140</v>
      </c>
      <c r="O425" s="77">
        <v>392</v>
      </c>
      <c r="P425" s="43">
        <v>60</v>
      </c>
      <c r="Q425" s="43">
        <v>78</v>
      </c>
      <c r="R425" s="80"/>
      <c r="S425" s="43">
        <v>510</v>
      </c>
      <c r="T425" s="27">
        <v>120</v>
      </c>
      <c r="U425" s="43">
        <v>192</v>
      </c>
      <c r="V425" s="22">
        <v>130</v>
      </c>
      <c r="W425" s="43">
        <v>96</v>
      </c>
      <c r="X425" s="43"/>
    </row>
    <row r="426" spans="1:24" x14ac:dyDescent="0.3">
      <c r="A426" s="22"/>
      <c r="B426" s="41"/>
      <c r="C426" s="22"/>
      <c r="D426" s="22"/>
      <c r="E426" s="22"/>
      <c r="F426" s="22"/>
      <c r="G426" s="22"/>
      <c r="H426" s="15"/>
      <c r="I426" s="15">
        <v>4580</v>
      </c>
      <c r="K426" s="21">
        <v>434</v>
      </c>
      <c r="L426" s="76"/>
      <c r="M426" s="43">
        <v>4220</v>
      </c>
      <c r="N426" s="43">
        <v>1875</v>
      </c>
      <c r="O426" s="43">
        <v>4350</v>
      </c>
      <c r="P426" s="43"/>
      <c r="Q426" s="43">
        <v>3030</v>
      </c>
      <c r="R426" s="84"/>
      <c r="S426" s="43">
        <v>570</v>
      </c>
      <c r="T426" s="27"/>
      <c r="U426" s="43">
        <v>2720</v>
      </c>
      <c r="V426" s="22"/>
      <c r="W426" s="43">
        <v>840</v>
      </c>
      <c r="X426" s="43"/>
    </row>
    <row r="427" spans="1:24" x14ac:dyDescent="0.3">
      <c r="A427" s="22"/>
      <c r="B427" s="22"/>
      <c r="C427" s="22"/>
      <c r="D427" s="22"/>
      <c r="E427" s="22"/>
      <c r="F427" s="22"/>
      <c r="G427" s="22"/>
      <c r="H427" s="15"/>
      <c r="I427" s="15">
        <v>2869</v>
      </c>
      <c r="K427" s="21">
        <v>4780</v>
      </c>
      <c r="L427" s="76"/>
      <c r="M427" s="43">
        <v>350</v>
      </c>
      <c r="N427" s="43"/>
      <c r="O427" s="43">
        <v>350</v>
      </c>
      <c r="P427" s="43"/>
      <c r="Q427" s="43"/>
      <c r="R427" s="43"/>
      <c r="S427" s="43">
        <v>4480</v>
      </c>
      <c r="T427" s="27"/>
      <c r="U427" s="43">
        <v>1420</v>
      </c>
      <c r="V427" s="22"/>
      <c r="W427" s="43"/>
      <c r="X427" s="43"/>
    </row>
    <row r="428" spans="1:24" x14ac:dyDescent="0.3">
      <c r="A428" s="22"/>
      <c r="B428" s="22"/>
      <c r="C428" s="22"/>
      <c r="D428" s="22"/>
      <c r="E428" s="22"/>
      <c r="F428" s="22"/>
      <c r="G428" s="22"/>
      <c r="H428" s="15"/>
      <c r="I428" s="15">
        <v>6678</v>
      </c>
      <c r="K428" s="21">
        <v>770</v>
      </c>
      <c r="L428" s="76"/>
      <c r="M428" s="43"/>
      <c r="N428" s="43"/>
      <c r="O428" s="43"/>
      <c r="P428" s="43"/>
      <c r="Q428" s="43"/>
      <c r="R428" s="43"/>
      <c r="S428" s="43"/>
      <c r="T428" s="27"/>
      <c r="U428" s="43"/>
      <c r="V428" s="22"/>
      <c r="W428" s="43"/>
      <c r="X428" s="43"/>
    </row>
    <row r="429" spans="1:24" x14ac:dyDescent="0.3">
      <c r="A429" s="22"/>
      <c r="B429" s="22"/>
      <c r="C429" s="22"/>
      <c r="D429" s="22"/>
      <c r="E429" s="22"/>
      <c r="F429" s="22"/>
      <c r="G429" s="22"/>
      <c r="H429" s="160"/>
      <c r="I429" s="15">
        <v>424</v>
      </c>
      <c r="K429" s="128"/>
      <c r="L429" s="76"/>
      <c r="N429" s="43"/>
      <c r="O429" s="43"/>
      <c r="P429" s="43"/>
      <c r="Q429" s="43"/>
      <c r="R429" s="43"/>
      <c r="S429" s="43"/>
      <c r="T429" s="27"/>
      <c r="U429" s="43"/>
      <c r="V429" s="22"/>
      <c r="W429" s="43"/>
      <c r="X429" s="43"/>
    </row>
    <row r="430" spans="1:24" x14ac:dyDescent="0.3">
      <c r="A430" s="22"/>
      <c r="B430" s="22"/>
      <c r="C430" s="22"/>
      <c r="D430" s="22"/>
      <c r="E430" s="22"/>
      <c r="F430" s="22"/>
      <c r="G430" s="22"/>
      <c r="H430" s="65"/>
      <c r="I430" s="15">
        <v>2205.69</v>
      </c>
      <c r="K430" s="75"/>
      <c r="L430" s="76"/>
      <c r="M430" s="43"/>
      <c r="N430" s="43"/>
      <c r="O430" s="43"/>
      <c r="P430" s="43"/>
      <c r="Q430" s="43"/>
      <c r="R430" s="43"/>
      <c r="S430" s="43"/>
      <c r="T430" s="27"/>
      <c r="U430" s="43"/>
      <c r="V430" s="22"/>
      <c r="W430" s="43"/>
      <c r="X430" s="43"/>
    </row>
    <row r="431" spans="1:24" x14ac:dyDescent="0.3">
      <c r="A431" s="22"/>
      <c r="B431" s="22"/>
      <c r="C431" s="22"/>
      <c r="D431" s="22"/>
      <c r="E431" s="22"/>
      <c r="F431" s="22"/>
      <c r="G431" s="22"/>
      <c r="H431" s="37"/>
      <c r="I431" s="15">
        <v>809</v>
      </c>
      <c r="K431" s="21"/>
      <c r="L431" s="76"/>
      <c r="M431" s="22"/>
      <c r="N431" s="22"/>
      <c r="O431" s="43"/>
      <c r="P431" s="22"/>
      <c r="Q431" s="22"/>
      <c r="R431" s="22"/>
      <c r="S431" s="22"/>
      <c r="T431" s="27"/>
      <c r="U431" s="22"/>
      <c r="V431" s="22"/>
      <c r="W431" s="22"/>
      <c r="X431" s="22"/>
    </row>
    <row r="432" spans="1:24" x14ac:dyDescent="0.3">
      <c r="A432" s="22"/>
      <c r="B432" s="22"/>
      <c r="C432" s="22"/>
      <c r="D432" s="22"/>
      <c r="E432" s="22"/>
      <c r="F432" s="22"/>
      <c r="G432" s="22"/>
      <c r="H432" s="37"/>
      <c r="I432" s="15">
        <v>693</v>
      </c>
      <c r="K432" s="21"/>
      <c r="L432" s="76"/>
      <c r="M432" s="22"/>
      <c r="N432" s="22"/>
      <c r="O432" s="43"/>
      <c r="P432" s="22"/>
      <c r="Q432" s="22"/>
      <c r="R432" s="22"/>
      <c r="S432" s="22"/>
      <c r="T432" s="27"/>
      <c r="U432" s="22"/>
      <c r="V432" s="22"/>
      <c r="W432" s="22"/>
      <c r="X432" s="22"/>
    </row>
    <row r="433" spans="1:26" x14ac:dyDescent="0.3">
      <c r="A433" s="22"/>
      <c r="B433" s="22"/>
      <c r="C433" s="22"/>
      <c r="D433" s="22"/>
      <c r="E433" s="22"/>
      <c r="F433" s="22"/>
      <c r="G433" s="22"/>
      <c r="H433" s="37"/>
      <c r="I433" s="15">
        <v>1524</v>
      </c>
      <c r="K433" s="21"/>
      <c r="L433" s="76"/>
      <c r="M433" s="22"/>
      <c r="N433" s="22"/>
      <c r="O433" s="43"/>
      <c r="P433" s="22"/>
      <c r="Q433" s="22"/>
      <c r="R433" s="22"/>
      <c r="S433" s="22"/>
      <c r="T433" s="27"/>
      <c r="U433" s="22"/>
      <c r="V433" s="22"/>
      <c r="W433" s="22"/>
      <c r="X433" s="22"/>
      <c r="Z433" t="s">
        <v>14</v>
      </c>
    </row>
    <row r="434" spans="1:26" x14ac:dyDescent="0.3">
      <c r="A434" s="22"/>
      <c r="B434" s="22"/>
      <c r="C434" s="22"/>
      <c r="D434" s="22"/>
      <c r="E434" s="22"/>
      <c r="F434" s="22"/>
      <c r="G434" s="22"/>
      <c r="H434" s="22"/>
      <c r="I434" s="40">
        <v>1362.67</v>
      </c>
      <c r="K434" s="128"/>
      <c r="L434" s="56"/>
      <c r="M434" s="22"/>
      <c r="N434" s="22"/>
      <c r="O434" s="43"/>
      <c r="P434" s="22"/>
      <c r="Q434" s="22"/>
      <c r="R434" s="22"/>
      <c r="S434" s="22"/>
      <c r="T434" s="27"/>
      <c r="U434" s="22"/>
      <c r="V434" s="22"/>
      <c r="W434" s="22"/>
      <c r="X434" s="22"/>
    </row>
    <row r="435" spans="1:26" ht="15" thickBot="1" x14ac:dyDescent="0.35">
      <c r="A435" s="22"/>
      <c r="B435" s="22"/>
      <c r="C435" s="22"/>
      <c r="D435" s="22"/>
      <c r="E435" s="22"/>
      <c r="F435" s="22"/>
      <c r="G435" s="22"/>
      <c r="H435" s="22"/>
      <c r="I435" s="27"/>
      <c r="K435" s="24"/>
      <c r="L435" s="56"/>
      <c r="M435" s="22"/>
      <c r="N435" s="22"/>
      <c r="O435" s="43"/>
      <c r="P435" s="22"/>
      <c r="Q435" s="22"/>
      <c r="R435" s="22"/>
      <c r="S435" s="22"/>
      <c r="T435" s="27"/>
      <c r="U435" s="22"/>
      <c r="V435" s="22"/>
      <c r="W435" s="22"/>
      <c r="X435" s="22"/>
    </row>
    <row r="436" spans="1:26" ht="15.6" thickTop="1" thickBot="1" x14ac:dyDescent="0.35">
      <c r="A436" s="22"/>
      <c r="B436" s="22"/>
      <c r="C436" s="22"/>
      <c r="D436" s="22"/>
      <c r="E436" s="22"/>
      <c r="F436" s="22"/>
      <c r="G436" s="22"/>
      <c r="H436" s="22"/>
      <c r="I436" s="132">
        <f>SUM(I423:I435)</f>
        <v>32196.36</v>
      </c>
      <c r="K436" s="24"/>
      <c r="L436" s="56"/>
      <c r="M436" s="22"/>
      <c r="N436" s="22"/>
      <c r="O436" s="43"/>
      <c r="P436" s="22"/>
      <c r="Q436" s="22"/>
      <c r="R436" s="22"/>
      <c r="S436" s="22"/>
      <c r="T436" s="27"/>
      <c r="U436" s="22"/>
      <c r="V436" s="22"/>
      <c r="W436" s="22"/>
      <c r="X436" s="22"/>
    </row>
    <row r="437" spans="1:26" ht="15" thickTop="1" x14ac:dyDescent="0.3">
      <c r="A437" s="22"/>
      <c r="B437" s="22"/>
      <c r="C437" s="22"/>
      <c r="D437" s="22"/>
      <c r="E437" s="22"/>
      <c r="F437" s="22"/>
      <c r="G437" s="22"/>
      <c r="H437" s="22"/>
      <c r="I437" s="27"/>
      <c r="K437" s="24"/>
      <c r="L437" s="22"/>
      <c r="M437" s="22"/>
      <c r="N437" s="22"/>
      <c r="O437" s="22"/>
      <c r="P437" s="22"/>
      <c r="Q437" s="22"/>
      <c r="R437" s="22"/>
      <c r="S437" s="22"/>
      <c r="T437" s="27"/>
      <c r="U437" s="22"/>
      <c r="V437" s="22"/>
      <c r="W437" s="22"/>
      <c r="X437" s="22"/>
    </row>
    <row r="438" spans="1:26" ht="15" thickBot="1" x14ac:dyDescent="0.35">
      <c r="A438" s="140">
        <f>SUM(A423:A437)</f>
        <v>3971.21</v>
      </c>
      <c r="B438" s="140">
        <f t="shared" ref="B438:G438" si="335">SUM(B423:B437)</f>
        <v>3227.67</v>
      </c>
      <c r="C438" s="140">
        <f t="shared" si="335"/>
        <v>3629.37</v>
      </c>
      <c r="D438" s="140">
        <f t="shared" si="335"/>
        <v>879</v>
      </c>
      <c r="E438" s="140">
        <f t="shared" si="335"/>
        <v>2605</v>
      </c>
      <c r="F438" s="140">
        <f t="shared" si="335"/>
        <v>5969.97</v>
      </c>
      <c r="G438" s="140">
        <f t="shared" si="335"/>
        <v>205</v>
      </c>
      <c r="H438" s="149">
        <f>SUM(A438:G438)+I436</f>
        <v>52683.58</v>
      </c>
      <c r="I438" s="150" t="s">
        <v>64</v>
      </c>
      <c r="K438" s="140">
        <f t="shared" ref="K438:X438" si="336">SUM(K423:K437)</f>
        <v>6649</v>
      </c>
      <c r="L438" s="140">
        <f t="shared" si="336"/>
        <v>102.5</v>
      </c>
      <c r="M438" s="140">
        <f t="shared" si="336"/>
        <v>5426</v>
      </c>
      <c r="N438" s="140">
        <f t="shared" si="336"/>
        <v>3065</v>
      </c>
      <c r="O438" s="140">
        <f t="shared" si="336"/>
        <v>5662</v>
      </c>
      <c r="P438" s="140">
        <f t="shared" si="336"/>
        <v>82.5</v>
      </c>
      <c r="Q438" s="140">
        <f t="shared" si="336"/>
        <v>3568</v>
      </c>
      <c r="R438" s="140">
        <f t="shared" si="336"/>
        <v>15</v>
      </c>
      <c r="S438" s="140">
        <f t="shared" si="336"/>
        <v>5575</v>
      </c>
      <c r="T438" s="140">
        <f t="shared" si="336"/>
        <v>155</v>
      </c>
      <c r="U438" s="140">
        <v>4732</v>
      </c>
      <c r="V438" s="140">
        <f t="shared" si="336"/>
        <v>206</v>
      </c>
      <c r="W438" s="140">
        <f t="shared" si="336"/>
        <v>1016</v>
      </c>
      <c r="X438" s="140">
        <f t="shared" si="336"/>
        <v>15</v>
      </c>
    </row>
    <row r="439" spans="1:26" ht="15" thickBot="1" x14ac:dyDescent="0.35">
      <c r="A439" s="140">
        <v>3971.21</v>
      </c>
      <c r="B439" s="140">
        <v>3227.67</v>
      </c>
      <c r="C439" s="140">
        <v>3629.37</v>
      </c>
      <c r="D439" s="140">
        <v>879</v>
      </c>
      <c r="E439" s="140">
        <v>2605</v>
      </c>
      <c r="F439" s="140">
        <v>5969.97</v>
      </c>
      <c r="G439" s="140">
        <v>205</v>
      </c>
      <c r="H439" s="140">
        <f t="shared" ref="H439" si="337">SUM(H424:H438)</f>
        <v>52683.58</v>
      </c>
      <c r="I439" s="151"/>
      <c r="K439" s="140">
        <v>6649</v>
      </c>
      <c r="L439" s="140">
        <v>102.5</v>
      </c>
      <c r="M439" s="140">
        <v>5426</v>
      </c>
      <c r="N439" s="140">
        <v>3065</v>
      </c>
      <c r="O439" s="140">
        <v>5662</v>
      </c>
      <c r="P439" s="140">
        <v>82.5</v>
      </c>
      <c r="Q439" s="140">
        <v>3568</v>
      </c>
      <c r="R439" s="140">
        <v>15</v>
      </c>
      <c r="S439" s="140">
        <v>5575</v>
      </c>
      <c r="T439" s="140">
        <v>155</v>
      </c>
      <c r="U439" s="140">
        <v>4732</v>
      </c>
      <c r="V439" s="140">
        <v>206</v>
      </c>
      <c r="W439" s="140">
        <v>1016</v>
      </c>
      <c r="X439" s="140">
        <v>15</v>
      </c>
    </row>
    <row r="440" spans="1:26" ht="15" thickBot="1" x14ac:dyDescent="0.35">
      <c r="A440" s="63">
        <f>A438-A439</f>
        <v>0</v>
      </c>
      <c r="B440" s="63">
        <f>B438-B439</f>
        <v>0</v>
      </c>
      <c r="C440" s="63">
        <f>C438-C439</f>
        <v>0</v>
      </c>
      <c r="D440" s="63">
        <f t="shared" ref="D440:H440" si="338">D438-D439</f>
        <v>0</v>
      </c>
      <c r="E440" s="63">
        <f t="shared" si="338"/>
        <v>0</v>
      </c>
      <c r="F440" s="63">
        <f t="shared" si="338"/>
        <v>0</v>
      </c>
      <c r="G440" s="63">
        <f t="shared" si="338"/>
        <v>0</v>
      </c>
      <c r="H440" s="63">
        <f t="shared" si="338"/>
        <v>0</v>
      </c>
      <c r="I440" s="22"/>
      <c r="K440" s="152">
        <f>K438-K439</f>
        <v>0</v>
      </c>
      <c r="L440" s="152">
        <f>L438-L439</f>
        <v>0</v>
      </c>
      <c r="M440" s="152">
        <f>M439-M438</f>
        <v>0</v>
      </c>
      <c r="N440" s="152">
        <f>N439-N438</f>
        <v>0</v>
      </c>
      <c r="O440" s="152">
        <f t="shared" ref="O440:S440" si="339">O439-O438</f>
        <v>0</v>
      </c>
      <c r="P440" s="152">
        <f t="shared" si="339"/>
        <v>0</v>
      </c>
      <c r="Q440" s="152">
        <f t="shared" si="339"/>
        <v>0</v>
      </c>
      <c r="R440" s="152">
        <f t="shared" si="339"/>
        <v>0</v>
      </c>
      <c r="S440" s="152">
        <f t="shared" si="339"/>
        <v>0</v>
      </c>
      <c r="T440" s="152">
        <f>T439-T438</f>
        <v>0</v>
      </c>
      <c r="U440" s="152">
        <f>U439-U438</f>
        <v>0</v>
      </c>
      <c r="V440" s="152">
        <f>V439-V438</f>
        <v>0</v>
      </c>
      <c r="W440" s="152">
        <f>W439-W438</f>
        <v>0</v>
      </c>
      <c r="X440" s="152">
        <f t="shared" ref="X440" si="340">X439-X438</f>
        <v>0</v>
      </c>
    </row>
    <row r="441" spans="1:26" ht="16.2" customHeight="1" x14ac:dyDescent="0.3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CC29-9393-43C1-883E-ECB5646A85D9}">
  <dimension ref="A1:AA79"/>
  <sheetViews>
    <sheetView zoomScale="99" zoomScaleNormal="99" workbookViewId="0">
      <selection activeCell="G167" sqref="G167"/>
    </sheetView>
  </sheetViews>
  <sheetFormatPr defaultRowHeight="14.4" x14ac:dyDescent="0.3"/>
  <cols>
    <col min="1" max="8" width="10.6640625" bestFit="1" customWidth="1"/>
    <col min="9" max="9" width="11" bestFit="1" customWidth="1"/>
    <col min="10" max="11" width="10" bestFit="1" customWidth="1"/>
    <col min="12" max="16" width="10.6640625" bestFit="1" customWidth="1"/>
    <col min="17" max="17" width="12.44140625" bestFit="1" customWidth="1"/>
    <col min="18" max="21" width="10.6640625" bestFit="1" customWidth="1"/>
    <col min="22" max="22" width="9" customWidth="1"/>
    <col min="23" max="25" width="10.6640625" bestFit="1" customWidth="1"/>
    <col min="27" max="27" width="10.6640625" bestFit="1" customWidth="1"/>
  </cols>
  <sheetData>
    <row r="1" spans="1:27" x14ac:dyDescent="0.3">
      <c r="A1" s="157">
        <v>46020</v>
      </c>
      <c r="B1" s="157">
        <f t="shared" ref="B1:H1" si="0">A1+1</f>
        <v>46021</v>
      </c>
      <c r="C1" s="157">
        <f t="shared" si="0"/>
        <v>46022</v>
      </c>
      <c r="D1" s="157">
        <f t="shared" si="0"/>
        <v>46023</v>
      </c>
      <c r="E1" s="157">
        <f t="shared" si="0"/>
        <v>46024</v>
      </c>
      <c r="F1" s="157">
        <f t="shared" si="0"/>
        <v>46025</v>
      </c>
      <c r="G1" s="157">
        <f t="shared" si="0"/>
        <v>46026</v>
      </c>
      <c r="H1" s="157">
        <f t="shared" si="0"/>
        <v>46027</v>
      </c>
      <c r="I1" s="157"/>
      <c r="J1" s="13" t="s">
        <v>8</v>
      </c>
      <c r="L1" s="59">
        <v>46020</v>
      </c>
      <c r="M1" s="59"/>
      <c r="N1" s="59">
        <f>L1+1</f>
        <v>46021</v>
      </c>
      <c r="O1" s="59"/>
      <c r="P1" s="59">
        <f>N1+1</f>
        <v>46022</v>
      </c>
      <c r="Q1" s="59"/>
      <c r="R1" s="59">
        <f>P1+1</f>
        <v>46023</v>
      </c>
      <c r="S1" s="59"/>
      <c r="T1" s="59">
        <f>R1+1</f>
        <v>46024</v>
      </c>
      <c r="U1" s="59"/>
      <c r="V1" s="59">
        <f>T1+1</f>
        <v>46025</v>
      </c>
      <c r="W1" s="59"/>
      <c r="X1" s="59">
        <f>V1+1</f>
        <v>46026</v>
      </c>
      <c r="Y1" s="59"/>
      <c r="Z1" s="59">
        <f>X1+1</f>
        <v>46027</v>
      </c>
      <c r="AA1" s="59"/>
    </row>
    <row r="2" spans="1:27" ht="15" thickBot="1" x14ac:dyDescent="0.35">
      <c r="A2" s="22">
        <v>155</v>
      </c>
      <c r="B2" s="22">
        <v>205</v>
      </c>
      <c r="C2" s="22">
        <v>249</v>
      </c>
      <c r="D2" s="22">
        <v>140</v>
      </c>
      <c r="E2" s="22">
        <v>325</v>
      </c>
      <c r="F2" s="22">
        <v>185</v>
      </c>
      <c r="G2" s="22">
        <v>410</v>
      </c>
      <c r="H2" s="164">
        <v>205</v>
      </c>
      <c r="I2" s="15"/>
      <c r="J2" s="15">
        <v>7632</v>
      </c>
      <c r="L2" s="124" t="s">
        <v>10</v>
      </c>
      <c r="M2" s="125" t="s">
        <v>11</v>
      </c>
      <c r="N2" s="126" t="s">
        <v>10</v>
      </c>
      <c r="O2" s="126" t="s">
        <v>11</v>
      </c>
      <c r="P2" s="126" t="s">
        <v>10</v>
      </c>
      <c r="Q2" s="126" t="s">
        <v>11</v>
      </c>
      <c r="R2" s="126" t="s">
        <v>10</v>
      </c>
      <c r="S2" s="126" t="s">
        <v>11</v>
      </c>
      <c r="T2" s="126" t="s">
        <v>10</v>
      </c>
      <c r="U2" s="126" t="s">
        <v>11</v>
      </c>
      <c r="V2" s="126" t="s">
        <v>10</v>
      </c>
      <c r="W2" s="126" t="s">
        <v>11</v>
      </c>
      <c r="X2" s="126" t="s">
        <v>10</v>
      </c>
      <c r="Y2" s="143" t="s">
        <v>11</v>
      </c>
      <c r="Z2" s="126" t="s">
        <v>10</v>
      </c>
      <c r="AA2" s="143" t="s">
        <v>11</v>
      </c>
    </row>
    <row r="3" spans="1:27" x14ac:dyDescent="0.3">
      <c r="A3" s="22">
        <v>2495</v>
      </c>
      <c r="B3" s="22">
        <v>1865</v>
      </c>
      <c r="C3" s="22">
        <v>2455</v>
      </c>
      <c r="D3" s="22">
        <v>1225</v>
      </c>
      <c r="E3" s="22">
        <v>2585</v>
      </c>
      <c r="F3" s="22">
        <v>1340</v>
      </c>
      <c r="G3" s="22"/>
      <c r="H3" s="164">
        <v>450</v>
      </c>
      <c r="I3" s="15"/>
      <c r="J3" s="15">
        <v>1068</v>
      </c>
      <c r="L3" s="75">
        <v>15</v>
      </c>
      <c r="M3" s="76">
        <v>50</v>
      </c>
      <c r="N3" s="77">
        <v>520</v>
      </c>
      <c r="O3" s="77">
        <v>50</v>
      </c>
      <c r="P3" s="77">
        <v>32</v>
      </c>
      <c r="Q3" s="77">
        <v>24</v>
      </c>
      <c r="R3" s="77">
        <v>234</v>
      </c>
      <c r="S3" s="77">
        <v>50</v>
      </c>
      <c r="T3" s="77">
        <v>15</v>
      </c>
      <c r="U3" s="40">
        <v>492</v>
      </c>
      <c r="V3" s="77">
        <v>380</v>
      </c>
      <c r="W3" s="63">
        <v>142</v>
      </c>
      <c r="X3" s="77">
        <v>100</v>
      </c>
      <c r="Y3" s="77">
        <v>15</v>
      </c>
      <c r="Z3" s="77">
        <v>15</v>
      </c>
      <c r="AA3" s="77">
        <v>15.9</v>
      </c>
    </row>
    <row r="4" spans="1:27" x14ac:dyDescent="0.3">
      <c r="A4" s="22">
        <v>1150.3699999999999</v>
      </c>
      <c r="B4" s="44">
        <v>1628.51</v>
      </c>
      <c r="C4" s="22">
        <v>1246.21</v>
      </c>
      <c r="D4" s="22"/>
      <c r="E4" s="46">
        <v>1490.37</v>
      </c>
      <c r="F4" s="22">
        <v>4769.97</v>
      </c>
      <c r="G4" s="22"/>
      <c r="H4" s="164">
        <v>2240</v>
      </c>
      <c r="I4" s="15"/>
      <c r="J4" s="15">
        <v>1948.72</v>
      </c>
      <c r="L4" s="75">
        <v>600</v>
      </c>
      <c r="M4" s="76">
        <v>120</v>
      </c>
      <c r="N4" s="43">
        <v>324</v>
      </c>
      <c r="O4" s="43">
        <v>80</v>
      </c>
      <c r="P4" s="77">
        <v>500</v>
      </c>
      <c r="Q4" s="43">
        <v>90</v>
      </c>
      <c r="R4" s="43">
        <v>520</v>
      </c>
      <c r="S4" s="80">
        <v>1560</v>
      </c>
      <c r="T4" s="43">
        <v>470</v>
      </c>
      <c r="U4" s="27">
        <v>60</v>
      </c>
      <c r="V4" s="43">
        <v>404</v>
      </c>
      <c r="W4" s="22">
        <v>102.5</v>
      </c>
      <c r="X4" s="43">
        <v>148</v>
      </c>
      <c r="Y4" s="43"/>
      <c r="Z4" s="43">
        <v>620</v>
      </c>
      <c r="AA4" s="43">
        <v>50</v>
      </c>
    </row>
    <row r="5" spans="1:27" x14ac:dyDescent="0.3">
      <c r="A5" s="22"/>
      <c r="B5" s="41"/>
      <c r="C5" s="22"/>
      <c r="D5" s="22"/>
      <c r="E5" s="22"/>
      <c r="F5" s="22"/>
      <c r="G5" s="22"/>
      <c r="H5" s="164">
        <v>1246.21</v>
      </c>
      <c r="I5" s="15"/>
      <c r="J5" s="15">
        <v>3240</v>
      </c>
      <c r="L5" s="21">
        <v>434</v>
      </c>
      <c r="M5" s="76"/>
      <c r="N5" s="43">
        <v>3950</v>
      </c>
      <c r="O5" s="43">
        <v>60</v>
      </c>
      <c r="P5" s="43">
        <v>366</v>
      </c>
      <c r="Q5" s="43">
        <v>450</v>
      </c>
      <c r="R5" s="43">
        <v>3480</v>
      </c>
      <c r="S5" s="84"/>
      <c r="T5" s="43">
        <v>446</v>
      </c>
      <c r="U5" s="27"/>
      <c r="V5" s="43">
        <v>2610</v>
      </c>
      <c r="W5" s="22">
        <v>107.9</v>
      </c>
      <c r="X5" s="43">
        <v>880</v>
      </c>
      <c r="Y5" s="43"/>
      <c r="Z5" s="43">
        <v>534</v>
      </c>
      <c r="AA5" s="43"/>
    </row>
    <row r="6" spans="1:27" x14ac:dyDescent="0.3">
      <c r="A6" s="22"/>
      <c r="B6" s="22"/>
      <c r="C6" s="22"/>
      <c r="D6" s="22"/>
      <c r="E6" s="22"/>
      <c r="F6" s="22"/>
      <c r="G6" s="22"/>
      <c r="H6" s="164"/>
      <c r="I6" s="15"/>
      <c r="J6" s="15">
        <v>1618</v>
      </c>
      <c r="L6" s="21">
        <v>4750</v>
      </c>
      <c r="M6" s="76"/>
      <c r="N6" s="43">
        <v>630</v>
      </c>
      <c r="O6" s="43"/>
      <c r="P6" s="43">
        <v>3940</v>
      </c>
      <c r="Q6" s="43"/>
      <c r="R6" s="43"/>
      <c r="S6" s="43"/>
      <c r="T6" s="43">
        <v>4760</v>
      </c>
      <c r="U6" s="27"/>
      <c r="V6" s="43">
        <v>1260</v>
      </c>
      <c r="W6" s="22"/>
      <c r="X6" s="43"/>
      <c r="Y6" s="43"/>
      <c r="Z6" s="43">
        <v>5460</v>
      </c>
      <c r="AA6" s="43"/>
    </row>
    <row r="7" spans="1:27" x14ac:dyDescent="0.3">
      <c r="A7" s="22"/>
      <c r="B7" s="22"/>
      <c r="C7" s="22"/>
      <c r="D7" s="22"/>
      <c r="E7" s="22"/>
      <c r="F7" s="22"/>
      <c r="G7" s="22"/>
      <c r="H7" s="164"/>
      <c r="I7" s="15"/>
      <c r="J7" s="15">
        <v>937</v>
      </c>
      <c r="L7" s="21">
        <v>490</v>
      </c>
      <c r="M7" s="76"/>
      <c r="N7" s="43"/>
      <c r="O7" s="43"/>
      <c r="P7" s="43">
        <v>360</v>
      </c>
      <c r="Q7" s="43"/>
      <c r="R7" s="43"/>
      <c r="S7" s="43"/>
      <c r="T7" s="43">
        <v>510</v>
      </c>
      <c r="U7" s="27"/>
      <c r="V7" s="43"/>
      <c r="W7" s="22"/>
      <c r="X7" s="43"/>
      <c r="Y7" s="43"/>
      <c r="Z7" s="43">
        <v>510</v>
      </c>
      <c r="AA7" s="43"/>
    </row>
    <row r="8" spans="1:27" x14ac:dyDescent="0.3">
      <c r="A8" s="22"/>
      <c r="B8" s="22"/>
      <c r="C8" s="22"/>
      <c r="D8" s="22"/>
      <c r="E8" s="22"/>
      <c r="F8" s="22"/>
      <c r="G8" s="22"/>
      <c r="H8" s="160"/>
      <c r="I8" s="160"/>
      <c r="J8" s="15">
        <v>57</v>
      </c>
      <c r="L8" s="128"/>
      <c r="M8" s="76"/>
      <c r="O8" s="43"/>
      <c r="P8" s="43"/>
      <c r="Q8" s="43"/>
      <c r="R8" s="43"/>
      <c r="S8" s="43"/>
      <c r="T8" s="43"/>
      <c r="U8" s="27"/>
      <c r="V8" s="43"/>
      <c r="W8" s="22"/>
      <c r="X8" s="43"/>
      <c r="Y8" s="43"/>
      <c r="Z8" s="77"/>
      <c r="AA8" s="43"/>
    </row>
    <row r="9" spans="1:27" x14ac:dyDescent="0.3">
      <c r="A9" s="22"/>
      <c r="B9" s="22"/>
      <c r="C9" s="22"/>
      <c r="D9" s="22"/>
      <c r="E9" s="22"/>
      <c r="F9" s="22"/>
      <c r="G9" s="22"/>
      <c r="H9" s="65"/>
      <c r="I9" s="65"/>
      <c r="J9" s="15">
        <v>1495</v>
      </c>
      <c r="L9" s="75"/>
      <c r="M9" s="76"/>
      <c r="N9" s="43"/>
      <c r="O9" s="43"/>
      <c r="P9" s="43"/>
      <c r="Q9" s="43"/>
      <c r="R9" s="43"/>
      <c r="S9" s="43"/>
      <c r="T9" s="43"/>
      <c r="U9" s="27"/>
      <c r="V9" s="43"/>
      <c r="W9" s="22"/>
      <c r="X9" s="43"/>
      <c r="Y9" s="43"/>
      <c r="Z9" s="43"/>
      <c r="AA9" s="43"/>
    </row>
    <row r="10" spans="1:27" x14ac:dyDescent="0.3">
      <c r="A10" s="22"/>
      <c r="B10" s="22"/>
      <c r="C10" s="22"/>
      <c r="D10" s="22"/>
      <c r="E10" s="22"/>
      <c r="F10" s="22"/>
      <c r="G10" s="22"/>
      <c r="H10" s="37"/>
      <c r="I10" s="37"/>
      <c r="J10" s="15">
        <v>5105</v>
      </c>
      <c r="L10" s="21"/>
      <c r="M10" s="76"/>
      <c r="N10" s="22"/>
      <c r="O10" s="22"/>
      <c r="P10" s="43"/>
      <c r="Q10" s="22"/>
      <c r="R10" s="22"/>
      <c r="S10" s="22"/>
      <c r="T10" s="22"/>
      <c r="U10" s="27"/>
      <c r="V10" s="22"/>
      <c r="W10" s="22"/>
      <c r="X10" s="22"/>
      <c r="Y10" s="22"/>
      <c r="Z10" s="43"/>
      <c r="AA10" s="22"/>
    </row>
    <row r="11" spans="1:27" x14ac:dyDescent="0.3">
      <c r="A11" s="22"/>
      <c r="B11" s="22"/>
      <c r="C11" s="22"/>
      <c r="D11" s="22"/>
      <c r="E11" s="22"/>
      <c r="F11" s="22"/>
      <c r="G11" s="22"/>
      <c r="H11" s="37"/>
      <c r="I11" s="37"/>
      <c r="J11" s="15">
        <v>6929.44</v>
      </c>
      <c r="L11" s="21"/>
      <c r="M11" s="76"/>
      <c r="N11" s="22"/>
      <c r="O11" s="22"/>
      <c r="P11" s="43"/>
      <c r="Q11" s="22"/>
      <c r="R11" s="22"/>
      <c r="S11" s="22"/>
      <c r="T11" s="22"/>
      <c r="U11" s="27"/>
      <c r="V11" s="22"/>
      <c r="W11" s="22"/>
      <c r="X11" s="22"/>
      <c r="Y11" s="22"/>
      <c r="Z11" s="43"/>
      <c r="AA11" s="22"/>
    </row>
    <row r="12" spans="1:27" x14ac:dyDescent="0.3">
      <c r="A12" s="22"/>
      <c r="B12" s="22"/>
      <c r="C12" s="22"/>
      <c r="D12" s="22"/>
      <c r="E12" s="22"/>
      <c r="F12" s="22"/>
      <c r="G12" s="22"/>
      <c r="H12" s="37"/>
      <c r="I12" s="37"/>
      <c r="J12" s="15">
        <v>5346.48</v>
      </c>
      <c r="L12" s="21"/>
      <c r="M12" s="76"/>
      <c r="N12" s="22"/>
      <c r="O12" s="22"/>
      <c r="P12" s="43"/>
      <c r="Q12" s="22"/>
      <c r="R12" s="22"/>
      <c r="S12" s="22"/>
      <c r="T12" s="22"/>
      <c r="U12" s="27"/>
      <c r="V12" s="22"/>
      <c r="W12" s="22"/>
      <c r="X12" s="22"/>
      <c r="Y12" s="22"/>
      <c r="Z12" s="43"/>
      <c r="AA12" s="22"/>
    </row>
    <row r="13" spans="1:27" x14ac:dyDescent="0.3">
      <c r="A13" s="22"/>
      <c r="B13" s="22"/>
      <c r="C13" s="22"/>
      <c r="D13" s="22"/>
      <c r="E13" s="22"/>
      <c r="F13" s="22"/>
      <c r="G13" s="22"/>
      <c r="H13" s="22"/>
      <c r="I13" s="22"/>
      <c r="J13" s="40">
        <v>848</v>
      </c>
      <c r="L13" s="128"/>
      <c r="M13" s="56"/>
      <c r="N13" s="22"/>
      <c r="O13" s="22"/>
      <c r="P13" s="43"/>
      <c r="Q13" s="22"/>
      <c r="R13" s="22"/>
      <c r="S13" s="22"/>
      <c r="T13" s="22"/>
      <c r="U13" s="27"/>
      <c r="V13" s="22"/>
      <c r="W13" s="22"/>
      <c r="X13" s="22"/>
      <c r="Y13" s="22"/>
      <c r="Z13" s="22"/>
      <c r="AA13" s="22"/>
    </row>
    <row r="14" spans="1:27" ht="15" thickBot="1" x14ac:dyDescent="0.35">
      <c r="A14" s="22"/>
      <c r="B14" s="22"/>
      <c r="C14" s="22"/>
      <c r="D14" s="22"/>
      <c r="E14" s="22"/>
      <c r="F14" s="22"/>
      <c r="G14" s="22"/>
      <c r="H14" s="22"/>
      <c r="I14" s="22"/>
      <c r="J14" s="27"/>
      <c r="L14" s="24"/>
      <c r="M14" s="56"/>
      <c r="N14" s="22"/>
      <c r="O14" s="22"/>
      <c r="P14" s="43"/>
      <c r="Q14" s="22"/>
      <c r="R14" s="22"/>
      <c r="S14" s="22"/>
      <c r="T14" s="22"/>
      <c r="U14" s="27"/>
      <c r="V14" s="22"/>
      <c r="W14" s="22"/>
      <c r="X14" s="22"/>
      <c r="Y14" s="22"/>
      <c r="Z14" s="22"/>
      <c r="AA14" s="22"/>
    </row>
    <row r="15" spans="1:27" ht="15.6" thickTop="1" thickBot="1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132">
        <f>SUM(J2:J14)</f>
        <v>36224.639999999999</v>
      </c>
      <c r="L15" s="24"/>
      <c r="M15" s="56"/>
      <c r="N15" s="22"/>
      <c r="O15" s="22"/>
      <c r="P15" s="43"/>
      <c r="Q15" s="22"/>
      <c r="R15" s="22"/>
      <c r="S15" s="22"/>
      <c r="T15" s="22"/>
      <c r="U15" s="27"/>
      <c r="V15" s="22"/>
      <c r="W15" s="22"/>
      <c r="X15" s="22"/>
      <c r="Y15" s="22"/>
      <c r="Z15" s="22"/>
      <c r="AA15" s="22"/>
    </row>
    <row r="16" spans="1:27" ht="15" thickTop="1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7"/>
      <c r="L16" s="24"/>
      <c r="M16" s="22"/>
      <c r="N16" s="22"/>
      <c r="O16" s="22"/>
      <c r="P16" s="22"/>
      <c r="Q16" s="22"/>
      <c r="R16" s="22"/>
      <c r="S16" s="22"/>
      <c r="T16" s="22"/>
      <c r="U16" s="27"/>
      <c r="V16" s="22"/>
      <c r="W16" s="22"/>
      <c r="X16" s="22"/>
      <c r="Y16" s="22"/>
      <c r="Z16" s="22"/>
      <c r="AA16" s="22"/>
    </row>
    <row r="17" spans="1:27" ht="15" thickBot="1" x14ac:dyDescent="0.35">
      <c r="A17" s="140">
        <f t="shared" ref="A17:H17" si="1">SUM(A2:A16)</f>
        <v>3800.37</v>
      </c>
      <c r="B17" s="140">
        <f t="shared" si="1"/>
        <v>3698.51</v>
      </c>
      <c r="C17" s="140">
        <f t="shared" si="1"/>
        <v>3950.21</v>
      </c>
      <c r="D17" s="140">
        <f t="shared" si="1"/>
        <v>1365</v>
      </c>
      <c r="E17" s="140">
        <f t="shared" si="1"/>
        <v>4400.37</v>
      </c>
      <c r="F17" s="140">
        <f t="shared" si="1"/>
        <v>6294.97</v>
      </c>
      <c r="G17" s="140">
        <f t="shared" si="1"/>
        <v>410</v>
      </c>
      <c r="H17" s="140">
        <f t="shared" si="1"/>
        <v>4141.21</v>
      </c>
      <c r="I17" s="149">
        <f>SUM(A17:H17)+J15</f>
        <v>64285.279999999999</v>
      </c>
      <c r="J17" s="150" t="s">
        <v>64</v>
      </c>
      <c r="L17" s="140">
        <f t="shared" ref="L17:AA17" si="2">SUM(L2:L16)</f>
        <v>6289</v>
      </c>
      <c r="M17" s="140">
        <f t="shared" si="2"/>
        <v>170</v>
      </c>
      <c r="N17" s="140">
        <f t="shared" si="2"/>
        <v>5424</v>
      </c>
      <c r="O17" s="140">
        <f t="shared" si="2"/>
        <v>190</v>
      </c>
      <c r="P17" s="140">
        <f t="shared" si="2"/>
        <v>5198</v>
      </c>
      <c r="Q17" s="140">
        <f t="shared" si="2"/>
        <v>564</v>
      </c>
      <c r="R17" s="140">
        <f t="shared" si="2"/>
        <v>4234</v>
      </c>
      <c r="S17" s="140">
        <f t="shared" si="2"/>
        <v>1610</v>
      </c>
      <c r="T17" s="140">
        <f t="shared" si="2"/>
        <v>6201</v>
      </c>
      <c r="U17" s="140">
        <f t="shared" si="2"/>
        <v>552</v>
      </c>
      <c r="V17" s="140">
        <f t="shared" si="2"/>
        <v>4654</v>
      </c>
      <c r="W17" s="140">
        <f t="shared" si="2"/>
        <v>352.4</v>
      </c>
      <c r="X17" s="140">
        <f t="shared" si="2"/>
        <v>1128</v>
      </c>
      <c r="Y17" s="140">
        <f t="shared" si="2"/>
        <v>15</v>
      </c>
      <c r="Z17" s="140">
        <f t="shared" si="2"/>
        <v>7139</v>
      </c>
      <c r="AA17" s="140">
        <f t="shared" si="2"/>
        <v>65.900000000000006</v>
      </c>
    </row>
    <row r="18" spans="1:27" ht="15" thickBot="1" x14ac:dyDescent="0.35">
      <c r="A18" s="140">
        <v>3800.37</v>
      </c>
      <c r="B18" s="140">
        <v>3698.51</v>
      </c>
      <c r="C18" s="140">
        <v>3950.21</v>
      </c>
      <c r="D18" s="140">
        <v>1365</v>
      </c>
      <c r="E18" s="140">
        <v>4400.37</v>
      </c>
      <c r="F18" s="140">
        <v>6294.97</v>
      </c>
      <c r="G18" s="140">
        <f>SUM(G3:G17)</f>
        <v>410</v>
      </c>
      <c r="H18" s="140">
        <v>4141.21</v>
      </c>
      <c r="I18" s="140">
        <f>SUM(I3:I17)</f>
        <v>64285.279999999999</v>
      </c>
      <c r="J18" s="151"/>
      <c r="L18" s="140">
        <v>6289</v>
      </c>
      <c r="M18" s="140">
        <v>170</v>
      </c>
      <c r="N18" s="140">
        <v>5424</v>
      </c>
      <c r="O18" s="140">
        <v>190</v>
      </c>
      <c r="P18" s="140">
        <v>5198</v>
      </c>
      <c r="Q18" s="140">
        <v>564</v>
      </c>
      <c r="R18" s="140">
        <v>4234</v>
      </c>
      <c r="S18" s="140">
        <v>1610</v>
      </c>
      <c r="T18" s="140">
        <v>6201</v>
      </c>
      <c r="U18" s="140">
        <v>552</v>
      </c>
      <c r="V18" s="140">
        <v>4654</v>
      </c>
      <c r="W18" s="140">
        <v>352.4</v>
      </c>
      <c r="X18" s="140">
        <v>1128</v>
      </c>
      <c r="Y18" s="140">
        <v>15</v>
      </c>
      <c r="Z18" s="140">
        <v>7139</v>
      </c>
      <c r="AA18" s="140">
        <v>65.900000000000006</v>
      </c>
    </row>
    <row r="19" spans="1:27" ht="15" thickBot="1" x14ac:dyDescent="0.35">
      <c r="A19" s="63">
        <f t="shared" ref="A19:I19" si="3">A17-A18</f>
        <v>0</v>
      </c>
      <c r="B19" s="63">
        <f t="shared" si="3"/>
        <v>0</v>
      </c>
      <c r="C19" s="63">
        <f t="shared" si="3"/>
        <v>0</v>
      </c>
      <c r="D19" s="63">
        <f t="shared" si="3"/>
        <v>0</v>
      </c>
      <c r="E19" s="63">
        <f t="shared" si="3"/>
        <v>0</v>
      </c>
      <c r="F19" s="63">
        <f t="shared" si="3"/>
        <v>0</v>
      </c>
      <c r="G19" s="63">
        <f t="shared" si="3"/>
        <v>0</v>
      </c>
      <c r="H19" s="63">
        <f t="shared" si="3"/>
        <v>0</v>
      </c>
      <c r="I19" s="63">
        <f t="shared" si="3"/>
        <v>0</v>
      </c>
      <c r="J19" s="22"/>
      <c r="L19" s="152">
        <f>L17-L18</f>
        <v>0</v>
      </c>
      <c r="M19" s="152">
        <f>M17-M18</f>
        <v>0</v>
      </c>
      <c r="N19" s="152">
        <f t="shared" ref="N19:X19" si="4">N18-N17</f>
        <v>0</v>
      </c>
      <c r="O19" s="152">
        <f t="shared" si="4"/>
        <v>0</v>
      </c>
      <c r="P19" s="152">
        <f t="shared" si="4"/>
        <v>0</v>
      </c>
      <c r="Q19" s="152">
        <f t="shared" si="4"/>
        <v>0</v>
      </c>
      <c r="R19" s="152">
        <f t="shared" si="4"/>
        <v>0</v>
      </c>
      <c r="S19" s="152">
        <f t="shared" si="4"/>
        <v>0</v>
      </c>
      <c r="T19" s="152">
        <f t="shared" si="4"/>
        <v>0</v>
      </c>
      <c r="U19" s="152">
        <f t="shared" si="4"/>
        <v>0</v>
      </c>
      <c r="V19" s="152">
        <f t="shared" si="4"/>
        <v>0</v>
      </c>
      <c r="W19" s="152">
        <f t="shared" si="4"/>
        <v>0</v>
      </c>
      <c r="X19" s="152">
        <f t="shared" si="4"/>
        <v>0</v>
      </c>
      <c r="Y19" s="152">
        <f t="shared" ref="Y19:AA19" si="5">Y18-Y17</f>
        <v>0</v>
      </c>
      <c r="Z19" s="152">
        <f>Z18-Z17</f>
        <v>0</v>
      </c>
      <c r="AA19" s="152">
        <f t="shared" si="5"/>
        <v>0</v>
      </c>
    </row>
    <row r="20" spans="1:27" ht="15" thickBot="1" x14ac:dyDescent="0.35"/>
    <row r="21" spans="1:27" x14ac:dyDescent="0.3">
      <c r="A21" s="157">
        <v>46028</v>
      </c>
      <c r="B21" s="157">
        <f t="shared" ref="B21:H21" si="6">A21+1</f>
        <v>46029</v>
      </c>
      <c r="C21" s="157">
        <f t="shared" si="6"/>
        <v>46030</v>
      </c>
      <c r="D21" s="157">
        <f t="shared" si="6"/>
        <v>46031</v>
      </c>
      <c r="E21" s="157">
        <f t="shared" si="6"/>
        <v>46032</v>
      </c>
      <c r="F21" s="157">
        <f t="shared" si="6"/>
        <v>46033</v>
      </c>
      <c r="G21" s="157">
        <f t="shared" si="6"/>
        <v>46034</v>
      </c>
      <c r="H21" s="157">
        <f t="shared" si="6"/>
        <v>46035</v>
      </c>
      <c r="I21" s="157"/>
      <c r="J21" s="13" t="s">
        <v>8</v>
      </c>
      <c r="L21" s="59">
        <v>46028</v>
      </c>
      <c r="M21" s="59"/>
      <c r="N21" s="59">
        <f>L21+1</f>
        <v>46029</v>
      </c>
      <c r="O21" s="59"/>
      <c r="P21" s="59">
        <f>N21+1</f>
        <v>46030</v>
      </c>
      <c r="Q21" s="59"/>
      <c r="R21" s="59">
        <f>P21+1</f>
        <v>46031</v>
      </c>
      <c r="S21" s="59"/>
      <c r="T21" s="59">
        <f>R21+1</f>
        <v>46032</v>
      </c>
      <c r="U21" s="59"/>
      <c r="V21" s="59">
        <f>T21+1</f>
        <v>46033</v>
      </c>
      <c r="W21" s="59"/>
      <c r="X21" s="59">
        <f>V21+1</f>
        <v>46034</v>
      </c>
      <c r="Y21" s="59"/>
      <c r="Z21" s="59">
        <f>X21+1</f>
        <v>46035</v>
      </c>
      <c r="AA21" s="59"/>
    </row>
    <row r="22" spans="1:27" ht="15" thickBot="1" x14ac:dyDescent="0.35">
      <c r="A22" s="22">
        <v>220</v>
      </c>
      <c r="B22" s="22">
        <v>325</v>
      </c>
      <c r="C22" s="22">
        <v>280</v>
      </c>
      <c r="D22" s="22">
        <v>365</v>
      </c>
      <c r="E22" s="22">
        <v>280</v>
      </c>
      <c r="F22" s="22">
        <v>120</v>
      </c>
      <c r="G22" s="22">
        <v>335</v>
      </c>
      <c r="H22" s="164">
        <v>330</v>
      </c>
      <c r="I22" s="15"/>
      <c r="J22" s="15">
        <v>7230.72</v>
      </c>
      <c r="L22" s="124" t="s">
        <v>10</v>
      </c>
      <c r="M22" s="125" t="s">
        <v>11</v>
      </c>
      <c r="N22" s="126" t="s">
        <v>10</v>
      </c>
      <c r="O22" s="126" t="s">
        <v>11</v>
      </c>
      <c r="P22" s="126" t="s">
        <v>10</v>
      </c>
      <c r="Q22" s="126" t="s">
        <v>11</v>
      </c>
      <c r="R22" s="126" t="s">
        <v>10</v>
      </c>
      <c r="S22" s="126" t="s">
        <v>11</v>
      </c>
      <c r="T22" s="126" t="s">
        <v>10</v>
      </c>
      <c r="U22" s="126" t="s">
        <v>11</v>
      </c>
      <c r="V22" s="126" t="s">
        <v>10</v>
      </c>
      <c r="W22" s="126" t="s">
        <v>11</v>
      </c>
      <c r="X22" s="126" t="s">
        <v>10</v>
      </c>
      <c r="Y22" s="143" t="s">
        <v>11</v>
      </c>
      <c r="Z22" s="126" t="s">
        <v>10</v>
      </c>
      <c r="AA22" s="143" t="s">
        <v>11</v>
      </c>
    </row>
    <row r="23" spans="1:27" x14ac:dyDescent="0.3">
      <c r="A23" s="22">
        <v>1845</v>
      </c>
      <c r="B23" s="22">
        <v>2080</v>
      </c>
      <c r="C23" s="22">
        <v>1390</v>
      </c>
      <c r="D23" s="22">
        <v>2050</v>
      </c>
      <c r="E23" s="22">
        <v>1210</v>
      </c>
      <c r="F23" s="22">
        <v>85</v>
      </c>
      <c r="G23" s="22">
        <v>2680</v>
      </c>
      <c r="H23" s="164">
        <v>1495</v>
      </c>
      <c r="I23" s="15"/>
      <c r="J23" s="15">
        <v>5346.48</v>
      </c>
      <c r="L23" s="75">
        <v>440</v>
      </c>
      <c r="M23" s="76">
        <v>22.5</v>
      </c>
      <c r="N23" s="77">
        <v>440</v>
      </c>
      <c r="O23" s="77">
        <v>135</v>
      </c>
      <c r="P23" s="77">
        <v>460</v>
      </c>
      <c r="Q23" s="77">
        <v>102.5</v>
      </c>
      <c r="R23" s="77">
        <v>15</v>
      </c>
      <c r="S23" s="77">
        <v>35</v>
      </c>
      <c r="T23" s="77">
        <v>300</v>
      </c>
      <c r="U23" s="40">
        <v>50</v>
      </c>
      <c r="V23" s="77">
        <v>96</v>
      </c>
      <c r="W23" s="63">
        <v>15</v>
      </c>
      <c r="X23" s="77">
        <v>15</v>
      </c>
      <c r="Y23" s="77">
        <v>120</v>
      </c>
      <c r="Z23" s="77">
        <v>410</v>
      </c>
      <c r="AA23" s="77">
        <v>248</v>
      </c>
    </row>
    <row r="24" spans="1:27" x14ac:dyDescent="0.3">
      <c r="A24" s="22">
        <v>1362.67</v>
      </c>
      <c r="B24" s="44">
        <v>1246.21</v>
      </c>
      <c r="C24" s="22">
        <v>1198.29</v>
      </c>
      <c r="D24" s="22">
        <v>1198.29</v>
      </c>
      <c r="E24" s="46">
        <v>4556.87</v>
      </c>
      <c r="F24" s="22"/>
      <c r="G24" s="22">
        <v>1246.21</v>
      </c>
      <c r="H24" s="164">
        <v>1368.29</v>
      </c>
      <c r="I24" s="15"/>
      <c r="J24" s="15">
        <v>910</v>
      </c>
      <c r="L24" s="75">
        <v>278</v>
      </c>
      <c r="M24" s="76">
        <v>50</v>
      </c>
      <c r="N24" s="43">
        <v>382</v>
      </c>
      <c r="O24" s="43">
        <v>100</v>
      </c>
      <c r="P24" s="77">
        <v>276</v>
      </c>
      <c r="Q24" s="43">
        <v>526.1</v>
      </c>
      <c r="R24" s="43">
        <v>290</v>
      </c>
      <c r="S24" s="80">
        <v>120</v>
      </c>
      <c r="T24" s="43">
        <v>192</v>
      </c>
      <c r="U24" s="27">
        <v>162</v>
      </c>
      <c r="V24" s="43">
        <v>930</v>
      </c>
      <c r="W24" s="22"/>
      <c r="X24" s="43">
        <v>350</v>
      </c>
      <c r="Y24" s="43">
        <v>155</v>
      </c>
      <c r="Z24" s="43">
        <v>252</v>
      </c>
      <c r="AA24" s="43">
        <v>180</v>
      </c>
    </row>
    <row r="25" spans="1:27" x14ac:dyDescent="0.3">
      <c r="A25" s="22"/>
      <c r="B25" s="41"/>
      <c r="C25" s="22"/>
      <c r="D25" s="22"/>
      <c r="E25" s="22"/>
      <c r="F25" s="22"/>
      <c r="G25" s="22"/>
      <c r="H25" s="164"/>
      <c r="I25" s="15"/>
      <c r="J25" s="15">
        <v>5250</v>
      </c>
      <c r="L25" s="21">
        <v>4310</v>
      </c>
      <c r="M25" s="76">
        <v>60</v>
      </c>
      <c r="N25" s="43">
        <v>5100</v>
      </c>
      <c r="O25" s="43"/>
      <c r="P25" s="43">
        <v>4720</v>
      </c>
      <c r="Q25" s="43">
        <v>120</v>
      </c>
      <c r="R25" s="43">
        <v>434</v>
      </c>
      <c r="S25" s="84"/>
      <c r="T25" s="43">
        <v>2640</v>
      </c>
      <c r="U25" s="27">
        <v>120</v>
      </c>
      <c r="V25" s="43"/>
      <c r="W25" s="22"/>
      <c r="X25" s="43">
        <v>408</v>
      </c>
      <c r="Y25" s="43">
        <v>60</v>
      </c>
      <c r="Z25" s="43">
        <v>4420</v>
      </c>
      <c r="AA25" s="43"/>
    </row>
    <row r="26" spans="1:27" x14ac:dyDescent="0.3">
      <c r="A26" s="22"/>
      <c r="B26" s="22"/>
      <c r="C26" s="22"/>
      <c r="D26" s="22"/>
      <c r="E26" s="22"/>
      <c r="F26" s="22"/>
      <c r="G26" s="22"/>
      <c r="H26" s="164"/>
      <c r="I26" s="15"/>
      <c r="J26" s="15">
        <v>848</v>
      </c>
      <c r="L26" s="21">
        <v>370</v>
      </c>
      <c r="M26" s="76">
        <v>1260</v>
      </c>
      <c r="N26" s="43">
        <v>510</v>
      </c>
      <c r="O26" s="43"/>
      <c r="P26" s="43">
        <v>910</v>
      </c>
      <c r="Q26" s="43">
        <v>26</v>
      </c>
      <c r="R26" s="43">
        <v>5990</v>
      </c>
      <c r="S26" s="43"/>
      <c r="T26" s="43">
        <v>1260</v>
      </c>
      <c r="U26" s="27"/>
      <c r="V26" s="43"/>
      <c r="W26" s="22"/>
      <c r="X26" s="43">
        <v>5450</v>
      </c>
      <c r="Y26" s="43"/>
      <c r="Z26" s="43">
        <v>910</v>
      </c>
      <c r="AA26" s="43"/>
    </row>
    <row r="27" spans="1:27" x14ac:dyDescent="0.3">
      <c r="A27" s="22"/>
      <c r="B27" s="22"/>
      <c r="C27" s="22"/>
      <c r="D27" s="22"/>
      <c r="E27" s="22"/>
      <c r="F27" s="22"/>
      <c r="G27" s="22"/>
      <c r="H27" s="164"/>
      <c r="I27" s="15"/>
      <c r="J27" s="15">
        <v>8268</v>
      </c>
      <c r="L27" s="21"/>
      <c r="M27" s="76"/>
      <c r="N27" s="43"/>
      <c r="O27" s="43"/>
      <c r="P27" s="43"/>
      <c r="Q27" s="43"/>
      <c r="R27" s="43">
        <v>350</v>
      </c>
      <c r="S27" s="43"/>
      <c r="T27" s="43"/>
      <c r="U27" s="27"/>
      <c r="V27" s="43"/>
      <c r="W27" s="22"/>
      <c r="X27" s="43">
        <v>790</v>
      </c>
      <c r="Y27" s="43"/>
      <c r="Z27" s="43"/>
      <c r="AA27" s="43"/>
    </row>
    <row r="28" spans="1:27" x14ac:dyDescent="0.3">
      <c r="A28" s="22"/>
      <c r="B28" s="22"/>
      <c r="C28" s="22"/>
      <c r="D28" s="22"/>
      <c r="E28" s="22"/>
      <c r="F28" s="22"/>
      <c r="G28" s="22"/>
      <c r="H28" s="160"/>
      <c r="I28" s="160"/>
      <c r="J28" s="15">
        <v>1818.5</v>
      </c>
      <c r="L28" s="128"/>
      <c r="M28" s="76"/>
      <c r="O28" s="43"/>
      <c r="P28" s="43"/>
      <c r="Q28" s="43"/>
      <c r="R28" s="43"/>
      <c r="S28" s="43"/>
      <c r="T28" s="43"/>
      <c r="U28" s="27"/>
      <c r="V28" s="43"/>
      <c r="W28" s="22"/>
      <c r="X28" s="43"/>
      <c r="Y28" s="43"/>
      <c r="Z28" s="77"/>
      <c r="AA28" s="43"/>
    </row>
    <row r="29" spans="1:27" x14ac:dyDescent="0.3">
      <c r="A29" s="22"/>
      <c r="B29" s="22"/>
      <c r="C29" s="22"/>
      <c r="D29" s="22"/>
      <c r="E29" s="22"/>
      <c r="F29" s="22"/>
      <c r="G29" s="22"/>
      <c r="H29" s="65"/>
      <c r="I29" s="65"/>
      <c r="J29" s="15">
        <v>1882.66</v>
      </c>
      <c r="L29" s="75"/>
      <c r="M29" s="76"/>
      <c r="N29" s="43"/>
      <c r="O29" s="43"/>
      <c r="P29" s="43"/>
      <c r="Q29" s="43"/>
      <c r="R29" s="43"/>
      <c r="S29" s="43"/>
      <c r="T29" s="43"/>
      <c r="U29" s="27"/>
      <c r="V29" s="43"/>
      <c r="W29" s="22"/>
      <c r="X29" s="43"/>
      <c r="Y29" s="43"/>
      <c r="Z29" s="43"/>
      <c r="AA29" s="43"/>
    </row>
    <row r="30" spans="1:27" x14ac:dyDescent="0.3">
      <c r="A30" s="22"/>
      <c r="B30" s="22"/>
      <c r="C30" s="22"/>
      <c r="D30" s="22"/>
      <c r="E30" s="22"/>
      <c r="F30" s="22"/>
      <c r="G30" s="22"/>
      <c r="H30" s="37"/>
      <c r="I30" s="37"/>
      <c r="J30" s="15">
        <v>424</v>
      </c>
      <c r="L30" s="21"/>
      <c r="M30" s="76"/>
      <c r="N30" s="22"/>
      <c r="O30" s="22"/>
      <c r="P30" s="43"/>
      <c r="Q30" s="22"/>
      <c r="R30" s="22"/>
      <c r="S30" s="22"/>
      <c r="T30" s="22"/>
      <c r="U30" s="27"/>
      <c r="V30" s="22"/>
      <c r="W30" s="22"/>
      <c r="X30" s="22"/>
      <c r="Y30" s="22"/>
      <c r="Z30" s="43"/>
      <c r="AA30" s="22"/>
    </row>
    <row r="31" spans="1:27" x14ac:dyDescent="0.3">
      <c r="A31" s="22"/>
      <c r="B31" s="22"/>
      <c r="C31" s="22"/>
      <c r="D31" s="22"/>
      <c r="E31" s="22"/>
      <c r="F31" s="22"/>
      <c r="G31" s="22"/>
      <c r="H31" s="37"/>
      <c r="I31" s="37"/>
      <c r="J31" s="15">
        <v>2961</v>
      </c>
      <c r="L31" s="21"/>
      <c r="M31" s="76"/>
      <c r="N31" s="22"/>
      <c r="O31" s="22"/>
      <c r="P31" s="43"/>
      <c r="Q31" s="22"/>
      <c r="R31" s="22"/>
      <c r="S31" s="22"/>
      <c r="T31" s="22"/>
      <c r="U31" s="27"/>
      <c r="V31" s="22"/>
      <c r="W31" s="22" t="s">
        <v>9</v>
      </c>
      <c r="X31" s="22"/>
      <c r="Y31" s="22"/>
      <c r="Z31" s="43"/>
      <c r="AA31" s="22"/>
    </row>
    <row r="32" spans="1:27" x14ac:dyDescent="0.3">
      <c r="A32" s="22"/>
      <c r="B32" s="22"/>
      <c r="C32" s="22"/>
      <c r="D32" s="22"/>
      <c r="E32" s="22"/>
      <c r="F32" s="22"/>
      <c r="G32" s="22"/>
      <c r="H32" s="37"/>
      <c r="I32" s="37"/>
      <c r="J32" s="15">
        <v>1696</v>
      </c>
      <c r="L32" s="21"/>
      <c r="M32" s="76"/>
      <c r="N32" s="22"/>
      <c r="O32" s="22"/>
      <c r="P32" s="43"/>
      <c r="Q32" s="22"/>
      <c r="R32" s="22"/>
      <c r="S32" s="22"/>
      <c r="T32" s="22"/>
      <c r="U32" s="27"/>
      <c r="V32" s="22"/>
      <c r="W32" s="22"/>
      <c r="X32" s="22"/>
      <c r="Y32" s="22"/>
      <c r="Z32" s="43"/>
      <c r="AA32" s="22"/>
    </row>
    <row r="33" spans="1:27" x14ac:dyDescent="0.3">
      <c r="A33" s="22"/>
      <c r="B33" s="22"/>
      <c r="C33" s="22"/>
      <c r="D33" s="22"/>
      <c r="E33" s="22"/>
      <c r="F33" s="22"/>
      <c r="G33" s="22"/>
      <c r="H33" s="22"/>
      <c r="I33" s="22"/>
      <c r="J33" s="40">
        <v>937</v>
      </c>
      <c r="L33" s="128"/>
      <c r="M33" s="56"/>
      <c r="N33" s="22"/>
      <c r="O33" s="22"/>
      <c r="P33" s="43"/>
      <c r="Q33" s="22"/>
      <c r="R33" s="22"/>
      <c r="S33" s="22"/>
      <c r="T33" s="22"/>
      <c r="U33" s="27"/>
      <c r="V33" s="22"/>
      <c r="W33" s="22"/>
      <c r="X33" s="22"/>
      <c r="Y33" s="22"/>
      <c r="Z33" s="22"/>
      <c r="AA33" s="22"/>
    </row>
    <row r="34" spans="1:27" ht="15" thickBot="1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7">
        <v>520.44000000000005</v>
      </c>
      <c r="L34" s="24"/>
      <c r="M34" s="56"/>
      <c r="N34" s="22"/>
      <c r="O34" s="22"/>
      <c r="P34" s="43"/>
      <c r="Q34" s="22"/>
      <c r="R34" s="22"/>
      <c r="S34" s="22"/>
      <c r="T34" s="22"/>
      <c r="U34" s="27"/>
      <c r="V34" s="22"/>
      <c r="W34" s="22"/>
      <c r="X34" s="22"/>
      <c r="Y34" s="22"/>
      <c r="Z34" s="22"/>
      <c r="AA34" s="22"/>
    </row>
    <row r="35" spans="1:27" ht="15.6" thickTop="1" thickBot="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132">
        <f>SUM(J22:J34)</f>
        <v>38092.800000000003</v>
      </c>
      <c r="L35" s="24"/>
      <c r="M35" s="56"/>
      <c r="N35" s="22"/>
      <c r="O35" s="22"/>
      <c r="P35" s="43"/>
      <c r="Q35" s="22"/>
      <c r="R35" s="22"/>
      <c r="S35" s="22"/>
      <c r="T35" s="22"/>
      <c r="U35" s="27"/>
      <c r="V35" s="22"/>
      <c r="W35" s="22"/>
      <c r="X35" s="22"/>
      <c r="Y35" s="22"/>
      <c r="Z35" s="22"/>
      <c r="AA35" s="22"/>
    </row>
    <row r="36" spans="1:27" ht="15" thickTop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7"/>
      <c r="L36" s="24"/>
      <c r="M36" s="22"/>
      <c r="N36" s="22"/>
      <c r="O36" s="22"/>
      <c r="P36" s="22"/>
      <c r="Q36" s="22"/>
      <c r="R36" s="22"/>
      <c r="S36" s="22"/>
      <c r="T36" s="22"/>
      <c r="U36" s="27"/>
      <c r="V36" s="22"/>
      <c r="W36" s="22"/>
      <c r="X36" s="22"/>
      <c r="Y36" s="22"/>
      <c r="Z36" s="22"/>
      <c r="AA36" s="22"/>
    </row>
    <row r="37" spans="1:27" ht="15" thickBot="1" x14ac:dyDescent="0.35">
      <c r="A37" s="140">
        <f t="shared" ref="A37:H37" si="7">SUM(A22:A36)</f>
        <v>3427.67</v>
      </c>
      <c r="B37" s="140">
        <f t="shared" si="7"/>
        <v>3651.21</v>
      </c>
      <c r="C37" s="140">
        <f t="shared" si="7"/>
        <v>2868.29</v>
      </c>
      <c r="D37" s="140">
        <f t="shared" si="7"/>
        <v>3613.29</v>
      </c>
      <c r="E37" s="140">
        <f t="shared" si="7"/>
        <v>6046.87</v>
      </c>
      <c r="F37" s="140">
        <f t="shared" si="7"/>
        <v>205</v>
      </c>
      <c r="G37" s="140">
        <f t="shared" si="7"/>
        <v>4261.21</v>
      </c>
      <c r="H37" s="140">
        <f t="shared" si="7"/>
        <v>3193.29</v>
      </c>
      <c r="I37" s="149">
        <f>SUM(A37:H37)+J35</f>
        <v>65359.630000000005</v>
      </c>
      <c r="J37" s="150" t="s">
        <v>64</v>
      </c>
      <c r="L37" s="140">
        <f t="shared" ref="L37:AA37" si="8">SUM(L22:L36)</f>
        <v>5398</v>
      </c>
      <c r="M37" s="140">
        <f t="shared" si="8"/>
        <v>1392.5</v>
      </c>
      <c r="N37" s="140">
        <f t="shared" si="8"/>
        <v>6432</v>
      </c>
      <c r="O37" s="140">
        <f t="shared" si="8"/>
        <v>235</v>
      </c>
      <c r="P37" s="140">
        <f t="shared" si="8"/>
        <v>6366</v>
      </c>
      <c r="Q37" s="140">
        <f t="shared" si="8"/>
        <v>774.6</v>
      </c>
      <c r="R37" s="140">
        <f t="shared" si="8"/>
        <v>7079</v>
      </c>
      <c r="S37" s="140">
        <f t="shared" si="8"/>
        <v>155</v>
      </c>
      <c r="T37" s="140">
        <f t="shared" si="8"/>
        <v>4392</v>
      </c>
      <c r="U37" s="140">
        <f t="shared" si="8"/>
        <v>332</v>
      </c>
      <c r="V37" s="140">
        <f t="shared" si="8"/>
        <v>1026</v>
      </c>
      <c r="W37" s="140">
        <f t="shared" si="8"/>
        <v>15</v>
      </c>
      <c r="X37" s="140">
        <f t="shared" si="8"/>
        <v>7013</v>
      </c>
      <c r="Y37" s="140">
        <f t="shared" si="8"/>
        <v>335</v>
      </c>
      <c r="Z37" s="140">
        <f t="shared" si="8"/>
        <v>5992</v>
      </c>
      <c r="AA37" s="140">
        <f t="shared" si="8"/>
        <v>428</v>
      </c>
    </row>
    <row r="38" spans="1:27" ht="15" thickBot="1" x14ac:dyDescent="0.35">
      <c r="A38" s="140">
        <v>3427.67</v>
      </c>
      <c r="B38" s="140">
        <v>3651.21</v>
      </c>
      <c r="C38" s="140">
        <v>2868.29</v>
      </c>
      <c r="D38" s="140">
        <v>3613.29</v>
      </c>
      <c r="E38" s="140">
        <v>6046.87</v>
      </c>
      <c r="F38" s="140">
        <v>205</v>
      </c>
      <c r="G38" s="140">
        <v>4261.21</v>
      </c>
      <c r="H38" s="140">
        <v>3193.29</v>
      </c>
      <c r="I38" s="140">
        <f>SUM(I23:I37)</f>
        <v>65359.630000000005</v>
      </c>
      <c r="J38" s="151"/>
      <c r="L38" s="140">
        <v>5398</v>
      </c>
      <c r="M38" s="140">
        <v>1392.5</v>
      </c>
      <c r="N38" s="140">
        <v>6432</v>
      </c>
      <c r="O38" s="140">
        <v>235</v>
      </c>
      <c r="P38" s="140">
        <v>6366</v>
      </c>
      <c r="Q38" s="140">
        <v>774.6</v>
      </c>
      <c r="R38" s="140">
        <v>7079</v>
      </c>
      <c r="S38" s="140">
        <v>155</v>
      </c>
      <c r="T38" s="140">
        <v>4392</v>
      </c>
      <c r="U38" s="140">
        <v>332</v>
      </c>
      <c r="V38" s="140">
        <v>1026</v>
      </c>
      <c r="W38" s="140">
        <v>15</v>
      </c>
      <c r="X38" s="140">
        <v>7013</v>
      </c>
      <c r="Y38" s="140">
        <v>335</v>
      </c>
      <c r="Z38" s="140">
        <v>5992</v>
      </c>
      <c r="AA38" s="140">
        <v>428</v>
      </c>
    </row>
    <row r="39" spans="1:27" ht="15" thickBot="1" x14ac:dyDescent="0.35">
      <c r="A39" s="63">
        <f t="shared" ref="A39:I39" si="9">A37-A38</f>
        <v>0</v>
      </c>
      <c r="B39" s="63">
        <f t="shared" si="9"/>
        <v>0</v>
      </c>
      <c r="C39" s="63">
        <f t="shared" si="9"/>
        <v>0</v>
      </c>
      <c r="D39" s="63">
        <f t="shared" si="9"/>
        <v>0</v>
      </c>
      <c r="E39" s="63">
        <f t="shared" si="9"/>
        <v>0</v>
      </c>
      <c r="F39" s="63">
        <f t="shared" si="9"/>
        <v>0</v>
      </c>
      <c r="G39" s="63">
        <f t="shared" si="9"/>
        <v>0</v>
      </c>
      <c r="H39" s="63">
        <f t="shared" si="9"/>
        <v>0</v>
      </c>
      <c r="I39" s="63">
        <f t="shared" si="9"/>
        <v>0</v>
      </c>
      <c r="J39" s="22"/>
      <c r="L39" s="152">
        <f>L37-L38</f>
        <v>0</v>
      </c>
      <c r="M39" s="152">
        <f>M37-M38</f>
        <v>0</v>
      </c>
      <c r="N39" s="152">
        <f t="shared" ref="N39:X39" si="10">N38-N37</f>
        <v>0</v>
      </c>
      <c r="O39" s="152">
        <f t="shared" si="10"/>
        <v>0</v>
      </c>
      <c r="P39" s="152">
        <f t="shared" si="10"/>
        <v>0</v>
      </c>
      <c r="Q39" s="152">
        <f t="shared" si="10"/>
        <v>0</v>
      </c>
      <c r="R39" s="152">
        <f t="shared" si="10"/>
        <v>0</v>
      </c>
      <c r="S39" s="152">
        <f t="shared" si="10"/>
        <v>0</v>
      </c>
      <c r="T39" s="152">
        <f t="shared" si="10"/>
        <v>0</v>
      </c>
      <c r="U39" s="152">
        <f t="shared" si="10"/>
        <v>0</v>
      </c>
      <c r="V39" s="152">
        <f t="shared" si="10"/>
        <v>0</v>
      </c>
      <c r="W39" s="152">
        <f t="shared" si="10"/>
        <v>0</v>
      </c>
      <c r="X39" s="152">
        <f t="shared" si="10"/>
        <v>0</v>
      </c>
      <c r="Y39" s="152">
        <f t="shared" ref="Y39" si="11">Y38-Y37</f>
        <v>0</v>
      </c>
      <c r="Z39" s="152">
        <f>Z38-Z37</f>
        <v>0</v>
      </c>
      <c r="AA39" s="152">
        <f t="shared" ref="AA39" si="12">AA38-AA37</f>
        <v>0</v>
      </c>
    </row>
    <row r="40" spans="1:27" ht="15" thickBot="1" x14ac:dyDescent="0.35">
      <c r="I40" s="1"/>
      <c r="J40" s="1"/>
    </row>
    <row r="41" spans="1:27" x14ac:dyDescent="0.3">
      <c r="A41" s="157">
        <v>46036</v>
      </c>
      <c r="B41" s="157">
        <f t="shared" ref="B41:G41" si="13">A41+1</f>
        <v>46037</v>
      </c>
      <c r="C41" s="157">
        <f t="shared" si="13"/>
        <v>46038</v>
      </c>
      <c r="D41" s="157">
        <f t="shared" si="13"/>
        <v>46039</v>
      </c>
      <c r="E41" s="157">
        <f t="shared" si="13"/>
        <v>46040</v>
      </c>
      <c r="F41" s="157">
        <f t="shared" si="13"/>
        <v>46041</v>
      </c>
      <c r="G41" s="157">
        <f t="shared" si="13"/>
        <v>46042</v>
      </c>
      <c r="H41" s="157"/>
      <c r="I41" s="13" t="s">
        <v>8</v>
      </c>
      <c r="K41" s="59">
        <v>46036</v>
      </c>
      <c r="L41" s="59"/>
      <c r="M41" s="59">
        <f>K41+1</f>
        <v>46037</v>
      </c>
      <c r="N41" s="59"/>
      <c r="O41" s="59">
        <f>M41+1</f>
        <v>46038</v>
      </c>
      <c r="P41" s="59"/>
      <c r="Q41" s="59">
        <f>O41+1</f>
        <v>46039</v>
      </c>
      <c r="R41" s="59"/>
      <c r="S41" s="59">
        <f>Q41+1</f>
        <v>46040</v>
      </c>
      <c r="T41" s="59"/>
      <c r="U41" s="59">
        <f>S41+1</f>
        <v>46041</v>
      </c>
      <c r="V41" s="59"/>
      <c r="W41" s="59">
        <f>U41+1</f>
        <v>46042</v>
      </c>
      <c r="X41" s="59"/>
    </row>
    <row r="42" spans="1:27" ht="15" thickBot="1" x14ac:dyDescent="0.35">
      <c r="A42" s="22">
        <v>412.5</v>
      </c>
      <c r="B42" s="22">
        <v>285</v>
      </c>
      <c r="C42" s="22">
        <v>505</v>
      </c>
      <c r="D42" s="22">
        <v>230</v>
      </c>
      <c r="E42" s="22">
        <v>0</v>
      </c>
      <c r="F42" s="22">
        <v>385</v>
      </c>
      <c r="G42" s="22">
        <v>230</v>
      </c>
      <c r="H42" s="15"/>
      <c r="I42" s="15">
        <v>5121.76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7" x14ac:dyDescent="0.3">
      <c r="A43" s="22">
        <v>2237.5</v>
      </c>
      <c r="B43" s="22">
        <v>1675</v>
      </c>
      <c r="C43" s="22">
        <v>1820</v>
      </c>
      <c r="D43" s="22">
        <v>665</v>
      </c>
      <c r="E43" s="22"/>
      <c r="F43" s="22">
        <v>2290</v>
      </c>
      <c r="G43" s="22">
        <v>1640</v>
      </c>
      <c r="H43" s="15"/>
      <c r="I43" s="15">
        <v>4455.3999999999996</v>
      </c>
      <c r="K43" s="75">
        <v>355</v>
      </c>
      <c r="L43" s="76">
        <v>42.5</v>
      </c>
      <c r="M43" s="77">
        <v>24</v>
      </c>
      <c r="N43" s="77">
        <v>50</v>
      </c>
      <c r="O43" s="77">
        <v>15</v>
      </c>
      <c r="P43" s="77">
        <v>35</v>
      </c>
      <c r="Q43" s="77">
        <v>330</v>
      </c>
      <c r="R43" s="77">
        <v>42.5</v>
      </c>
      <c r="S43" s="77">
        <v>100</v>
      </c>
      <c r="T43" s="40">
        <v>200</v>
      </c>
      <c r="U43" s="77">
        <v>15</v>
      </c>
      <c r="V43" s="63">
        <v>80</v>
      </c>
      <c r="W43" s="77">
        <v>520</v>
      </c>
      <c r="X43" s="77">
        <v>157</v>
      </c>
    </row>
    <row r="44" spans="1:27" x14ac:dyDescent="0.3">
      <c r="A44" s="22">
        <v>1586.21</v>
      </c>
      <c r="B44" s="44">
        <v>1538.29</v>
      </c>
      <c r="C44" s="22">
        <v>1198.29</v>
      </c>
      <c r="D44" s="22">
        <v>4598.8</v>
      </c>
      <c r="E44" s="46"/>
      <c r="F44" s="22">
        <v>1150.3699999999999</v>
      </c>
      <c r="G44" s="22">
        <v>1724.35</v>
      </c>
      <c r="H44" s="15"/>
      <c r="I44" s="15">
        <v>780.66</v>
      </c>
      <c r="K44" s="75">
        <v>356</v>
      </c>
      <c r="L44" s="76">
        <v>490</v>
      </c>
      <c r="M44" s="43">
        <v>500</v>
      </c>
      <c r="N44" s="43">
        <v>200</v>
      </c>
      <c r="O44" s="77">
        <v>210</v>
      </c>
      <c r="P44" s="43">
        <v>1500</v>
      </c>
      <c r="Q44" s="43">
        <v>192</v>
      </c>
      <c r="R44" s="80">
        <v>110</v>
      </c>
      <c r="S44" s="43">
        <v>96</v>
      </c>
      <c r="T44" s="27">
        <v>96</v>
      </c>
      <c r="U44" s="43">
        <v>400</v>
      </c>
      <c r="V44" s="22">
        <v>675.1</v>
      </c>
      <c r="W44" s="43">
        <v>252</v>
      </c>
      <c r="X44" s="43">
        <v>1440</v>
      </c>
    </row>
    <row r="45" spans="1:27" x14ac:dyDescent="0.3">
      <c r="A45" s="22"/>
      <c r="B45" s="41"/>
      <c r="C45" s="22"/>
      <c r="D45" s="22"/>
      <c r="E45" s="22"/>
      <c r="F45" s="22"/>
      <c r="G45" s="22"/>
      <c r="H45" s="15"/>
      <c r="I45" s="15">
        <v>905</v>
      </c>
      <c r="K45" s="21">
        <v>4010</v>
      </c>
      <c r="L45" s="76"/>
      <c r="M45" s="43">
        <v>234</v>
      </c>
      <c r="N45" s="43">
        <v>120</v>
      </c>
      <c r="O45" s="77">
        <v>408</v>
      </c>
      <c r="P45" s="43" t="s">
        <v>9</v>
      </c>
      <c r="Q45" s="43">
        <v>2480</v>
      </c>
      <c r="R45" s="84">
        <v>500</v>
      </c>
      <c r="S45" s="43">
        <v>1000</v>
      </c>
      <c r="T45" s="27">
        <v>1690</v>
      </c>
      <c r="U45" s="43">
        <v>407</v>
      </c>
      <c r="V45" s="22">
        <v>60</v>
      </c>
      <c r="W45" s="43">
        <v>3740</v>
      </c>
      <c r="X45" s="43"/>
    </row>
    <row r="46" spans="1:27" x14ac:dyDescent="0.3">
      <c r="A46" s="22"/>
      <c r="B46" s="22"/>
      <c r="C46" s="22"/>
      <c r="D46" s="22"/>
      <c r="E46" s="22"/>
      <c r="F46" s="22"/>
      <c r="G46" s="22"/>
      <c r="H46" s="15"/>
      <c r="I46" s="15">
        <v>4530</v>
      </c>
      <c r="K46" s="21">
        <v>810</v>
      </c>
      <c r="L46" s="76"/>
      <c r="M46" s="43">
        <v>3380</v>
      </c>
      <c r="N46" s="43"/>
      <c r="O46" s="43">
        <v>5080</v>
      </c>
      <c r="P46" s="43"/>
      <c r="Q46" s="43">
        <v>1370</v>
      </c>
      <c r="R46" s="43"/>
      <c r="S46" s="43"/>
      <c r="T46" s="27"/>
      <c r="U46" s="43">
        <v>5330</v>
      </c>
      <c r="V46" s="22"/>
      <c r="W46" s="43">
        <v>630</v>
      </c>
      <c r="X46" s="43"/>
    </row>
    <row r="47" spans="1:27" x14ac:dyDescent="0.3">
      <c r="A47" s="22"/>
      <c r="B47" s="22"/>
      <c r="C47" s="22"/>
      <c r="D47" s="22"/>
      <c r="E47" s="22"/>
      <c r="F47" s="22"/>
      <c r="G47" s="22"/>
      <c r="H47" s="15"/>
      <c r="I47" s="15">
        <v>848</v>
      </c>
      <c r="K47" s="21"/>
      <c r="L47" s="76"/>
      <c r="M47" s="43">
        <v>520</v>
      </c>
      <c r="N47" s="43"/>
      <c r="O47" s="43">
        <v>510</v>
      </c>
      <c r="P47" s="43"/>
      <c r="Q47" s="43"/>
      <c r="R47" s="43"/>
      <c r="S47" s="43"/>
      <c r="T47" s="27"/>
      <c r="U47" s="43">
        <v>700</v>
      </c>
      <c r="V47" s="22"/>
      <c r="W47" s="43"/>
      <c r="X47" s="43"/>
    </row>
    <row r="48" spans="1:27" x14ac:dyDescent="0.3">
      <c r="A48" s="22"/>
      <c r="B48" s="22"/>
      <c r="C48" s="22"/>
      <c r="D48" s="22"/>
      <c r="E48" s="22"/>
      <c r="F48" s="22"/>
      <c r="G48" s="22"/>
      <c r="H48" s="160"/>
      <c r="I48" s="15">
        <v>6360</v>
      </c>
      <c r="K48" s="128"/>
      <c r="L48" s="76"/>
      <c r="N48" s="43"/>
      <c r="O48" s="43"/>
      <c r="P48" s="43"/>
      <c r="Q48" s="43"/>
      <c r="R48" s="43"/>
      <c r="S48" s="43"/>
      <c r="T48" s="27"/>
      <c r="U48" s="43"/>
      <c r="V48" s="22"/>
      <c r="W48" s="43"/>
      <c r="X48" s="43"/>
    </row>
    <row r="49" spans="1:24" x14ac:dyDescent="0.3">
      <c r="A49" s="22"/>
      <c r="B49" s="22"/>
      <c r="C49" s="22"/>
      <c r="D49" s="22"/>
      <c r="E49" s="22"/>
      <c r="F49" s="22"/>
      <c r="G49" s="22"/>
      <c r="H49" s="65"/>
      <c r="I49" s="15">
        <v>1076</v>
      </c>
      <c r="K49" s="75"/>
      <c r="L49" s="76"/>
      <c r="M49" s="43"/>
      <c r="N49" s="43"/>
      <c r="O49" s="43"/>
      <c r="P49" s="43"/>
      <c r="Q49" s="43"/>
      <c r="R49" s="43"/>
      <c r="S49" s="43"/>
      <c r="T49" s="27"/>
      <c r="U49" s="43"/>
      <c r="V49" s="22"/>
      <c r="W49" s="43"/>
      <c r="X49" s="43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15">
        <v>1348.57</v>
      </c>
      <c r="K50" s="21"/>
      <c r="L50" s="76"/>
      <c r="M50" s="22"/>
      <c r="N50" s="22"/>
      <c r="O50" s="43"/>
      <c r="P50" s="22"/>
      <c r="Q50" s="22"/>
      <c r="R50" s="22"/>
      <c r="S50" s="22"/>
      <c r="T50" s="27"/>
      <c r="U50" s="22"/>
      <c r="V50" s="22"/>
      <c r="W50" s="22"/>
      <c r="X50" s="22"/>
    </row>
    <row r="51" spans="1:24" x14ac:dyDescent="0.3">
      <c r="A51" s="22"/>
      <c r="B51" s="22"/>
      <c r="C51" s="22"/>
      <c r="D51" s="22"/>
      <c r="E51" s="22"/>
      <c r="F51" s="22"/>
      <c r="G51" s="22"/>
      <c r="H51" s="37"/>
      <c r="I51" s="15">
        <v>2696</v>
      </c>
      <c r="K51" s="21"/>
      <c r="L51" s="76"/>
      <c r="M51" s="22"/>
      <c r="N51" s="22"/>
      <c r="O51" s="43"/>
      <c r="P51" s="22"/>
      <c r="Q51" s="22"/>
      <c r="R51" s="22"/>
      <c r="S51" s="22"/>
      <c r="T51" s="27"/>
      <c r="U51" s="22"/>
      <c r="V51" s="22"/>
      <c r="W51" s="22"/>
      <c r="X51" s="22"/>
    </row>
    <row r="52" spans="1:24" x14ac:dyDescent="0.3">
      <c r="A52" s="22"/>
      <c r="B52" s="22"/>
      <c r="C52" s="22"/>
      <c r="D52" s="22"/>
      <c r="E52" s="22"/>
      <c r="F52" s="22"/>
      <c r="G52" s="22"/>
      <c r="H52" s="37"/>
      <c r="I52" s="15">
        <v>1296</v>
      </c>
      <c r="K52" s="21"/>
      <c r="L52" s="76"/>
      <c r="M52" s="22"/>
      <c r="N52" s="22"/>
      <c r="O52" s="43"/>
      <c r="P52" s="22"/>
      <c r="Q52" s="22"/>
      <c r="R52" s="22"/>
      <c r="S52" s="22"/>
      <c r="T52" s="27"/>
      <c r="U52" s="22"/>
      <c r="V52" s="22"/>
      <c r="W52" s="22"/>
      <c r="X52" s="22"/>
    </row>
    <row r="53" spans="1:24" x14ac:dyDescent="0.3">
      <c r="A53" s="22"/>
      <c r="B53" s="22"/>
      <c r="C53" s="22"/>
      <c r="D53" s="22"/>
      <c r="E53" s="22"/>
      <c r="F53" s="22"/>
      <c r="G53" s="22"/>
      <c r="H53" s="22"/>
      <c r="I53" s="40">
        <v>913</v>
      </c>
      <c r="K53" s="128"/>
      <c r="L53" s="56"/>
      <c r="M53" s="22"/>
      <c r="N53" s="22"/>
      <c r="O53" s="43"/>
      <c r="P53" s="22"/>
      <c r="Q53" s="22"/>
      <c r="R53" s="22"/>
      <c r="S53" s="22"/>
      <c r="T53" s="27"/>
      <c r="U53" s="22"/>
      <c r="V53" s="22"/>
      <c r="W53" s="22"/>
      <c r="X53" s="22"/>
    </row>
    <row r="54" spans="1:24" ht="15" thickBot="1" x14ac:dyDescent="0.35">
      <c r="A54" s="22"/>
      <c r="B54" s="22"/>
      <c r="C54" s="22"/>
      <c r="D54" s="22"/>
      <c r="E54" s="22"/>
      <c r="F54" s="22"/>
      <c r="G54" s="22"/>
      <c r="H54" s="22"/>
      <c r="I54" s="27"/>
      <c r="K54" s="24"/>
      <c r="L54" s="56"/>
      <c r="M54" s="22"/>
      <c r="N54" s="22"/>
      <c r="O54" s="43"/>
      <c r="P54" s="22"/>
      <c r="Q54" s="22"/>
      <c r="R54" s="22"/>
      <c r="S54" s="22"/>
      <c r="T54" s="27"/>
      <c r="U54" s="22"/>
      <c r="V54" s="22"/>
      <c r="W54" s="22"/>
      <c r="X54" s="22"/>
    </row>
    <row r="55" spans="1:24" ht="15.6" thickTop="1" thickBot="1" x14ac:dyDescent="0.35">
      <c r="A55" s="22"/>
      <c r="B55" s="22"/>
      <c r="C55" s="22"/>
      <c r="D55" s="22"/>
      <c r="E55" s="22"/>
      <c r="F55" s="22"/>
      <c r="G55" s="22"/>
      <c r="H55" s="22"/>
      <c r="I55" s="132">
        <f>SUM(I42:I54)</f>
        <v>30330.39</v>
      </c>
      <c r="K55" s="24"/>
      <c r="L55" s="56"/>
      <c r="M55" s="22"/>
      <c r="N55" s="22"/>
      <c r="O55" s="43"/>
      <c r="P55" s="22"/>
      <c r="Q55" s="22"/>
      <c r="R55" s="22"/>
      <c r="S55" s="22"/>
      <c r="T55" s="27"/>
      <c r="U55" s="22"/>
      <c r="V55" s="22"/>
      <c r="W55" s="22"/>
      <c r="X55" s="22"/>
    </row>
    <row r="56" spans="1:24" ht="15" thickTop="1" x14ac:dyDescent="0.3">
      <c r="A56" s="22"/>
      <c r="B56" s="22"/>
      <c r="C56" s="22"/>
      <c r="D56" s="22"/>
      <c r="E56" s="22"/>
      <c r="F56" s="22"/>
      <c r="G56" s="22"/>
      <c r="H56" s="22"/>
      <c r="I56" s="27"/>
      <c r="K56" s="24"/>
      <c r="L56" s="22"/>
      <c r="M56" s="22"/>
      <c r="N56" s="22"/>
      <c r="O56" s="22"/>
      <c r="P56" s="22"/>
      <c r="Q56" s="22"/>
      <c r="R56" s="22"/>
      <c r="S56" s="22"/>
      <c r="T56" s="27"/>
      <c r="U56" s="22"/>
      <c r="V56" s="22"/>
      <c r="W56" s="22"/>
      <c r="X56" s="22"/>
    </row>
    <row r="57" spans="1:24" ht="15" thickBot="1" x14ac:dyDescent="0.35">
      <c r="A57" s="140">
        <f t="shared" ref="A57:G57" si="14">SUM(A42:A56)</f>
        <v>4236.21</v>
      </c>
      <c r="B57" s="140">
        <f t="shared" si="14"/>
        <v>3498.29</v>
      </c>
      <c r="C57" s="140">
        <f t="shared" si="14"/>
        <v>3523.29</v>
      </c>
      <c r="D57" s="140">
        <f t="shared" si="14"/>
        <v>5493.8</v>
      </c>
      <c r="E57" s="140">
        <f t="shared" si="14"/>
        <v>0</v>
      </c>
      <c r="F57" s="140">
        <f t="shared" si="14"/>
        <v>3825.37</v>
      </c>
      <c r="G57" s="140">
        <f t="shared" si="14"/>
        <v>3594.35</v>
      </c>
      <c r="H57" s="149">
        <f>SUM(A57:G57)+I55+90</f>
        <v>54591.7</v>
      </c>
      <c r="I57" s="150" t="s">
        <v>64</v>
      </c>
      <c r="K57" s="140">
        <f t="shared" ref="K57:X57" si="15">SUM(K42:K56)</f>
        <v>5531</v>
      </c>
      <c r="L57" s="140">
        <f t="shared" si="15"/>
        <v>532.5</v>
      </c>
      <c r="M57" s="140">
        <f t="shared" si="15"/>
        <v>4658</v>
      </c>
      <c r="N57" s="140">
        <f t="shared" si="15"/>
        <v>370</v>
      </c>
      <c r="O57" s="140">
        <f t="shared" si="15"/>
        <v>6223</v>
      </c>
      <c r="P57" s="140">
        <f t="shared" si="15"/>
        <v>1535</v>
      </c>
      <c r="Q57" s="140">
        <f t="shared" si="15"/>
        <v>4372</v>
      </c>
      <c r="R57" s="140">
        <f t="shared" si="15"/>
        <v>652.5</v>
      </c>
      <c r="S57" s="140">
        <f t="shared" si="15"/>
        <v>1196</v>
      </c>
      <c r="T57" s="140">
        <f t="shared" si="15"/>
        <v>1986</v>
      </c>
      <c r="U57" s="140">
        <f t="shared" si="15"/>
        <v>6852</v>
      </c>
      <c r="V57" s="140">
        <f t="shared" si="15"/>
        <v>815.1</v>
      </c>
      <c r="W57" s="140">
        <f t="shared" si="15"/>
        <v>5142</v>
      </c>
      <c r="X57" s="140">
        <f t="shared" si="15"/>
        <v>1597</v>
      </c>
    </row>
    <row r="58" spans="1:24" ht="15" thickBot="1" x14ac:dyDescent="0.35">
      <c r="A58" s="140">
        <v>4236.21</v>
      </c>
      <c r="B58" s="140">
        <v>3498.29</v>
      </c>
      <c r="C58" s="140">
        <v>3523.29</v>
      </c>
      <c r="D58" s="140">
        <v>5493.8</v>
      </c>
      <c r="E58" s="140">
        <f>SUM(E43:E57)</f>
        <v>0</v>
      </c>
      <c r="F58" s="140">
        <v>3825.37</v>
      </c>
      <c r="G58" s="140">
        <v>3594.35</v>
      </c>
      <c r="H58" s="140">
        <f>SUM(A58:G58)+I55</f>
        <v>54501.7</v>
      </c>
      <c r="I58" s="151"/>
      <c r="K58" s="140">
        <v>5531</v>
      </c>
      <c r="L58" s="140">
        <v>532.5</v>
      </c>
      <c r="M58" s="140">
        <v>4658</v>
      </c>
      <c r="N58" s="140">
        <v>370</v>
      </c>
      <c r="O58" s="140">
        <v>6223</v>
      </c>
      <c r="P58" s="140">
        <v>1535</v>
      </c>
      <c r="Q58" s="140">
        <v>4372</v>
      </c>
      <c r="R58" s="140">
        <v>652.5</v>
      </c>
      <c r="S58" s="140">
        <v>1196</v>
      </c>
      <c r="T58" s="140">
        <v>1986</v>
      </c>
      <c r="U58" s="140">
        <v>6852</v>
      </c>
      <c r="V58" s="140">
        <v>815.1</v>
      </c>
      <c r="W58" s="140">
        <v>5142</v>
      </c>
      <c r="X58" s="140">
        <v>1597</v>
      </c>
    </row>
    <row r="59" spans="1:24" ht="15" thickBot="1" x14ac:dyDescent="0.35">
      <c r="A59" s="63">
        <f t="shared" ref="A59:H59" si="16">A57-A58</f>
        <v>0</v>
      </c>
      <c r="B59" s="63">
        <f t="shared" si="16"/>
        <v>0</v>
      </c>
      <c r="C59" s="63">
        <f t="shared" si="16"/>
        <v>0</v>
      </c>
      <c r="D59" s="63">
        <f t="shared" si="16"/>
        <v>0</v>
      </c>
      <c r="E59" s="63">
        <f t="shared" si="16"/>
        <v>0</v>
      </c>
      <c r="F59" s="63">
        <f t="shared" si="16"/>
        <v>0</v>
      </c>
      <c r="G59" s="63">
        <f t="shared" si="16"/>
        <v>0</v>
      </c>
      <c r="H59" s="63">
        <f t="shared" si="16"/>
        <v>90</v>
      </c>
      <c r="I59" s="22"/>
      <c r="K59" s="152">
        <f>K57-K58</f>
        <v>0</v>
      </c>
      <c r="L59" s="152">
        <f>L57-L58</f>
        <v>0</v>
      </c>
      <c r="M59" s="152">
        <f t="shared" ref="M59:X59" si="17">M58-M57</f>
        <v>0</v>
      </c>
      <c r="N59" s="152">
        <f t="shared" si="17"/>
        <v>0</v>
      </c>
      <c r="O59" s="152">
        <f t="shared" si="17"/>
        <v>0</v>
      </c>
      <c r="P59" s="152">
        <f t="shared" si="17"/>
        <v>0</v>
      </c>
      <c r="Q59" s="152">
        <f t="shared" si="17"/>
        <v>0</v>
      </c>
      <c r="R59" s="152">
        <f t="shared" si="17"/>
        <v>0</v>
      </c>
      <c r="S59" s="152">
        <f t="shared" si="17"/>
        <v>0</v>
      </c>
      <c r="T59" s="152">
        <f t="shared" si="17"/>
        <v>0</v>
      </c>
      <c r="U59" s="152">
        <f t="shared" si="17"/>
        <v>0</v>
      </c>
      <c r="V59" s="152">
        <f t="shared" si="17"/>
        <v>0</v>
      </c>
      <c r="W59" s="152">
        <f t="shared" si="17"/>
        <v>0</v>
      </c>
      <c r="X59" s="152">
        <f t="shared" si="17"/>
        <v>0</v>
      </c>
    </row>
    <row r="60" spans="1:24" ht="15" thickBot="1" x14ac:dyDescent="0.35"/>
    <row r="61" spans="1:24" x14ac:dyDescent="0.3">
      <c r="A61" s="157">
        <v>46043</v>
      </c>
      <c r="B61" s="157">
        <f t="shared" ref="B61:G61" si="18">A61+1</f>
        <v>46044</v>
      </c>
      <c r="C61" s="157">
        <f t="shared" si="18"/>
        <v>46045</v>
      </c>
      <c r="D61" s="157">
        <f t="shared" si="18"/>
        <v>46046</v>
      </c>
      <c r="E61" s="157">
        <f t="shared" si="18"/>
        <v>46047</v>
      </c>
      <c r="F61" s="157">
        <f t="shared" si="18"/>
        <v>46048</v>
      </c>
      <c r="G61" s="157">
        <f t="shared" si="18"/>
        <v>46049</v>
      </c>
      <c r="H61" s="157"/>
      <c r="I61" s="13" t="s">
        <v>8</v>
      </c>
      <c r="K61" s="59">
        <v>46043</v>
      </c>
      <c r="L61" s="59"/>
      <c r="M61" s="59">
        <f>K61+1</f>
        <v>46044</v>
      </c>
      <c r="N61" s="59"/>
      <c r="O61" s="59">
        <f>M61+1</f>
        <v>46045</v>
      </c>
      <c r="P61" s="59"/>
      <c r="Q61" s="59">
        <f>O61+1</f>
        <v>46046</v>
      </c>
      <c r="R61" s="59"/>
      <c r="S61" s="59">
        <f>Q61+1</f>
        <v>46047</v>
      </c>
      <c r="T61" s="59"/>
      <c r="U61" s="59">
        <f>S61+1</f>
        <v>46048</v>
      </c>
      <c r="V61" s="59"/>
      <c r="W61" s="59">
        <f>U61+1</f>
        <v>46049</v>
      </c>
      <c r="X61" s="59"/>
    </row>
    <row r="62" spans="1:24" ht="15" thickBot="1" x14ac:dyDescent="0.35">
      <c r="A62" s="22">
        <v>400</v>
      </c>
      <c r="B62" s="22">
        <v>605</v>
      </c>
      <c r="C62" s="22">
        <v>300</v>
      </c>
      <c r="D62" s="22">
        <v>315</v>
      </c>
      <c r="E62" s="22">
        <v>170</v>
      </c>
      <c r="F62" s="22">
        <v>485</v>
      </c>
      <c r="G62" s="22">
        <v>300</v>
      </c>
      <c r="H62" s="15"/>
      <c r="I62" s="15">
        <v>4519.2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2370</v>
      </c>
      <c r="B63" s="22">
        <v>1100</v>
      </c>
      <c r="C63" s="22">
        <v>2270</v>
      </c>
      <c r="D63" s="22">
        <v>1095</v>
      </c>
      <c r="E63" s="22"/>
      <c r="F63" s="22">
        <v>2305</v>
      </c>
      <c r="G63" s="22">
        <v>1890</v>
      </c>
      <c r="H63" s="15"/>
      <c r="I63" s="15">
        <v>4455.3999999999996</v>
      </c>
      <c r="K63" s="75">
        <v>30</v>
      </c>
      <c r="L63" s="76">
        <v>42.5</v>
      </c>
      <c r="M63" s="77">
        <v>26</v>
      </c>
      <c r="N63" s="77">
        <v>50</v>
      </c>
      <c r="O63" s="77">
        <v>15</v>
      </c>
      <c r="P63" s="77">
        <v>20</v>
      </c>
      <c r="Q63" s="77">
        <v>260</v>
      </c>
      <c r="R63" s="77">
        <v>130</v>
      </c>
      <c r="S63" s="77">
        <v>80</v>
      </c>
      <c r="T63" s="40">
        <v>15</v>
      </c>
      <c r="U63" s="77">
        <v>15</v>
      </c>
      <c r="V63" s="63">
        <v>32</v>
      </c>
      <c r="W63" s="77">
        <v>460</v>
      </c>
      <c r="X63" s="77">
        <v>50</v>
      </c>
    </row>
    <row r="64" spans="1:24" x14ac:dyDescent="0.3">
      <c r="A64" s="22">
        <v>1320.37</v>
      </c>
      <c r="B64" s="44">
        <v>1628.51</v>
      </c>
      <c r="C64" s="22">
        <v>1198.29</v>
      </c>
      <c r="D64" s="22">
        <v>4468.6899999999996</v>
      </c>
      <c r="E64" s="46"/>
      <c r="F64" s="22">
        <v>1060.1500000000001</v>
      </c>
      <c r="G64" s="22">
        <v>1798.51</v>
      </c>
      <c r="H64" s="15"/>
      <c r="I64" s="15">
        <v>260.22000000000003</v>
      </c>
      <c r="K64" s="75">
        <v>330</v>
      </c>
      <c r="L64" s="76">
        <v>60</v>
      </c>
      <c r="M64" s="43">
        <v>330</v>
      </c>
      <c r="N64" s="43">
        <v>230</v>
      </c>
      <c r="O64" s="77">
        <v>360</v>
      </c>
      <c r="P64" s="43">
        <v>75</v>
      </c>
      <c r="Q64" s="43">
        <v>192</v>
      </c>
      <c r="R64" s="80">
        <v>50</v>
      </c>
      <c r="S64" s="43">
        <v>96</v>
      </c>
      <c r="T64" s="27"/>
      <c r="U64" s="43">
        <v>410</v>
      </c>
      <c r="V64" s="22">
        <v>27.5</v>
      </c>
      <c r="W64" s="43">
        <v>252</v>
      </c>
      <c r="X64" s="43">
        <v>120</v>
      </c>
    </row>
    <row r="65" spans="1:24" x14ac:dyDescent="0.3">
      <c r="A65" s="22"/>
      <c r="B65" s="41"/>
      <c r="C65" s="22"/>
      <c r="D65" s="22"/>
      <c r="E65" s="22"/>
      <c r="F65" s="22"/>
      <c r="G65" s="22"/>
      <c r="H65" s="15"/>
      <c r="I65" s="15">
        <v>1315</v>
      </c>
      <c r="K65" s="75">
        <v>356</v>
      </c>
      <c r="L65" s="76"/>
      <c r="M65" s="43">
        <v>234</v>
      </c>
      <c r="N65" s="43"/>
      <c r="O65" s="77">
        <v>408</v>
      </c>
      <c r="P65" s="43"/>
      <c r="Q65" s="43">
        <v>2730</v>
      </c>
      <c r="R65" s="84">
        <v>60</v>
      </c>
      <c r="S65" s="43">
        <v>870</v>
      </c>
      <c r="T65" s="27"/>
      <c r="U65" s="43">
        <v>504</v>
      </c>
      <c r="V65" s="22">
        <v>540</v>
      </c>
      <c r="W65" s="43">
        <v>4270</v>
      </c>
      <c r="X65" s="43">
        <v>840</v>
      </c>
    </row>
    <row r="66" spans="1:24" x14ac:dyDescent="0.3">
      <c r="A66" s="22"/>
      <c r="B66" s="22"/>
      <c r="C66" s="22"/>
      <c r="D66" s="22"/>
      <c r="E66" s="22"/>
      <c r="F66" s="22"/>
      <c r="G66" s="22"/>
      <c r="H66" s="15"/>
      <c r="I66" s="15">
        <v>4390</v>
      </c>
      <c r="K66" s="21">
        <v>4290</v>
      </c>
      <c r="L66" s="76"/>
      <c r="M66" s="43">
        <v>4160</v>
      </c>
      <c r="N66" s="43"/>
      <c r="O66" s="43">
        <v>5040</v>
      </c>
      <c r="P66" s="43"/>
      <c r="Q66" s="43">
        <v>1400</v>
      </c>
      <c r="R66" s="43"/>
      <c r="S66" s="43"/>
      <c r="T66" s="27"/>
      <c r="U66" s="43">
        <v>5330</v>
      </c>
      <c r="V66" s="22"/>
      <c r="W66" s="43">
        <v>650</v>
      </c>
      <c r="X66" s="43"/>
    </row>
    <row r="67" spans="1:24" x14ac:dyDescent="0.3">
      <c r="A67" s="22"/>
      <c r="B67" s="22"/>
      <c r="C67" s="22"/>
      <c r="D67" s="22"/>
      <c r="E67" s="22"/>
      <c r="F67" s="22"/>
      <c r="G67" s="22"/>
      <c r="H67" s="15"/>
      <c r="I67" s="15">
        <v>848</v>
      </c>
      <c r="K67" s="21">
        <v>790</v>
      </c>
      <c r="L67" s="76"/>
      <c r="M67" s="43">
        <v>950</v>
      </c>
      <c r="N67" s="43"/>
      <c r="O67" s="43">
        <v>1230</v>
      </c>
      <c r="P67" s="43"/>
      <c r="Q67" s="43"/>
      <c r="R67" s="43"/>
      <c r="S67" s="43"/>
      <c r="T67" s="27"/>
      <c r="U67" s="43">
        <v>930</v>
      </c>
      <c r="V67" s="22"/>
      <c r="W67" s="43"/>
      <c r="X67" s="43"/>
    </row>
    <row r="68" spans="1:24" x14ac:dyDescent="0.3">
      <c r="A68" s="22"/>
      <c r="B68" s="22"/>
      <c r="C68" s="22"/>
      <c r="D68" s="22"/>
      <c r="E68" s="22"/>
      <c r="F68" s="22"/>
      <c r="G68" s="22"/>
      <c r="H68" s="160"/>
      <c r="I68" s="15">
        <v>6360</v>
      </c>
      <c r="K68" s="21"/>
      <c r="L68" s="76"/>
      <c r="N68" s="43"/>
      <c r="O68" s="43"/>
      <c r="P68" s="43"/>
      <c r="Q68" s="43"/>
      <c r="R68" s="43"/>
      <c r="S68" s="43"/>
      <c r="T68" s="27"/>
      <c r="U68" s="43"/>
      <c r="V68" s="22"/>
      <c r="W68" s="43"/>
      <c r="X68" s="43"/>
    </row>
    <row r="69" spans="1:24" x14ac:dyDescent="0.3">
      <c r="A69" s="22"/>
      <c r="B69" s="22"/>
      <c r="C69" s="22"/>
      <c r="D69" s="22"/>
      <c r="E69" s="22"/>
      <c r="F69" s="22"/>
      <c r="G69" s="22"/>
      <c r="H69" s="65"/>
      <c r="I69" s="15">
        <v>1296</v>
      </c>
      <c r="K69" s="75"/>
      <c r="L69" s="76"/>
      <c r="M69" s="43"/>
      <c r="N69" s="43"/>
      <c r="O69" s="43"/>
      <c r="P69" s="43"/>
      <c r="Q69" s="43"/>
      <c r="R69" s="43"/>
      <c r="S69" s="43"/>
      <c r="T69" s="27"/>
      <c r="U69" s="43"/>
      <c r="V69" s="22"/>
      <c r="W69" s="43"/>
      <c r="X69" s="43"/>
    </row>
    <row r="70" spans="1:24" x14ac:dyDescent="0.3">
      <c r="A70" s="22"/>
      <c r="B70" s="22"/>
      <c r="C70" s="22"/>
      <c r="D70" s="22"/>
      <c r="E70" s="22"/>
      <c r="F70" s="22"/>
      <c r="G70" s="22"/>
      <c r="H70" s="37"/>
      <c r="I70" s="15">
        <v>1414.63</v>
      </c>
      <c r="K70" s="21"/>
      <c r="L70" s="76"/>
      <c r="M70" s="22"/>
      <c r="N70" s="22"/>
      <c r="O70" s="43"/>
      <c r="P70" s="22"/>
      <c r="Q70" s="22"/>
      <c r="R70" s="22"/>
      <c r="S70" s="22"/>
      <c r="T70" s="27"/>
      <c r="U70" s="22"/>
      <c r="V70" s="22"/>
      <c r="W70" s="22"/>
      <c r="X70" s="22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15">
        <v>424</v>
      </c>
      <c r="K71" s="21"/>
      <c r="L71" s="76"/>
      <c r="M71" s="22"/>
      <c r="N71" s="22"/>
      <c r="O71" s="43"/>
      <c r="P71" s="22"/>
      <c r="Q71" s="22"/>
      <c r="R71" s="22"/>
      <c r="S71" s="22"/>
      <c r="T71" s="27"/>
      <c r="U71" s="22"/>
      <c r="V71" s="22"/>
      <c r="W71" s="22"/>
      <c r="X71" s="22"/>
    </row>
    <row r="72" spans="1:24" x14ac:dyDescent="0.3">
      <c r="A72" s="22"/>
      <c r="B72" s="22"/>
      <c r="C72" s="22"/>
      <c r="D72" s="22"/>
      <c r="E72" s="22"/>
      <c r="F72" s="22"/>
      <c r="G72" s="22"/>
      <c r="H72" s="37"/>
      <c r="I72" s="15">
        <v>2434</v>
      </c>
      <c r="K72" s="21"/>
      <c r="L72" s="76"/>
      <c r="M72" s="22"/>
      <c r="N72" s="22"/>
      <c r="O72" s="43"/>
      <c r="P72" s="22"/>
      <c r="Q72" s="22"/>
      <c r="R72" s="22"/>
      <c r="S72" s="22"/>
      <c r="T72" s="27"/>
      <c r="U72" s="22"/>
      <c r="V72" s="22"/>
      <c r="W72" s="22"/>
      <c r="X72" s="22"/>
    </row>
    <row r="73" spans="1:24" x14ac:dyDescent="0.3">
      <c r="A73" s="22"/>
      <c r="B73" s="22"/>
      <c r="C73" s="22"/>
      <c r="D73" s="22"/>
      <c r="E73" s="22"/>
      <c r="F73" s="22"/>
      <c r="G73" s="22"/>
      <c r="H73" s="22"/>
      <c r="I73" s="40">
        <v>1449</v>
      </c>
      <c r="K73" s="128"/>
      <c r="L73" s="56"/>
      <c r="M73" s="22"/>
      <c r="N73" s="22"/>
      <c r="O73" s="43"/>
      <c r="P73" s="22"/>
      <c r="Q73" s="22"/>
      <c r="R73" s="22"/>
      <c r="S73" s="22"/>
      <c r="T73" s="27"/>
      <c r="U73" s="22"/>
      <c r="V73" s="22"/>
      <c r="W73" s="22"/>
      <c r="X73" s="22"/>
    </row>
    <row r="74" spans="1:24" ht="15" thickBot="1" x14ac:dyDescent="0.35">
      <c r="A74" s="22"/>
      <c r="B74" s="22"/>
      <c r="C74" s="22"/>
      <c r="D74" s="22"/>
      <c r="E74" s="22"/>
      <c r="F74" s="22"/>
      <c r="G74" s="22"/>
      <c r="H74" s="22"/>
      <c r="I74" s="27">
        <v>895</v>
      </c>
      <c r="K74" s="24"/>
      <c r="L74" s="56"/>
      <c r="M74" s="22"/>
      <c r="N74" s="22"/>
      <c r="O74" s="43"/>
      <c r="P74" s="22"/>
      <c r="Q74" s="22"/>
      <c r="R74" s="22"/>
      <c r="S74" s="22"/>
      <c r="T74" s="27"/>
      <c r="U74" s="22"/>
      <c r="V74" s="22"/>
      <c r="W74" s="22"/>
      <c r="X74" s="22"/>
    </row>
    <row r="75" spans="1:24" ht="15.6" thickTop="1" thickBot="1" x14ac:dyDescent="0.35">
      <c r="A75" s="22"/>
      <c r="B75" s="22"/>
      <c r="C75" s="22"/>
      <c r="D75" s="22"/>
      <c r="E75" s="22"/>
      <c r="F75" s="22"/>
      <c r="G75" s="22"/>
      <c r="H75" s="22"/>
      <c r="I75" s="132">
        <f>SUM(I62:I74)</f>
        <v>30060.45</v>
      </c>
      <c r="K75" s="24"/>
      <c r="L75" s="56"/>
      <c r="M75" s="22"/>
      <c r="N75" s="22"/>
      <c r="O75" s="43"/>
      <c r="P75" s="22"/>
      <c r="Q75" s="22"/>
      <c r="R75" s="22"/>
      <c r="S75" s="22"/>
      <c r="T75" s="27"/>
      <c r="U75" s="22"/>
      <c r="V75" s="22"/>
      <c r="W75" s="22"/>
      <c r="X75" s="22"/>
    </row>
    <row r="76" spans="1:24" ht="15" thickTop="1" x14ac:dyDescent="0.3">
      <c r="A76" s="22"/>
      <c r="B76" s="22"/>
      <c r="C76" s="22"/>
      <c r="D76" s="22"/>
      <c r="E76" s="22"/>
      <c r="F76" s="22"/>
      <c r="G76" s="22"/>
      <c r="H76" s="22"/>
      <c r="I76" s="27"/>
      <c r="K76" s="24"/>
      <c r="L76" s="22"/>
      <c r="M76" s="22"/>
      <c r="N76" s="22"/>
      <c r="O76" s="22"/>
      <c r="P76" s="22"/>
      <c r="Q76" s="22"/>
      <c r="R76" s="22"/>
      <c r="S76" s="22"/>
      <c r="T76" s="27"/>
      <c r="U76" s="22"/>
      <c r="V76" s="22"/>
      <c r="W76" s="22"/>
      <c r="X76" s="22"/>
    </row>
    <row r="77" spans="1:24" ht="15" thickBot="1" x14ac:dyDescent="0.35">
      <c r="A77" s="140">
        <f t="shared" ref="A77:G77" si="19">SUM(A62:A76)</f>
        <v>4090.37</v>
      </c>
      <c r="B77" s="140">
        <f t="shared" si="19"/>
        <v>3333.51</v>
      </c>
      <c r="C77" s="140">
        <f t="shared" si="19"/>
        <v>3768.29</v>
      </c>
      <c r="D77" s="140">
        <f t="shared" si="19"/>
        <v>5878.69</v>
      </c>
      <c r="E77" s="140">
        <f t="shared" si="19"/>
        <v>170</v>
      </c>
      <c r="F77" s="140">
        <f t="shared" si="19"/>
        <v>3850.15</v>
      </c>
      <c r="G77" s="140">
        <f t="shared" si="19"/>
        <v>3988.51</v>
      </c>
      <c r="H77" s="149">
        <f>SUM(A77:G77)+I75</f>
        <v>55139.97</v>
      </c>
      <c r="I77" s="150" t="s">
        <v>64</v>
      </c>
      <c r="K77" s="140">
        <f t="shared" ref="K77:X77" si="20">SUM(K62:K76)</f>
        <v>5796</v>
      </c>
      <c r="L77" s="140">
        <f t="shared" si="20"/>
        <v>102.5</v>
      </c>
      <c r="M77" s="140">
        <f t="shared" si="20"/>
        <v>5700</v>
      </c>
      <c r="N77" s="140">
        <f t="shared" si="20"/>
        <v>280</v>
      </c>
      <c r="O77" s="140">
        <f t="shared" si="20"/>
        <v>7053</v>
      </c>
      <c r="P77" s="140">
        <f t="shared" si="20"/>
        <v>95</v>
      </c>
      <c r="Q77" s="140">
        <f t="shared" si="20"/>
        <v>4582</v>
      </c>
      <c r="R77" s="140">
        <f t="shared" si="20"/>
        <v>240</v>
      </c>
      <c r="S77" s="140">
        <f t="shared" si="20"/>
        <v>1046</v>
      </c>
      <c r="T77" s="140">
        <f t="shared" si="20"/>
        <v>15</v>
      </c>
      <c r="U77" s="140">
        <f t="shared" si="20"/>
        <v>7189</v>
      </c>
      <c r="V77" s="140">
        <f t="shared" si="20"/>
        <v>599.5</v>
      </c>
      <c r="W77" s="140">
        <f t="shared" si="20"/>
        <v>5632</v>
      </c>
      <c r="X77" s="140">
        <f t="shared" si="20"/>
        <v>1010</v>
      </c>
    </row>
    <row r="78" spans="1:24" ht="15" thickBot="1" x14ac:dyDescent="0.35">
      <c r="A78" s="140">
        <v>4090.37</v>
      </c>
      <c r="B78" s="140">
        <v>3333.51</v>
      </c>
      <c r="C78" s="140">
        <v>3768.29</v>
      </c>
      <c r="D78" s="140">
        <v>5878.69</v>
      </c>
      <c r="E78" s="140">
        <v>170</v>
      </c>
      <c r="F78" s="140">
        <v>3850.15</v>
      </c>
      <c r="G78" s="140">
        <v>3988.51</v>
      </c>
      <c r="H78" s="140">
        <f>SUM(H63:H77)</f>
        <v>55139.97</v>
      </c>
      <c r="I78" s="151"/>
      <c r="K78" s="140">
        <v>5796</v>
      </c>
      <c r="L78" s="140">
        <v>102.5</v>
      </c>
      <c r="M78" s="140">
        <v>5700</v>
      </c>
      <c r="N78" s="140">
        <v>280</v>
      </c>
      <c r="O78" s="140">
        <v>7053</v>
      </c>
      <c r="P78" s="140">
        <v>95</v>
      </c>
      <c r="Q78" s="140">
        <v>4582</v>
      </c>
      <c r="R78" s="140">
        <v>240</v>
      </c>
      <c r="S78" s="140">
        <v>1046</v>
      </c>
      <c r="T78" s="140">
        <v>15</v>
      </c>
      <c r="U78" s="140">
        <v>7189</v>
      </c>
      <c r="V78" s="140">
        <v>599.5</v>
      </c>
      <c r="W78" s="140">
        <v>5632</v>
      </c>
      <c r="X78" s="140">
        <v>1010</v>
      </c>
    </row>
    <row r="79" spans="1:24" ht="15" thickBot="1" x14ac:dyDescent="0.35">
      <c r="A79" s="63">
        <f t="shared" ref="A79:H79" si="21">A77-A78</f>
        <v>0</v>
      </c>
      <c r="B79" s="63">
        <f t="shared" si="21"/>
        <v>0</v>
      </c>
      <c r="C79" s="63">
        <f t="shared" si="21"/>
        <v>0</v>
      </c>
      <c r="D79" s="63">
        <f t="shared" si="21"/>
        <v>0</v>
      </c>
      <c r="E79" s="63">
        <f t="shared" si="21"/>
        <v>0</v>
      </c>
      <c r="F79" s="63">
        <f t="shared" si="21"/>
        <v>0</v>
      </c>
      <c r="G79" s="63">
        <f t="shared" si="21"/>
        <v>0</v>
      </c>
      <c r="H79" s="63">
        <f t="shared" si="21"/>
        <v>0</v>
      </c>
      <c r="I79" s="22"/>
      <c r="K79" s="152">
        <f>K77-K78</f>
        <v>0</v>
      </c>
      <c r="L79" s="152">
        <f>L77-L78</f>
        <v>0</v>
      </c>
      <c r="M79" s="152">
        <f t="shared" ref="M79:X79" si="22">M78-M77</f>
        <v>0</v>
      </c>
      <c r="N79" s="152">
        <f t="shared" si="22"/>
        <v>0</v>
      </c>
      <c r="O79" s="152">
        <f t="shared" si="22"/>
        <v>0</v>
      </c>
      <c r="P79" s="152">
        <f t="shared" si="22"/>
        <v>0</v>
      </c>
      <c r="Q79" s="152">
        <f t="shared" si="22"/>
        <v>0</v>
      </c>
      <c r="R79" s="152">
        <f t="shared" si="22"/>
        <v>0</v>
      </c>
      <c r="S79" s="152">
        <f t="shared" si="22"/>
        <v>0</v>
      </c>
      <c r="T79" s="152">
        <f t="shared" si="22"/>
        <v>0</v>
      </c>
      <c r="U79" s="152">
        <f t="shared" si="22"/>
        <v>0</v>
      </c>
      <c r="V79" s="152">
        <f t="shared" si="22"/>
        <v>0</v>
      </c>
      <c r="W79" s="152">
        <f t="shared" si="22"/>
        <v>0</v>
      </c>
      <c r="X79" s="152">
        <f t="shared" si="22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F364-79B2-4C21-A637-B5618C290895}">
  <dimension ref="A1:X79"/>
  <sheetViews>
    <sheetView topLeftCell="A55" workbookViewId="0">
      <selection activeCell="E65" sqref="E65"/>
    </sheetView>
  </sheetViews>
  <sheetFormatPr defaultRowHeight="14.4" x14ac:dyDescent="0.3"/>
  <cols>
    <col min="1" max="7" width="10.33203125" bestFit="1" customWidth="1"/>
    <col min="8" max="8" width="10.109375" bestFit="1" customWidth="1"/>
    <col min="9" max="9" width="10" bestFit="1" customWidth="1"/>
  </cols>
  <sheetData>
    <row r="1" spans="1:24" x14ac:dyDescent="0.3">
      <c r="A1" s="157">
        <v>46050</v>
      </c>
      <c r="B1" s="157">
        <f t="shared" ref="B1:G1" si="0">A1+1</f>
        <v>46051</v>
      </c>
      <c r="C1" s="157">
        <f t="shared" si="0"/>
        <v>46052</v>
      </c>
      <c r="D1" s="157">
        <f t="shared" si="0"/>
        <v>46053</v>
      </c>
      <c r="E1" s="157">
        <f t="shared" si="0"/>
        <v>46054</v>
      </c>
      <c r="F1" s="157">
        <f t="shared" si="0"/>
        <v>46055</v>
      </c>
      <c r="G1" s="157">
        <f t="shared" si="0"/>
        <v>46056</v>
      </c>
      <c r="H1" s="157"/>
      <c r="I1" s="13" t="s">
        <v>8</v>
      </c>
      <c r="K1" s="59">
        <v>46050</v>
      </c>
      <c r="L1" s="59"/>
      <c r="M1" s="59">
        <f>K1+1</f>
        <v>46051</v>
      </c>
      <c r="N1" s="59"/>
      <c r="O1" s="59">
        <f>M1+1</f>
        <v>46052</v>
      </c>
      <c r="P1" s="59"/>
      <c r="Q1" s="59">
        <f>O1+1</f>
        <v>46053</v>
      </c>
      <c r="R1" s="59"/>
      <c r="S1" s="59">
        <f>Q1+1</f>
        <v>46054</v>
      </c>
      <c r="T1" s="59"/>
      <c r="U1" s="59">
        <f>S1+1</f>
        <v>46055</v>
      </c>
      <c r="V1" s="59"/>
      <c r="W1" s="59">
        <f>U1+1</f>
        <v>46056</v>
      </c>
      <c r="X1" s="59"/>
    </row>
    <row r="2" spans="1:24" ht="15" thickBot="1" x14ac:dyDescent="0.35">
      <c r="A2" s="22">
        <v>435</v>
      </c>
      <c r="B2" s="22">
        <v>350</v>
      </c>
      <c r="C2" s="22">
        <v>474</v>
      </c>
      <c r="D2" s="22">
        <v>230</v>
      </c>
      <c r="E2" s="22">
        <v>0</v>
      </c>
      <c r="F2" s="22">
        <v>385</v>
      </c>
      <c r="G2" s="22">
        <v>310</v>
      </c>
      <c r="H2" s="15"/>
      <c r="I2" s="15">
        <v>5423.04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43" t="s">
        <v>11</v>
      </c>
    </row>
    <row r="3" spans="1:24" x14ac:dyDescent="0.3">
      <c r="A3" s="22">
        <v>2340</v>
      </c>
      <c r="B3" s="22">
        <v>1675</v>
      </c>
      <c r="C3" s="22">
        <v>2295</v>
      </c>
      <c r="D3" s="22">
        <v>500</v>
      </c>
      <c r="E3" s="22"/>
      <c r="F3" s="22">
        <v>2235</v>
      </c>
      <c r="G3" s="22">
        <v>1745</v>
      </c>
      <c r="H3" s="15"/>
      <c r="I3" s="15">
        <v>3564.32</v>
      </c>
      <c r="K3" s="75">
        <v>30</v>
      </c>
      <c r="L3" s="76">
        <v>50</v>
      </c>
      <c r="M3" s="77">
        <v>440</v>
      </c>
      <c r="N3" s="77">
        <v>380</v>
      </c>
      <c r="O3" s="77">
        <v>15</v>
      </c>
      <c r="P3" s="77">
        <v>50</v>
      </c>
      <c r="Q3" s="77">
        <v>410</v>
      </c>
      <c r="R3" s="77">
        <v>40</v>
      </c>
      <c r="S3" s="77">
        <v>80</v>
      </c>
      <c r="T3" s="40">
        <v>15</v>
      </c>
      <c r="U3" s="77">
        <v>15</v>
      </c>
      <c r="V3" s="63">
        <v>248</v>
      </c>
      <c r="W3" s="77">
        <v>360</v>
      </c>
      <c r="X3" s="77">
        <v>50</v>
      </c>
    </row>
    <row r="4" spans="1:24" x14ac:dyDescent="0.3">
      <c r="A4" s="22">
        <v>1436.21</v>
      </c>
      <c r="B4" s="44">
        <v>1458.51</v>
      </c>
      <c r="C4" s="22">
        <v>1258.18</v>
      </c>
      <c r="D4" s="22">
        <v>4372.1400000000003</v>
      </c>
      <c r="E4" s="46"/>
      <c r="F4" s="22">
        <v>1246.21</v>
      </c>
      <c r="G4" s="22">
        <v>1724.35</v>
      </c>
      <c r="H4" s="15"/>
      <c r="I4" s="15">
        <v>130.11000000000001</v>
      </c>
      <c r="K4" s="75">
        <v>540</v>
      </c>
      <c r="L4" s="76"/>
      <c r="M4" s="43">
        <v>234</v>
      </c>
      <c r="N4" s="43">
        <v>60</v>
      </c>
      <c r="O4" s="77">
        <v>430</v>
      </c>
      <c r="P4" s="43">
        <v>1700</v>
      </c>
      <c r="Q4" s="43">
        <v>192</v>
      </c>
      <c r="R4" s="80">
        <v>73</v>
      </c>
      <c r="S4" s="43">
        <v>96</v>
      </c>
      <c r="T4" s="27"/>
      <c r="U4" s="77">
        <v>26</v>
      </c>
      <c r="V4" s="22">
        <v>337.8</v>
      </c>
      <c r="W4" s="43">
        <v>252</v>
      </c>
      <c r="X4" s="43">
        <v>900</v>
      </c>
    </row>
    <row r="5" spans="1:24" x14ac:dyDescent="0.3">
      <c r="A5" s="22"/>
      <c r="B5" s="41"/>
      <c r="C5" s="22"/>
      <c r="D5" s="22"/>
      <c r="E5" s="22"/>
      <c r="F5" s="22"/>
      <c r="G5" s="22"/>
      <c r="H5" s="15"/>
      <c r="I5" s="15">
        <v>1240</v>
      </c>
      <c r="K5" s="75">
        <v>352</v>
      </c>
      <c r="L5" s="76"/>
      <c r="M5" s="43">
        <v>3770</v>
      </c>
      <c r="N5" s="43"/>
      <c r="O5" s="77">
        <v>408</v>
      </c>
      <c r="P5" s="43"/>
      <c r="Q5" s="43">
        <v>2720</v>
      </c>
      <c r="R5" s="84">
        <v>1740</v>
      </c>
      <c r="S5" s="43">
        <v>1000</v>
      </c>
      <c r="T5" s="27"/>
      <c r="U5" s="43">
        <v>400</v>
      </c>
      <c r="V5" s="22">
        <v>1380</v>
      </c>
      <c r="W5" s="43">
        <v>3920</v>
      </c>
      <c r="X5" s="43"/>
    </row>
    <row r="6" spans="1:24" x14ac:dyDescent="0.3">
      <c r="A6" s="22"/>
      <c r="B6" s="22"/>
      <c r="C6" s="22"/>
      <c r="D6" s="22"/>
      <c r="E6" s="22"/>
      <c r="F6" s="22"/>
      <c r="G6" s="22"/>
      <c r="H6" s="15"/>
      <c r="I6" s="15">
        <v>4375</v>
      </c>
      <c r="K6" s="21">
        <v>4370</v>
      </c>
      <c r="L6" s="76"/>
      <c r="M6" s="43">
        <v>650</v>
      </c>
      <c r="N6" s="43"/>
      <c r="O6" s="77">
        <v>6380</v>
      </c>
      <c r="P6" s="43"/>
      <c r="Q6" s="43">
        <v>1560</v>
      </c>
      <c r="R6" s="43"/>
      <c r="S6" s="43"/>
      <c r="T6" s="27"/>
      <c r="U6" s="43">
        <v>486</v>
      </c>
      <c r="V6" s="22"/>
      <c r="W6" s="43">
        <v>790</v>
      </c>
      <c r="X6" s="43"/>
    </row>
    <row r="7" spans="1:24" x14ac:dyDescent="0.3">
      <c r="A7" s="22"/>
      <c r="B7" s="22"/>
      <c r="C7" s="22"/>
      <c r="D7" s="22"/>
      <c r="E7" s="22"/>
      <c r="F7" s="22"/>
      <c r="G7" s="22"/>
      <c r="H7" s="15"/>
      <c r="I7" s="15">
        <v>2741</v>
      </c>
      <c r="K7" s="21">
        <v>1090</v>
      </c>
      <c r="L7" s="76"/>
      <c r="M7" s="43"/>
      <c r="N7" s="43"/>
      <c r="O7" s="43">
        <v>1000</v>
      </c>
      <c r="P7" s="43"/>
      <c r="Q7" s="43"/>
      <c r="R7" s="43"/>
      <c r="S7" s="43"/>
      <c r="T7" s="27"/>
      <c r="U7" s="43">
        <v>5030</v>
      </c>
      <c r="V7" s="22"/>
      <c r="W7" s="43"/>
      <c r="X7" s="43"/>
    </row>
    <row r="8" spans="1:24" x14ac:dyDescent="0.3">
      <c r="A8" s="22"/>
      <c r="B8" s="22"/>
      <c r="C8" s="22"/>
      <c r="D8" s="22"/>
      <c r="E8" s="22"/>
      <c r="F8" s="22"/>
      <c r="G8" s="22"/>
      <c r="H8" s="160"/>
      <c r="I8" s="15">
        <v>6360</v>
      </c>
      <c r="K8" s="21"/>
      <c r="L8" s="76"/>
      <c r="N8" s="43"/>
      <c r="O8" s="43"/>
      <c r="P8" s="43"/>
      <c r="Q8" s="43"/>
      <c r="R8" s="43"/>
      <c r="S8" s="43"/>
      <c r="T8" s="27"/>
      <c r="U8" s="43">
        <v>510</v>
      </c>
      <c r="V8" s="22"/>
      <c r="W8" s="43"/>
      <c r="X8" s="43"/>
    </row>
    <row r="9" spans="1:24" x14ac:dyDescent="0.3">
      <c r="A9" s="22"/>
      <c r="B9" s="22"/>
      <c r="C9" s="22"/>
      <c r="D9" s="22"/>
      <c r="E9" s="22"/>
      <c r="F9" s="22"/>
      <c r="G9" s="22"/>
      <c r="H9" s="65"/>
      <c r="I9" s="15">
        <v>1932</v>
      </c>
      <c r="K9" s="75"/>
      <c r="L9" s="76"/>
      <c r="M9" s="43"/>
      <c r="N9" s="43"/>
      <c r="O9" s="43"/>
      <c r="P9" s="43"/>
      <c r="Q9" s="43"/>
      <c r="R9" s="43"/>
      <c r="S9" s="43"/>
      <c r="T9" s="27"/>
      <c r="U9" s="43"/>
      <c r="V9" s="22"/>
      <c r="W9" s="43"/>
      <c r="X9" s="43"/>
    </row>
    <row r="10" spans="1:24" x14ac:dyDescent="0.3">
      <c r="A10" s="22"/>
      <c r="B10" s="22"/>
      <c r="C10" s="22"/>
      <c r="D10" s="22"/>
      <c r="E10" s="22"/>
      <c r="F10" s="22"/>
      <c r="G10" s="22"/>
      <c r="H10" s="37"/>
      <c r="I10" s="15">
        <v>1414.63</v>
      </c>
      <c r="K10" s="21"/>
      <c r="L10" s="76"/>
      <c r="M10" s="22"/>
      <c r="N10" s="22"/>
      <c r="O10" s="43"/>
      <c r="P10" s="22"/>
      <c r="Q10" s="22"/>
      <c r="R10" s="22"/>
      <c r="S10" s="22"/>
      <c r="T10" s="27"/>
      <c r="U10" s="22"/>
      <c r="V10" s="22"/>
      <c r="W10" s="22"/>
      <c r="X10" s="22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15">
        <v>1536</v>
      </c>
      <c r="K11" s="21"/>
      <c r="L11" s="76"/>
      <c r="M11" s="22"/>
      <c r="N11" s="22"/>
      <c r="O11" s="43"/>
      <c r="P11" s="22"/>
      <c r="Q11" s="22"/>
      <c r="R11" s="22"/>
      <c r="S11" s="22"/>
      <c r="T11" s="27"/>
      <c r="U11" s="22"/>
      <c r="V11" s="22"/>
      <c r="W11" s="22"/>
      <c r="X11" s="22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15">
        <v>675</v>
      </c>
      <c r="K12" s="21"/>
      <c r="L12" s="76"/>
      <c r="M12" s="22"/>
      <c r="N12" s="22"/>
      <c r="O12" s="43"/>
      <c r="P12" s="22"/>
      <c r="Q12" s="22"/>
      <c r="R12" s="22"/>
      <c r="S12" s="22"/>
      <c r="T12" s="27"/>
      <c r="U12" s="22"/>
      <c r="V12" s="22"/>
      <c r="W12" s="22"/>
      <c r="X12" s="22"/>
    </row>
    <row r="13" spans="1:24" x14ac:dyDescent="0.3">
      <c r="A13" s="22"/>
      <c r="B13" s="22"/>
      <c r="C13" s="22"/>
      <c r="D13" s="22"/>
      <c r="E13" s="22"/>
      <c r="F13" s="22"/>
      <c r="G13" s="22"/>
      <c r="H13" s="22"/>
      <c r="I13" s="40">
        <v>424</v>
      </c>
      <c r="K13" s="128"/>
      <c r="L13" s="56"/>
      <c r="M13" s="22"/>
      <c r="N13" s="22"/>
      <c r="O13" s="43"/>
      <c r="P13" s="22"/>
      <c r="Q13" s="22"/>
      <c r="R13" s="22"/>
      <c r="S13" s="22"/>
      <c r="T13" s="27"/>
      <c r="U13" s="22"/>
      <c r="V13" s="22"/>
      <c r="W13" s="22"/>
      <c r="X13" s="22"/>
    </row>
    <row r="14" spans="1:24" ht="15" thickBot="1" x14ac:dyDescent="0.35">
      <c r="A14" s="22"/>
      <c r="B14" s="22"/>
      <c r="C14" s="22"/>
      <c r="D14" s="22"/>
      <c r="E14" s="22"/>
      <c r="F14" s="22"/>
      <c r="G14" s="22"/>
      <c r="H14" s="22"/>
      <c r="I14" s="27"/>
      <c r="K14" s="24"/>
      <c r="L14" s="56"/>
      <c r="M14" s="22"/>
      <c r="N14" s="22"/>
      <c r="O14" s="43"/>
      <c r="P14" s="22"/>
      <c r="Q14" s="22"/>
      <c r="R14" s="22"/>
      <c r="S14" s="22"/>
      <c r="T14" s="27"/>
      <c r="U14" s="22"/>
      <c r="V14" s="22"/>
      <c r="W14" s="22"/>
      <c r="X14" s="22"/>
    </row>
    <row r="15" spans="1:24" ht="15.6" thickTop="1" thickBot="1" x14ac:dyDescent="0.35">
      <c r="A15" s="22"/>
      <c r="B15" s="22"/>
      <c r="C15" s="22"/>
      <c r="D15" s="22"/>
      <c r="E15" s="22"/>
      <c r="F15" s="22"/>
      <c r="G15" s="22"/>
      <c r="H15" s="22"/>
      <c r="I15" s="132">
        <f>SUM(I2:I14)</f>
        <v>29815.100000000002</v>
      </c>
      <c r="K15" s="24"/>
      <c r="L15" s="56"/>
      <c r="M15" s="22"/>
      <c r="N15" s="22"/>
      <c r="O15" s="43"/>
      <c r="P15" s="22"/>
      <c r="Q15" s="22"/>
      <c r="R15" s="22"/>
      <c r="S15" s="22"/>
      <c r="T15" s="27"/>
      <c r="U15" s="22"/>
      <c r="V15" s="22"/>
      <c r="W15" s="22"/>
      <c r="X15" s="22"/>
    </row>
    <row r="16" spans="1:24" ht="15" thickTop="1" x14ac:dyDescent="0.3">
      <c r="A16" s="22"/>
      <c r="B16" s="22"/>
      <c r="C16" s="22"/>
      <c r="D16" s="22"/>
      <c r="E16" s="22"/>
      <c r="F16" s="22"/>
      <c r="G16" s="22"/>
      <c r="H16" s="22"/>
      <c r="I16" s="27"/>
      <c r="K16" s="24"/>
      <c r="L16" s="22"/>
      <c r="M16" s="22"/>
      <c r="N16" s="22"/>
      <c r="O16" s="22"/>
      <c r="P16" s="22"/>
      <c r="Q16" s="22"/>
      <c r="R16" s="22"/>
      <c r="S16" s="22"/>
      <c r="T16" s="27"/>
      <c r="U16" s="22"/>
      <c r="V16" s="22"/>
      <c r="W16" s="22"/>
      <c r="X16" s="22"/>
    </row>
    <row r="17" spans="1:24" ht="15" thickBot="1" x14ac:dyDescent="0.35">
      <c r="A17" s="140">
        <f t="shared" ref="A17:G17" si="1">SUM(A2:A16)</f>
        <v>4211.21</v>
      </c>
      <c r="B17" s="140">
        <f t="shared" si="1"/>
        <v>3483.51</v>
      </c>
      <c r="C17" s="140">
        <f t="shared" si="1"/>
        <v>4027.1800000000003</v>
      </c>
      <c r="D17" s="140">
        <f t="shared" si="1"/>
        <v>5102.1400000000003</v>
      </c>
      <c r="E17" s="140">
        <f t="shared" si="1"/>
        <v>0</v>
      </c>
      <c r="F17" s="140">
        <f t="shared" si="1"/>
        <v>3866.21</v>
      </c>
      <c r="G17" s="140">
        <f t="shared" si="1"/>
        <v>3779.35</v>
      </c>
      <c r="H17" s="149">
        <f>SUM(A17:G17)+I15</f>
        <v>54284.7</v>
      </c>
      <c r="I17" s="150" t="s">
        <v>64</v>
      </c>
      <c r="K17" s="140">
        <f t="shared" ref="K17:X17" si="2">SUM(K2:K16)</f>
        <v>6382</v>
      </c>
      <c r="L17" s="140">
        <f t="shared" si="2"/>
        <v>50</v>
      </c>
      <c r="M17" s="140">
        <f t="shared" si="2"/>
        <v>5094</v>
      </c>
      <c r="N17" s="140">
        <f t="shared" si="2"/>
        <v>440</v>
      </c>
      <c r="O17" s="140">
        <f t="shared" si="2"/>
        <v>8233</v>
      </c>
      <c r="P17" s="140">
        <f t="shared" si="2"/>
        <v>1750</v>
      </c>
      <c r="Q17" s="140">
        <f t="shared" si="2"/>
        <v>4882</v>
      </c>
      <c r="R17" s="140">
        <f t="shared" si="2"/>
        <v>1853</v>
      </c>
      <c r="S17" s="140">
        <f t="shared" si="2"/>
        <v>1176</v>
      </c>
      <c r="T17" s="140">
        <f t="shared" si="2"/>
        <v>15</v>
      </c>
      <c r="U17" s="140">
        <f t="shared" si="2"/>
        <v>6467</v>
      </c>
      <c r="V17" s="140">
        <f t="shared" si="2"/>
        <v>1965.8</v>
      </c>
      <c r="W17" s="140">
        <f t="shared" si="2"/>
        <v>5322</v>
      </c>
      <c r="X17" s="140">
        <f t="shared" si="2"/>
        <v>950</v>
      </c>
    </row>
    <row r="18" spans="1:24" ht="15" thickBot="1" x14ac:dyDescent="0.35">
      <c r="A18" s="140">
        <v>4211.21</v>
      </c>
      <c r="B18" s="140">
        <v>3483.51</v>
      </c>
      <c r="C18" s="140">
        <v>4027.18</v>
      </c>
      <c r="D18" s="140">
        <v>5102.1400000000003</v>
      </c>
      <c r="E18" s="140">
        <f>SUM(E3:E17)</f>
        <v>0</v>
      </c>
      <c r="F18" s="140">
        <v>3866.21</v>
      </c>
      <c r="G18" s="140">
        <v>3779.35</v>
      </c>
      <c r="H18" s="140">
        <f>SUM(H3:H17)</f>
        <v>54284.7</v>
      </c>
      <c r="I18" s="151"/>
      <c r="K18" s="140">
        <v>6382</v>
      </c>
      <c r="L18" s="140">
        <v>50</v>
      </c>
      <c r="M18" s="140">
        <v>5094</v>
      </c>
      <c r="N18" s="140">
        <v>440</v>
      </c>
      <c r="O18" s="140">
        <v>8233</v>
      </c>
      <c r="P18" s="140">
        <v>1750</v>
      </c>
      <c r="Q18" s="140">
        <v>4882</v>
      </c>
      <c r="R18" s="140">
        <v>1853</v>
      </c>
      <c r="S18" s="140">
        <v>1176</v>
      </c>
      <c r="T18" s="140">
        <v>15</v>
      </c>
      <c r="U18" s="140">
        <v>6467</v>
      </c>
      <c r="V18" s="140">
        <v>1965.8</v>
      </c>
      <c r="W18" s="140">
        <v>5322</v>
      </c>
      <c r="X18" s="140">
        <v>950</v>
      </c>
    </row>
    <row r="19" spans="1:24" ht="15" thickBot="1" x14ac:dyDescent="0.35">
      <c r="A19" s="63">
        <f t="shared" ref="A19:H19" si="3">A17-A18</f>
        <v>0</v>
      </c>
      <c r="B19" s="63">
        <f t="shared" si="3"/>
        <v>0</v>
      </c>
      <c r="C19" s="63">
        <f t="shared" si="3"/>
        <v>0</v>
      </c>
      <c r="D19" s="63">
        <f t="shared" si="3"/>
        <v>0</v>
      </c>
      <c r="E19" s="63">
        <f t="shared" si="3"/>
        <v>0</v>
      </c>
      <c r="F19" s="63">
        <f t="shared" si="3"/>
        <v>0</v>
      </c>
      <c r="G19" s="63">
        <f t="shared" si="3"/>
        <v>0</v>
      </c>
      <c r="H19" s="63">
        <f t="shared" si="3"/>
        <v>0</v>
      </c>
      <c r="I19" s="22"/>
      <c r="K19" s="152">
        <f>K17-K18</f>
        <v>0</v>
      </c>
      <c r="L19" s="152">
        <f>L17-L18</f>
        <v>0</v>
      </c>
      <c r="M19" s="152">
        <f t="shared" ref="M19:X19" si="4">M18-M17</f>
        <v>0</v>
      </c>
      <c r="N19" s="152">
        <f t="shared" si="4"/>
        <v>0</v>
      </c>
      <c r="O19" s="152">
        <f t="shared" si="4"/>
        <v>0</v>
      </c>
      <c r="P19" s="152">
        <f t="shared" si="4"/>
        <v>0</v>
      </c>
      <c r="Q19" s="152">
        <f t="shared" si="4"/>
        <v>0</v>
      </c>
      <c r="R19" s="152">
        <f t="shared" si="4"/>
        <v>0</v>
      </c>
      <c r="S19" s="152">
        <f t="shared" si="4"/>
        <v>0</v>
      </c>
      <c r="T19" s="152">
        <f t="shared" si="4"/>
        <v>0</v>
      </c>
      <c r="U19" s="152">
        <f t="shared" si="4"/>
        <v>0</v>
      </c>
      <c r="V19" s="152">
        <f t="shared" si="4"/>
        <v>0</v>
      </c>
      <c r="W19" s="152">
        <f t="shared" si="4"/>
        <v>0</v>
      </c>
      <c r="X19" s="152">
        <f t="shared" si="4"/>
        <v>0</v>
      </c>
    </row>
    <row r="20" spans="1:24" ht="15" thickBot="1" x14ac:dyDescent="0.35"/>
    <row r="21" spans="1:24" x14ac:dyDescent="0.3">
      <c r="A21" s="157">
        <v>46057</v>
      </c>
      <c r="B21" s="157">
        <f>A21+1</f>
        <v>46058</v>
      </c>
      <c r="C21" s="157">
        <f>B21+1</f>
        <v>46059</v>
      </c>
      <c r="D21" s="157">
        <f>C21+1</f>
        <v>46060</v>
      </c>
      <c r="E21" s="157">
        <f>D21+1</f>
        <v>46061</v>
      </c>
      <c r="F21" s="157">
        <v>46062</v>
      </c>
      <c r="G21" s="157">
        <f>F21+1</f>
        <v>46063</v>
      </c>
      <c r="H21" s="157"/>
      <c r="I21" s="13" t="s">
        <v>8</v>
      </c>
      <c r="K21" s="59">
        <v>46057</v>
      </c>
      <c r="L21" s="59"/>
      <c r="M21" s="59">
        <f>K21+1</f>
        <v>46058</v>
      </c>
      <c r="N21" s="59"/>
      <c r="O21" s="59">
        <f>M21+1</f>
        <v>46059</v>
      </c>
      <c r="P21" s="59"/>
      <c r="Q21" s="59">
        <f>O21+1</f>
        <v>46060</v>
      </c>
      <c r="R21" s="59"/>
      <c r="S21" s="59">
        <f>Q21+1</f>
        <v>46061</v>
      </c>
      <c r="T21" s="59"/>
      <c r="U21" s="59">
        <f>S21+1</f>
        <v>46062</v>
      </c>
      <c r="V21" s="59"/>
      <c r="W21" s="59">
        <f>U21+1</f>
        <v>46063</v>
      </c>
      <c r="X21" s="59"/>
    </row>
    <row r="22" spans="1:24" ht="15" thickBot="1" x14ac:dyDescent="0.35">
      <c r="A22" s="22">
        <v>470</v>
      </c>
      <c r="B22" s="22">
        <v>250</v>
      </c>
      <c r="C22" s="22">
        <v>500</v>
      </c>
      <c r="D22" s="22">
        <v>400</v>
      </c>
      <c r="E22" s="22">
        <v>215</v>
      </c>
      <c r="F22" s="22">
        <v>285</v>
      </c>
      <c r="G22" s="22">
        <v>470</v>
      </c>
      <c r="H22" s="15"/>
      <c r="I22" s="15">
        <v>5423.04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1955</v>
      </c>
      <c r="B23" s="22">
        <v>1835</v>
      </c>
      <c r="C23" s="22">
        <v>1975</v>
      </c>
      <c r="D23" s="22">
        <v>905</v>
      </c>
      <c r="E23" s="22"/>
      <c r="F23" s="22">
        <v>1385</v>
      </c>
      <c r="G23" s="22">
        <v>1420</v>
      </c>
      <c r="H23" s="15"/>
      <c r="I23" s="15">
        <v>4455.3999999999996</v>
      </c>
      <c r="K23" s="75">
        <v>330</v>
      </c>
      <c r="L23" s="76">
        <v>50</v>
      </c>
      <c r="M23" s="77">
        <v>440</v>
      </c>
      <c r="N23" s="77">
        <v>110</v>
      </c>
      <c r="O23" s="77">
        <v>15</v>
      </c>
      <c r="P23" s="77">
        <v>95</v>
      </c>
      <c r="Q23" s="77">
        <v>160</v>
      </c>
      <c r="R23" s="77">
        <v>50</v>
      </c>
      <c r="S23" s="77">
        <v>122</v>
      </c>
      <c r="T23" s="40">
        <v>15</v>
      </c>
      <c r="U23" s="77">
        <v>15</v>
      </c>
      <c r="V23" s="63">
        <v>50</v>
      </c>
      <c r="W23" s="77">
        <v>90</v>
      </c>
      <c r="X23" s="77">
        <v>32</v>
      </c>
    </row>
    <row r="24" spans="1:24" x14ac:dyDescent="0.3">
      <c r="A24" s="22">
        <v>1416.21</v>
      </c>
      <c r="B24" s="44">
        <v>1424.24</v>
      </c>
      <c r="C24" s="22">
        <v>1246.21</v>
      </c>
      <c r="D24" s="22">
        <v>4282.63</v>
      </c>
      <c r="E24" s="46"/>
      <c r="F24" s="22">
        <v>724.09</v>
      </c>
      <c r="G24" s="22">
        <v>1458.51</v>
      </c>
      <c r="H24" s="15"/>
      <c r="I24" s="15">
        <v>616.28</v>
      </c>
      <c r="K24" s="75">
        <v>452</v>
      </c>
      <c r="L24" s="76">
        <v>250</v>
      </c>
      <c r="M24" s="43">
        <v>278</v>
      </c>
      <c r="N24" s="43">
        <v>120</v>
      </c>
      <c r="O24" s="77">
        <v>260</v>
      </c>
      <c r="P24" s="43">
        <v>120</v>
      </c>
      <c r="Q24" s="43">
        <v>378</v>
      </c>
      <c r="R24" s="80">
        <v>78</v>
      </c>
      <c r="S24" s="43">
        <v>150</v>
      </c>
      <c r="T24" s="27"/>
      <c r="U24" s="77">
        <v>230</v>
      </c>
      <c r="V24" s="22"/>
      <c r="W24" s="43">
        <v>348</v>
      </c>
      <c r="X24" s="43">
        <v>50</v>
      </c>
    </row>
    <row r="25" spans="1:24" x14ac:dyDescent="0.3">
      <c r="A25" s="22"/>
      <c r="B25" s="41"/>
      <c r="C25" s="22"/>
      <c r="D25" s="22"/>
      <c r="E25" s="22"/>
      <c r="F25" s="22"/>
      <c r="G25" s="22"/>
      <c r="H25" s="15"/>
      <c r="I25" s="15">
        <v>1265</v>
      </c>
      <c r="K25" s="75">
        <v>4610</v>
      </c>
      <c r="L25" s="76"/>
      <c r="M25" s="43">
        <v>3540</v>
      </c>
      <c r="N25" s="43"/>
      <c r="O25" s="77">
        <v>434</v>
      </c>
      <c r="P25" s="43"/>
      <c r="Q25" s="43">
        <v>3480</v>
      </c>
      <c r="R25" s="84">
        <v>60</v>
      </c>
      <c r="S25" s="43">
        <v>920</v>
      </c>
      <c r="T25" s="27"/>
      <c r="U25" s="43">
        <v>398</v>
      </c>
      <c r="V25" s="22"/>
      <c r="W25" s="43">
        <v>4120</v>
      </c>
      <c r="X25" s="43">
        <v>60</v>
      </c>
    </row>
    <row r="26" spans="1:24" x14ac:dyDescent="0.3">
      <c r="A26" s="22"/>
      <c r="B26" s="22"/>
      <c r="C26" s="22"/>
      <c r="D26" s="22"/>
      <c r="E26" s="22"/>
      <c r="F26" s="22"/>
      <c r="G26" s="22"/>
      <c r="H26" s="15"/>
      <c r="I26" s="15">
        <v>4410</v>
      </c>
      <c r="K26" s="21">
        <v>670</v>
      </c>
      <c r="L26" s="76"/>
      <c r="M26" s="43">
        <v>1270</v>
      </c>
      <c r="N26" s="43"/>
      <c r="O26" s="77">
        <v>5520</v>
      </c>
      <c r="P26" s="43"/>
      <c r="Q26" s="43">
        <v>980</v>
      </c>
      <c r="R26" s="43">
        <v>120</v>
      </c>
      <c r="S26" s="43"/>
      <c r="T26" s="27"/>
      <c r="U26" s="43">
        <v>5460</v>
      </c>
      <c r="V26" s="22"/>
      <c r="W26" s="43">
        <v>940</v>
      </c>
      <c r="X26" s="43"/>
    </row>
    <row r="27" spans="1:24" x14ac:dyDescent="0.3">
      <c r="A27" s="22"/>
      <c r="B27" s="22"/>
      <c r="C27" s="22"/>
      <c r="D27" s="22"/>
      <c r="E27" s="22"/>
      <c r="F27" s="22"/>
      <c r="G27" s="22"/>
      <c r="H27" s="15"/>
      <c r="I27" s="15">
        <v>2738</v>
      </c>
      <c r="K27" s="21"/>
      <c r="L27" s="76"/>
      <c r="M27" s="43"/>
      <c r="N27" s="43"/>
      <c r="O27" s="77">
        <v>650</v>
      </c>
      <c r="P27" s="43"/>
      <c r="Q27" s="43"/>
      <c r="R27" s="43"/>
      <c r="S27" s="43"/>
      <c r="T27" s="27"/>
      <c r="U27" s="43">
        <v>790</v>
      </c>
      <c r="V27" s="22"/>
      <c r="W27" s="43"/>
      <c r="X27" s="43"/>
    </row>
    <row r="28" spans="1:24" x14ac:dyDescent="0.3">
      <c r="A28" s="22"/>
      <c r="B28" s="22"/>
      <c r="C28" s="22"/>
      <c r="D28" s="22"/>
      <c r="E28" s="22"/>
      <c r="F28" s="22"/>
      <c r="G28" s="22"/>
      <c r="H28" s="160"/>
      <c r="I28" s="15">
        <v>6360</v>
      </c>
      <c r="K28" s="21"/>
      <c r="L28" s="76"/>
      <c r="N28" s="43"/>
      <c r="O28" s="43"/>
      <c r="P28" s="43"/>
      <c r="Q28" s="43"/>
      <c r="R28" s="43"/>
      <c r="S28" s="43"/>
      <c r="T28" s="27"/>
      <c r="U28" s="43"/>
      <c r="V28" s="22"/>
      <c r="W28" s="43"/>
      <c r="X28" s="43"/>
    </row>
    <row r="29" spans="1:24" x14ac:dyDescent="0.3">
      <c r="A29" s="22"/>
      <c r="B29" s="22"/>
      <c r="C29" s="22"/>
      <c r="D29" s="22"/>
      <c r="E29" s="22"/>
      <c r="F29" s="22"/>
      <c r="G29" s="22"/>
      <c r="H29" s="65"/>
      <c r="I29" s="15">
        <v>1598.5</v>
      </c>
      <c r="K29" s="75"/>
      <c r="L29" s="76"/>
      <c r="M29" s="43"/>
      <c r="N29" s="43"/>
      <c r="O29" s="43"/>
      <c r="P29" s="43"/>
      <c r="Q29" s="43"/>
      <c r="R29" s="43"/>
      <c r="S29" s="43"/>
      <c r="T29" s="27"/>
      <c r="U29" s="43"/>
      <c r="V29" s="22"/>
      <c r="W29" s="43"/>
      <c r="X29" s="43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15">
        <v>1704.63</v>
      </c>
      <c r="K30" s="21"/>
      <c r="L30" s="76"/>
      <c r="M30" s="22"/>
      <c r="N30" s="22"/>
      <c r="O30" s="43"/>
      <c r="P30" s="22"/>
      <c r="Q30" s="22"/>
      <c r="R30" s="22"/>
      <c r="S30" s="22"/>
      <c r="T30" s="27"/>
      <c r="U30" s="22"/>
      <c r="V30" s="22"/>
      <c r="W30" s="22"/>
      <c r="X30" s="22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15">
        <v>1736</v>
      </c>
      <c r="K31" s="21"/>
      <c r="L31" s="76"/>
      <c r="M31" s="22"/>
      <c r="N31" s="22"/>
      <c r="O31" s="43"/>
      <c r="P31" s="22"/>
      <c r="Q31" s="22"/>
      <c r="R31" s="22"/>
      <c r="S31" s="22"/>
      <c r="T31" s="27"/>
      <c r="U31" s="22"/>
      <c r="V31" s="22"/>
      <c r="W31" s="22"/>
      <c r="X31" s="22"/>
    </row>
    <row r="32" spans="1:24" x14ac:dyDescent="0.3">
      <c r="A32" s="22"/>
      <c r="B32" s="22"/>
      <c r="C32" s="22"/>
      <c r="D32" s="22"/>
      <c r="E32" s="22"/>
      <c r="F32" s="22"/>
      <c r="G32" s="22"/>
      <c r="H32" s="37"/>
      <c r="I32" s="15">
        <v>708</v>
      </c>
      <c r="K32" s="21"/>
      <c r="L32" s="76"/>
      <c r="M32" s="22"/>
      <c r="N32" s="22"/>
      <c r="O32" s="43"/>
      <c r="P32" s="22"/>
      <c r="Q32" s="22"/>
      <c r="R32" s="22"/>
      <c r="S32" s="22"/>
      <c r="T32" s="27"/>
      <c r="U32" s="22"/>
      <c r="V32" s="22"/>
      <c r="W32" s="22"/>
      <c r="X32" s="22"/>
    </row>
    <row r="33" spans="1:24" x14ac:dyDescent="0.3">
      <c r="A33" s="22"/>
      <c r="B33" s="22"/>
      <c r="C33" s="22"/>
      <c r="D33" s="22"/>
      <c r="E33" s="22"/>
      <c r="F33" s="22"/>
      <c r="G33" s="22"/>
      <c r="H33" s="22"/>
      <c r="I33" s="40">
        <v>424</v>
      </c>
      <c r="K33" s="128"/>
      <c r="L33" s="56"/>
      <c r="M33" s="22"/>
      <c r="N33" s="22"/>
      <c r="O33" s="43"/>
      <c r="P33" s="22"/>
      <c r="Q33" s="22"/>
      <c r="R33" s="22"/>
      <c r="S33" s="22"/>
      <c r="T33" s="27"/>
      <c r="U33" s="22"/>
      <c r="V33" s="22"/>
      <c r="W33" s="22"/>
      <c r="X33" s="22"/>
    </row>
    <row r="34" spans="1:24" ht="15" thickBot="1" x14ac:dyDescent="0.35">
      <c r="A34" s="22"/>
      <c r="B34" s="22"/>
      <c r="C34" s="22"/>
      <c r="D34" s="22"/>
      <c r="E34" s="22"/>
      <c r="F34" s="22"/>
      <c r="G34" s="22"/>
      <c r="H34" s="22"/>
      <c r="I34" s="27">
        <v>212</v>
      </c>
      <c r="K34" s="24"/>
      <c r="L34" s="56"/>
      <c r="M34" s="22"/>
      <c r="N34" s="22"/>
      <c r="O34" s="43"/>
      <c r="P34" s="22"/>
      <c r="Q34" s="22"/>
      <c r="R34" s="22"/>
      <c r="S34" s="22"/>
      <c r="T34" s="27"/>
      <c r="U34" s="22"/>
      <c r="V34" s="22"/>
      <c r="W34" s="22"/>
      <c r="X34" s="22"/>
    </row>
    <row r="35" spans="1:24" ht="15.6" thickTop="1" thickBot="1" x14ac:dyDescent="0.35">
      <c r="A35" s="22"/>
      <c r="B35" s="22"/>
      <c r="C35" s="22"/>
      <c r="D35" s="22"/>
      <c r="E35" s="22"/>
      <c r="F35" s="22"/>
      <c r="G35" s="22"/>
      <c r="H35" s="22"/>
      <c r="I35" s="132">
        <f>SUM(I22:I34)</f>
        <v>31650.850000000002</v>
      </c>
      <c r="K35" s="24"/>
      <c r="L35" s="56"/>
      <c r="M35" s="22"/>
      <c r="N35" s="22"/>
      <c r="O35" s="43"/>
      <c r="P35" s="22"/>
      <c r="Q35" s="22"/>
      <c r="R35" s="22"/>
      <c r="S35" s="22"/>
      <c r="T35" s="27"/>
      <c r="U35" s="22"/>
      <c r="V35" s="22"/>
      <c r="W35" s="22"/>
      <c r="X35" s="22"/>
    </row>
    <row r="36" spans="1:24" ht="15" thickTop="1" x14ac:dyDescent="0.3">
      <c r="A36" s="22"/>
      <c r="B36" s="22"/>
      <c r="C36" s="22"/>
      <c r="D36" s="22"/>
      <c r="E36" s="22"/>
      <c r="F36" s="22"/>
      <c r="G36" s="22"/>
      <c r="H36" s="22"/>
      <c r="I36" s="27"/>
      <c r="K36" s="24"/>
      <c r="L36" s="22"/>
      <c r="M36" s="22"/>
      <c r="N36" s="22"/>
      <c r="O36" s="22"/>
      <c r="P36" s="22"/>
      <c r="Q36" s="22"/>
      <c r="R36" s="22"/>
      <c r="S36" s="22"/>
      <c r="T36" s="27"/>
      <c r="U36" s="22"/>
      <c r="V36" s="22"/>
      <c r="W36" s="22"/>
      <c r="X36" s="22"/>
    </row>
    <row r="37" spans="1:24" ht="15" thickBot="1" x14ac:dyDescent="0.35">
      <c r="A37" s="140">
        <f t="shared" ref="A37:G37" si="5">SUM(A22:A36)</f>
        <v>3841.21</v>
      </c>
      <c r="B37" s="140">
        <f t="shared" si="5"/>
        <v>3509.24</v>
      </c>
      <c r="C37" s="140">
        <f t="shared" si="5"/>
        <v>3721.21</v>
      </c>
      <c r="D37" s="140">
        <f t="shared" si="5"/>
        <v>5587.63</v>
      </c>
      <c r="E37" s="140">
        <f t="shared" si="5"/>
        <v>215</v>
      </c>
      <c r="F37" s="140">
        <f t="shared" si="5"/>
        <v>2394.09</v>
      </c>
      <c r="G37" s="140">
        <f t="shared" si="5"/>
        <v>3348.51</v>
      </c>
      <c r="H37" s="149">
        <f>SUM(A37:G37)+I35</f>
        <v>54267.740000000005</v>
      </c>
      <c r="I37" s="150" t="s">
        <v>64</v>
      </c>
      <c r="K37" s="140">
        <f t="shared" ref="K37:X37" si="6">SUM(K22:K36)</f>
        <v>6062</v>
      </c>
      <c r="L37" s="140">
        <f t="shared" si="6"/>
        <v>300</v>
      </c>
      <c r="M37" s="140">
        <f t="shared" si="6"/>
        <v>5528</v>
      </c>
      <c r="N37" s="140">
        <f t="shared" si="6"/>
        <v>230</v>
      </c>
      <c r="O37" s="140">
        <f t="shared" si="6"/>
        <v>6879</v>
      </c>
      <c r="P37" s="140">
        <f t="shared" si="6"/>
        <v>215</v>
      </c>
      <c r="Q37" s="140">
        <f t="shared" si="6"/>
        <v>4998</v>
      </c>
      <c r="R37" s="140">
        <f t="shared" si="6"/>
        <v>308</v>
      </c>
      <c r="S37" s="140">
        <f t="shared" si="6"/>
        <v>1192</v>
      </c>
      <c r="T37" s="140">
        <f t="shared" si="6"/>
        <v>15</v>
      </c>
      <c r="U37" s="140">
        <f t="shared" si="6"/>
        <v>6893</v>
      </c>
      <c r="V37" s="140">
        <f t="shared" si="6"/>
        <v>50</v>
      </c>
      <c r="W37" s="140">
        <f t="shared" si="6"/>
        <v>5498</v>
      </c>
      <c r="X37" s="140">
        <f t="shared" si="6"/>
        <v>142</v>
      </c>
    </row>
    <row r="38" spans="1:24" ht="15" thickBot="1" x14ac:dyDescent="0.35">
      <c r="A38" s="140">
        <v>3841.21</v>
      </c>
      <c r="B38" s="140">
        <v>3509.24</v>
      </c>
      <c r="C38" s="140">
        <v>3721.21</v>
      </c>
      <c r="D38" s="140">
        <v>5587.63</v>
      </c>
      <c r="E38" s="140">
        <f>SUM(E23:E37)</f>
        <v>215</v>
      </c>
      <c r="F38" s="140">
        <v>2394.09</v>
      </c>
      <c r="G38" s="140">
        <v>3348.51</v>
      </c>
      <c r="H38" s="140">
        <f>SUM(H23:H37)</f>
        <v>54267.740000000005</v>
      </c>
      <c r="I38" s="151"/>
      <c r="K38" s="140">
        <v>6062</v>
      </c>
      <c r="L38" s="140">
        <v>300</v>
      </c>
      <c r="M38" s="140">
        <v>5528</v>
      </c>
      <c r="N38" s="140">
        <v>230</v>
      </c>
      <c r="O38" s="140">
        <v>6879</v>
      </c>
      <c r="P38" s="140">
        <v>215</v>
      </c>
      <c r="Q38" s="140">
        <v>4998</v>
      </c>
      <c r="R38" s="140">
        <v>308</v>
      </c>
      <c r="S38" s="140">
        <v>1192</v>
      </c>
      <c r="T38" s="140">
        <v>15</v>
      </c>
      <c r="U38" s="140">
        <v>6893</v>
      </c>
      <c r="V38" s="140">
        <v>50</v>
      </c>
      <c r="W38" s="140">
        <v>5498</v>
      </c>
      <c r="X38" s="140">
        <v>280</v>
      </c>
    </row>
    <row r="39" spans="1:24" ht="15" thickBot="1" x14ac:dyDescent="0.35">
      <c r="A39" s="63">
        <f t="shared" ref="A39:H39" si="7">A37-A38</f>
        <v>0</v>
      </c>
      <c r="B39" s="63">
        <f t="shared" si="7"/>
        <v>0</v>
      </c>
      <c r="C39" s="63">
        <f t="shared" si="7"/>
        <v>0</v>
      </c>
      <c r="D39" s="63">
        <f t="shared" si="7"/>
        <v>0</v>
      </c>
      <c r="E39" s="63">
        <f t="shared" si="7"/>
        <v>0</v>
      </c>
      <c r="F39" s="63">
        <f t="shared" si="7"/>
        <v>0</v>
      </c>
      <c r="G39" s="63">
        <f t="shared" si="7"/>
        <v>0</v>
      </c>
      <c r="H39" s="63">
        <f t="shared" si="7"/>
        <v>0</v>
      </c>
      <c r="I39" s="22"/>
      <c r="K39" s="152">
        <f>K37-K38</f>
        <v>0</v>
      </c>
      <c r="L39" s="152">
        <f>L37-L38</f>
        <v>0</v>
      </c>
      <c r="M39" s="152">
        <f t="shared" ref="M39:X39" si="8">M38-M37</f>
        <v>0</v>
      </c>
      <c r="N39" s="152">
        <f t="shared" si="8"/>
        <v>0</v>
      </c>
      <c r="O39" s="152">
        <f t="shared" si="8"/>
        <v>0</v>
      </c>
      <c r="P39" s="152">
        <f t="shared" si="8"/>
        <v>0</v>
      </c>
      <c r="Q39" s="152">
        <f t="shared" si="8"/>
        <v>0</v>
      </c>
      <c r="R39" s="152">
        <f t="shared" si="8"/>
        <v>0</v>
      </c>
      <c r="S39" s="152">
        <f t="shared" si="8"/>
        <v>0</v>
      </c>
      <c r="T39" s="152">
        <f t="shared" si="8"/>
        <v>0</v>
      </c>
      <c r="U39" s="152">
        <f t="shared" si="8"/>
        <v>0</v>
      </c>
      <c r="V39" s="152">
        <f t="shared" si="8"/>
        <v>0</v>
      </c>
      <c r="W39" s="152">
        <f t="shared" si="8"/>
        <v>0</v>
      </c>
      <c r="X39" s="152">
        <f t="shared" si="8"/>
        <v>138</v>
      </c>
    </row>
    <row r="40" spans="1:24" ht="15" thickBot="1" x14ac:dyDescent="0.35"/>
    <row r="41" spans="1:24" x14ac:dyDescent="0.3">
      <c r="A41" s="157">
        <v>46064</v>
      </c>
      <c r="B41" s="157">
        <f>A41+1</f>
        <v>46065</v>
      </c>
      <c r="C41" s="157">
        <f>B41+1</f>
        <v>46066</v>
      </c>
      <c r="D41" s="157">
        <f>C41+1</f>
        <v>46067</v>
      </c>
      <c r="E41" s="157">
        <f>D41+1</f>
        <v>46068</v>
      </c>
      <c r="F41" s="157">
        <v>46069</v>
      </c>
      <c r="G41" s="157">
        <f>F41+1</f>
        <v>46070</v>
      </c>
      <c r="H41" s="157"/>
      <c r="I41" s="13" t="s">
        <v>8</v>
      </c>
      <c r="K41" s="59">
        <v>46064</v>
      </c>
      <c r="L41" s="59"/>
      <c r="M41" s="59">
        <f>K41+1</f>
        <v>46065</v>
      </c>
      <c r="N41" s="59"/>
      <c r="O41" s="59">
        <f>M41+1</f>
        <v>46066</v>
      </c>
      <c r="P41" s="59"/>
      <c r="Q41" s="59">
        <f>O41+1</f>
        <v>46067</v>
      </c>
      <c r="R41" s="59"/>
      <c r="S41" s="59">
        <f>Q41+1</f>
        <v>46068</v>
      </c>
      <c r="T41" s="59"/>
      <c r="U41" s="59">
        <f>S41+1</f>
        <v>46069</v>
      </c>
      <c r="V41" s="59"/>
      <c r="W41" s="59">
        <f>U41+1</f>
        <v>46070</v>
      </c>
      <c r="X41" s="59"/>
    </row>
    <row r="42" spans="1:24" ht="15" thickBot="1" x14ac:dyDescent="0.35">
      <c r="A42" s="22">
        <v>350</v>
      </c>
      <c r="B42" s="22">
        <v>335</v>
      </c>
      <c r="C42" s="22">
        <v>470</v>
      </c>
      <c r="D42" s="22">
        <v>195</v>
      </c>
      <c r="E42" s="22">
        <v>240</v>
      </c>
      <c r="F42" s="22">
        <v>391</v>
      </c>
      <c r="G42" s="22">
        <v>415</v>
      </c>
      <c r="H42" s="15"/>
      <c r="I42" s="15">
        <v>5423.04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2">
        <v>1990</v>
      </c>
      <c r="B43" s="22">
        <v>1545</v>
      </c>
      <c r="C43" s="22">
        <v>1715</v>
      </c>
      <c r="D43" s="22">
        <v>575</v>
      </c>
      <c r="E43" s="22"/>
      <c r="F43" s="22">
        <v>1710</v>
      </c>
      <c r="G43" s="22">
        <v>1505</v>
      </c>
      <c r="H43" s="15"/>
      <c r="I43" s="15">
        <v>4455.3999999999996</v>
      </c>
      <c r="K43" s="75">
        <v>180</v>
      </c>
      <c r="L43" s="76">
        <v>50</v>
      </c>
      <c r="M43" s="77">
        <v>950</v>
      </c>
      <c r="N43" s="77">
        <v>50</v>
      </c>
      <c r="O43" s="77">
        <v>150</v>
      </c>
      <c r="P43" s="77">
        <v>27.5</v>
      </c>
      <c r="Q43" s="77">
        <v>760</v>
      </c>
      <c r="R43" s="77">
        <v>30</v>
      </c>
      <c r="S43" s="77">
        <v>96</v>
      </c>
      <c r="T43" s="40">
        <v>25</v>
      </c>
      <c r="U43" s="77">
        <v>230</v>
      </c>
      <c r="V43" s="63">
        <v>50</v>
      </c>
      <c r="W43" s="77">
        <v>32</v>
      </c>
      <c r="X43" s="77">
        <v>50</v>
      </c>
    </row>
    <row r="44" spans="1:24" x14ac:dyDescent="0.3">
      <c r="A44" s="22">
        <v>1436.21</v>
      </c>
      <c r="B44" s="44">
        <v>1554.35</v>
      </c>
      <c r="C44" s="22">
        <v>1744.35</v>
      </c>
      <c r="D44" s="22">
        <v>4036.13</v>
      </c>
      <c r="E44" s="46"/>
      <c r="F44" s="22">
        <v>1458.51</v>
      </c>
      <c r="G44" s="22">
        <v>1458.51</v>
      </c>
      <c r="H44" s="15"/>
      <c r="I44" s="15">
        <v>1140</v>
      </c>
      <c r="K44" s="75">
        <v>382</v>
      </c>
      <c r="L44" s="76"/>
      <c r="M44" s="43">
        <v>252</v>
      </c>
      <c r="N44" s="43">
        <v>321.10000000000002</v>
      </c>
      <c r="O44" s="77">
        <v>434</v>
      </c>
      <c r="P44" s="43">
        <v>890.9</v>
      </c>
      <c r="Q44" s="43">
        <v>192</v>
      </c>
      <c r="R44" s="80">
        <v>269</v>
      </c>
      <c r="S44" s="43">
        <v>80</v>
      </c>
      <c r="T44" s="27"/>
      <c r="U44" s="77">
        <v>421</v>
      </c>
      <c r="V44" s="22">
        <v>500</v>
      </c>
      <c r="W44" s="77">
        <v>150</v>
      </c>
      <c r="X44" s="43">
        <v>320</v>
      </c>
    </row>
    <row r="45" spans="1:24" x14ac:dyDescent="0.3">
      <c r="A45" s="22"/>
      <c r="B45" s="41"/>
      <c r="C45" s="22"/>
      <c r="D45" s="22"/>
      <c r="E45" s="22"/>
      <c r="F45" s="22"/>
      <c r="G45" s="22"/>
      <c r="H45" s="15"/>
      <c r="I45" s="15">
        <v>3310</v>
      </c>
      <c r="K45" s="75">
        <v>5090</v>
      </c>
      <c r="L45" s="76"/>
      <c r="M45" s="43">
        <v>4430</v>
      </c>
      <c r="N45" s="43">
        <v>180</v>
      </c>
      <c r="O45" s="77">
        <v>6210</v>
      </c>
      <c r="P45" s="43">
        <v>1560</v>
      </c>
      <c r="Q45" s="43">
        <v>2480</v>
      </c>
      <c r="R45" s="84">
        <v>128</v>
      </c>
      <c r="S45" s="43">
        <v>830</v>
      </c>
      <c r="T45" s="27"/>
      <c r="U45" s="43">
        <v>6000</v>
      </c>
      <c r="V45" s="22"/>
      <c r="W45" s="43">
        <v>348</v>
      </c>
      <c r="X45" s="43">
        <v>1680</v>
      </c>
    </row>
    <row r="46" spans="1:24" x14ac:dyDescent="0.3">
      <c r="A46" s="22"/>
      <c r="B46" s="22"/>
      <c r="C46" s="22" t="s">
        <v>9</v>
      </c>
      <c r="D46" s="22"/>
      <c r="E46" s="22"/>
      <c r="F46" s="22"/>
      <c r="G46" s="22"/>
      <c r="H46" s="15"/>
      <c r="I46" s="15">
        <v>212</v>
      </c>
      <c r="K46" s="21">
        <v>1230</v>
      </c>
      <c r="L46" s="76"/>
      <c r="M46" s="43">
        <v>770</v>
      </c>
      <c r="N46" s="43"/>
      <c r="O46" s="77">
        <v>490</v>
      </c>
      <c r="P46" s="43"/>
      <c r="Q46" s="43">
        <v>1560</v>
      </c>
      <c r="R46" s="43">
        <v>1875</v>
      </c>
      <c r="S46" s="43"/>
      <c r="T46" s="27"/>
      <c r="U46" s="43">
        <v>810</v>
      </c>
      <c r="V46" s="22"/>
      <c r="W46" s="43">
        <v>4610</v>
      </c>
      <c r="X46" s="43"/>
    </row>
    <row r="47" spans="1:24" x14ac:dyDescent="0.3">
      <c r="A47" s="22"/>
      <c r="B47" s="22"/>
      <c r="C47" s="22"/>
      <c r="D47" s="22"/>
      <c r="E47" s="22"/>
      <c r="F47" s="22"/>
      <c r="G47" s="22"/>
      <c r="H47" s="15"/>
      <c r="I47" s="15">
        <v>2738</v>
      </c>
      <c r="K47" s="21"/>
      <c r="L47" s="76"/>
      <c r="M47" s="43"/>
      <c r="N47" s="43"/>
      <c r="O47" s="77"/>
      <c r="P47" s="43"/>
      <c r="Q47" s="43"/>
      <c r="R47" s="43"/>
      <c r="S47" s="43"/>
      <c r="T47" s="27"/>
      <c r="U47" s="43"/>
      <c r="V47" s="22"/>
      <c r="W47" s="43">
        <v>790</v>
      </c>
      <c r="X47" s="43"/>
    </row>
    <row r="48" spans="1:24" x14ac:dyDescent="0.3">
      <c r="A48" s="22"/>
      <c r="B48" s="22"/>
      <c r="C48" s="22"/>
      <c r="D48" s="22"/>
      <c r="E48" s="22"/>
      <c r="F48" s="22"/>
      <c r="G48" s="22"/>
      <c r="H48" s="160"/>
      <c r="I48" s="15">
        <v>6254</v>
      </c>
      <c r="K48" s="21"/>
      <c r="L48" s="76"/>
      <c r="N48" s="43"/>
      <c r="O48" s="43"/>
      <c r="P48" s="43"/>
      <c r="Q48" s="43"/>
      <c r="R48" s="43"/>
      <c r="S48" s="43"/>
      <c r="T48" s="27"/>
      <c r="U48" s="43"/>
      <c r="V48" s="22"/>
      <c r="W48" s="43"/>
      <c r="X48" s="43"/>
    </row>
    <row r="49" spans="1:24" x14ac:dyDescent="0.3">
      <c r="A49" s="22"/>
      <c r="B49" s="22"/>
      <c r="C49" s="22"/>
      <c r="D49" s="22"/>
      <c r="E49" s="22"/>
      <c r="F49" s="22"/>
      <c r="G49" s="22"/>
      <c r="H49" s="65"/>
      <c r="I49" s="15">
        <v>1182</v>
      </c>
      <c r="K49" s="75"/>
      <c r="L49" s="76"/>
      <c r="M49" s="43"/>
      <c r="N49" s="43"/>
      <c r="O49" s="43"/>
      <c r="P49" s="43"/>
      <c r="Q49" s="43"/>
      <c r="R49" s="43"/>
      <c r="S49" s="43"/>
      <c r="T49" s="27"/>
      <c r="U49" s="43"/>
      <c r="V49" s="22"/>
      <c r="W49" s="43"/>
      <c r="X49" s="43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15">
        <v>1638.57</v>
      </c>
      <c r="K50" s="21"/>
      <c r="L50" s="76"/>
      <c r="M50" s="22"/>
      <c r="N50" s="22"/>
      <c r="O50" s="43"/>
      <c r="P50" s="22"/>
      <c r="Q50" s="22"/>
      <c r="R50" s="22"/>
      <c r="S50" s="22"/>
      <c r="T50" s="27"/>
      <c r="U50" s="22"/>
      <c r="V50" s="22"/>
      <c r="W50" s="22"/>
      <c r="X50" s="22"/>
    </row>
    <row r="51" spans="1:24" x14ac:dyDescent="0.3">
      <c r="A51" s="22"/>
      <c r="B51" s="22"/>
      <c r="C51" s="22"/>
      <c r="D51" s="22"/>
      <c r="E51" s="22"/>
      <c r="F51" s="22"/>
      <c r="G51" s="22"/>
      <c r="H51" s="37"/>
      <c r="I51" s="15">
        <v>1736</v>
      </c>
      <c r="K51" s="21"/>
      <c r="L51" s="76"/>
      <c r="M51" s="22"/>
      <c r="N51" s="22"/>
      <c r="O51" s="43"/>
      <c r="P51" s="22"/>
      <c r="Q51" s="22"/>
      <c r="R51" s="22"/>
      <c r="S51" s="22"/>
      <c r="T51" s="27"/>
      <c r="U51" s="22"/>
      <c r="V51" s="22"/>
      <c r="W51" s="22"/>
      <c r="X51" s="22"/>
    </row>
    <row r="52" spans="1:24" x14ac:dyDescent="0.3">
      <c r="A52" s="22"/>
      <c r="B52" s="22"/>
      <c r="C52" s="22"/>
      <c r="D52" s="22"/>
      <c r="E52" s="22"/>
      <c r="F52" s="22"/>
      <c r="G52" s="22"/>
      <c r="H52" s="37"/>
      <c r="I52" s="15">
        <v>724</v>
      </c>
      <c r="K52" s="21"/>
      <c r="L52" s="76"/>
      <c r="M52" s="22"/>
      <c r="N52" s="22"/>
      <c r="O52" s="43"/>
      <c r="P52" s="22"/>
      <c r="Q52" s="22"/>
      <c r="R52" s="22"/>
      <c r="S52" s="22"/>
      <c r="T52" s="27"/>
      <c r="U52" s="22"/>
      <c r="V52" s="22"/>
      <c r="W52" s="22"/>
      <c r="X52" s="22"/>
    </row>
    <row r="53" spans="1:24" x14ac:dyDescent="0.3">
      <c r="A53" s="22"/>
      <c r="B53" s="22"/>
      <c r="C53" s="22"/>
      <c r="D53" s="22"/>
      <c r="E53" s="22"/>
      <c r="F53" s="22"/>
      <c r="G53" s="22"/>
      <c r="H53" s="22"/>
      <c r="I53" s="40"/>
      <c r="K53" s="128"/>
      <c r="L53" s="56"/>
      <c r="M53" s="22"/>
      <c r="N53" s="22"/>
      <c r="O53" s="43"/>
      <c r="P53" s="22"/>
      <c r="Q53" s="22"/>
      <c r="R53" s="22"/>
      <c r="S53" s="22"/>
      <c r="T53" s="27"/>
      <c r="U53" s="22"/>
      <c r="V53" s="22"/>
      <c r="W53" s="22"/>
      <c r="X53" s="22"/>
    </row>
    <row r="54" spans="1:24" ht="15" thickBot="1" x14ac:dyDescent="0.35">
      <c r="A54" s="22"/>
      <c r="B54" s="22"/>
      <c r="C54" s="22"/>
      <c r="D54" s="22"/>
      <c r="E54" s="22"/>
      <c r="F54" s="22"/>
      <c r="G54" s="22"/>
      <c r="H54" s="22"/>
      <c r="I54" s="27"/>
      <c r="K54" s="24"/>
      <c r="L54" s="56"/>
      <c r="M54" s="22"/>
      <c r="N54" s="22"/>
      <c r="O54" s="43"/>
      <c r="P54" s="22"/>
      <c r="Q54" s="22"/>
      <c r="R54" s="22"/>
      <c r="S54" s="22"/>
      <c r="T54" s="27"/>
      <c r="U54" s="22"/>
      <c r="V54" s="22"/>
      <c r="W54" s="22"/>
      <c r="X54" s="22"/>
    </row>
    <row r="55" spans="1:24" ht="15.6" thickTop="1" thickBot="1" x14ac:dyDescent="0.35">
      <c r="A55" s="22"/>
      <c r="B55" s="22"/>
      <c r="C55" s="22"/>
      <c r="D55" s="22"/>
      <c r="E55" s="22"/>
      <c r="F55" s="22"/>
      <c r="G55" s="22"/>
      <c r="H55" s="22"/>
      <c r="I55" s="132">
        <f>SUM(I42:I54)</f>
        <v>28813.01</v>
      </c>
      <c r="K55" s="24"/>
      <c r="L55" s="56"/>
      <c r="M55" s="22"/>
      <c r="N55" s="22"/>
      <c r="O55" s="43"/>
      <c r="P55" s="22"/>
      <c r="Q55" s="22"/>
      <c r="R55" s="22"/>
      <c r="S55" s="22"/>
      <c r="T55" s="27"/>
      <c r="U55" s="22"/>
      <c r="V55" s="22"/>
      <c r="W55" s="22"/>
      <c r="X55" s="22"/>
    </row>
    <row r="56" spans="1:24" ht="15" thickTop="1" x14ac:dyDescent="0.3">
      <c r="A56" s="22"/>
      <c r="B56" s="22"/>
      <c r="C56" s="22"/>
      <c r="D56" s="22"/>
      <c r="E56" s="22"/>
      <c r="F56" s="22"/>
      <c r="G56" s="22"/>
      <c r="H56" s="22"/>
      <c r="I56" s="27"/>
      <c r="K56" s="24"/>
      <c r="L56" s="22"/>
      <c r="M56" s="22"/>
      <c r="N56" s="22"/>
      <c r="O56" s="22"/>
      <c r="P56" s="22"/>
      <c r="Q56" s="22"/>
      <c r="R56" s="22"/>
      <c r="S56" s="22"/>
      <c r="T56" s="27"/>
      <c r="U56" s="22"/>
      <c r="V56" s="22"/>
      <c r="W56" s="22"/>
      <c r="X56" s="22"/>
    </row>
    <row r="57" spans="1:24" ht="15" thickBot="1" x14ac:dyDescent="0.35">
      <c r="A57" s="140">
        <f t="shared" ref="A57:G57" si="9">SUM(A42:A56)</f>
        <v>3776.21</v>
      </c>
      <c r="B57" s="140">
        <f t="shared" si="9"/>
        <v>3434.35</v>
      </c>
      <c r="C57" s="140">
        <f t="shared" si="9"/>
        <v>3929.35</v>
      </c>
      <c r="D57" s="140">
        <f t="shared" si="9"/>
        <v>4806.13</v>
      </c>
      <c r="E57" s="140">
        <f t="shared" si="9"/>
        <v>240</v>
      </c>
      <c r="F57" s="140">
        <f t="shared" si="9"/>
        <v>3559.51</v>
      </c>
      <c r="G57" s="140">
        <f t="shared" si="9"/>
        <v>3378.51</v>
      </c>
      <c r="H57" s="149">
        <f>SUM(A57:G57)+I55</f>
        <v>51937.070000000007</v>
      </c>
      <c r="I57" s="150" t="s">
        <v>64</v>
      </c>
      <c r="K57" s="140">
        <f t="shared" ref="K57:X57" si="10">SUM(K42:K56)</f>
        <v>6882</v>
      </c>
      <c r="L57" s="140">
        <f t="shared" si="10"/>
        <v>50</v>
      </c>
      <c r="M57" s="140">
        <f t="shared" si="10"/>
        <v>6402</v>
      </c>
      <c r="N57" s="140">
        <f t="shared" si="10"/>
        <v>551.1</v>
      </c>
      <c r="O57" s="140">
        <f t="shared" si="10"/>
        <v>7284</v>
      </c>
      <c r="P57" s="140">
        <f t="shared" si="10"/>
        <v>2478.4</v>
      </c>
      <c r="Q57" s="140">
        <f t="shared" si="10"/>
        <v>4992</v>
      </c>
      <c r="R57" s="140">
        <f t="shared" si="10"/>
        <v>2302</v>
      </c>
      <c r="S57" s="140">
        <f t="shared" si="10"/>
        <v>1006</v>
      </c>
      <c r="T57" s="140">
        <f t="shared" si="10"/>
        <v>25</v>
      </c>
      <c r="U57" s="140">
        <f t="shared" si="10"/>
        <v>7461</v>
      </c>
      <c r="V57" s="140">
        <f t="shared" si="10"/>
        <v>550</v>
      </c>
      <c r="W57" s="140">
        <f t="shared" si="10"/>
        <v>5930</v>
      </c>
      <c r="X57" s="140">
        <f t="shared" si="10"/>
        <v>2050</v>
      </c>
    </row>
    <row r="58" spans="1:24" ht="15" thickBot="1" x14ac:dyDescent="0.35">
      <c r="A58" s="140">
        <v>3776.21</v>
      </c>
      <c r="B58" s="140">
        <v>3434.35</v>
      </c>
      <c r="C58" s="140">
        <v>3929.35</v>
      </c>
      <c r="D58" s="140">
        <v>4806.13</v>
      </c>
      <c r="E58" s="140">
        <v>240</v>
      </c>
      <c r="F58" s="140">
        <v>3559.51</v>
      </c>
      <c r="G58" s="140">
        <v>3378.51</v>
      </c>
      <c r="H58" s="140">
        <f>SUM(A58:G58)+I55</f>
        <v>51937.070000000007</v>
      </c>
      <c r="I58" s="151"/>
      <c r="K58" s="140">
        <v>6882</v>
      </c>
      <c r="L58" s="140">
        <v>50</v>
      </c>
      <c r="M58" s="140">
        <v>6402</v>
      </c>
      <c r="N58" s="140">
        <v>551.1</v>
      </c>
      <c r="O58" s="140">
        <v>7284</v>
      </c>
      <c r="P58" s="140">
        <v>2478.4</v>
      </c>
      <c r="Q58" s="140">
        <v>4992</v>
      </c>
      <c r="R58" s="140">
        <v>2302</v>
      </c>
      <c r="S58" s="140">
        <v>1006</v>
      </c>
      <c r="T58" s="140">
        <v>25</v>
      </c>
      <c r="U58" s="140">
        <v>7461</v>
      </c>
      <c r="V58" s="140">
        <v>550</v>
      </c>
      <c r="W58" s="140">
        <v>5930</v>
      </c>
      <c r="X58" s="140">
        <v>2050</v>
      </c>
    </row>
    <row r="59" spans="1:24" ht="15" thickBot="1" x14ac:dyDescent="0.35">
      <c r="A59" s="63">
        <f t="shared" ref="A59:H59" si="11">A57-A58</f>
        <v>0</v>
      </c>
      <c r="B59" s="63">
        <f t="shared" si="11"/>
        <v>0</v>
      </c>
      <c r="C59" s="63">
        <f t="shared" si="11"/>
        <v>0</v>
      </c>
      <c r="D59" s="63">
        <f t="shared" si="11"/>
        <v>0</v>
      </c>
      <c r="E59" s="63">
        <f t="shared" si="11"/>
        <v>0</v>
      </c>
      <c r="F59" s="63">
        <f t="shared" si="11"/>
        <v>0</v>
      </c>
      <c r="G59" s="63">
        <f t="shared" si="11"/>
        <v>0</v>
      </c>
      <c r="H59" s="63">
        <f t="shared" si="11"/>
        <v>0</v>
      </c>
      <c r="I59" s="22"/>
      <c r="K59" s="152">
        <f>K57-K58</f>
        <v>0</v>
      </c>
      <c r="L59" s="152">
        <f>L57-L58</f>
        <v>0</v>
      </c>
      <c r="M59" s="152">
        <f t="shared" ref="M59:X59" si="12">M58-M57</f>
        <v>0</v>
      </c>
      <c r="N59" s="152">
        <f t="shared" si="12"/>
        <v>0</v>
      </c>
      <c r="O59" s="152">
        <f t="shared" si="12"/>
        <v>0</v>
      </c>
      <c r="P59" s="152">
        <f t="shared" si="12"/>
        <v>0</v>
      </c>
      <c r="Q59" s="152">
        <f t="shared" si="12"/>
        <v>0</v>
      </c>
      <c r="R59" s="152">
        <f t="shared" si="12"/>
        <v>0</v>
      </c>
      <c r="S59" s="152">
        <f t="shared" si="12"/>
        <v>0</v>
      </c>
      <c r="T59" s="152">
        <f t="shared" si="12"/>
        <v>0</v>
      </c>
      <c r="U59" s="152">
        <f t="shared" si="12"/>
        <v>0</v>
      </c>
      <c r="V59" s="152">
        <f t="shared" si="12"/>
        <v>0</v>
      </c>
      <c r="W59" s="152">
        <f t="shared" si="12"/>
        <v>0</v>
      </c>
      <c r="X59" s="152">
        <f t="shared" si="12"/>
        <v>0</v>
      </c>
    </row>
    <row r="60" spans="1:24" ht="15" thickBot="1" x14ac:dyDescent="0.35"/>
    <row r="61" spans="1:24" x14ac:dyDescent="0.3">
      <c r="A61" s="157">
        <v>46071</v>
      </c>
      <c r="B61" s="157">
        <f t="shared" ref="B61:G61" si="13">A61+1</f>
        <v>46072</v>
      </c>
      <c r="C61" s="157">
        <f t="shared" si="13"/>
        <v>46073</v>
      </c>
      <c r="D61" s="157">
        <f t="shared" si="13"/>
        <v>46074</v>
      </c>
      <c r="E61" s="157">
        <f t="shared" si="13"/>
        <v>46075</v>
      </c>
      <c r="F61" s="157">
        <f t="shared" si="13"/>
        <v>46076</v>
      </c>
      <c r="G61" s="157">
        <f t="shared" si="13"/>
        <v>46077</v>
      </c>
      <c r="H61" s="157"/>
      <c r="I61" s="13" t="s">
        <v>8</v>
      </c>
      <c r="K61" s="59">
        <v>46071</v>
      </c>
      <c r="L61" s="59"/>
      <c r="M61" s="59">
        <f>K61+1</f>
        <v>46072</v>
      </c>
      <c r="N61" s="59"/>
      <c r="O61" s="59">
        <f>M61+1</f>
        <v>46073</v>
      </c>
      <c r="P61" s="59"/>
      <c r="Q61" s="59">
        <f>O61+1</f>
        <v>46074</v>
      </c>
      <c r="R61" s="59"/>
      <c r="S61" s="59">
        <f>Q61+1</f>
        <v>46075</v>
      </c>
      <c r="T61" s="59"/>
      <c r="U61" s="59">
        <f>S61+1</f>
        <v>46076</v>
      </c>
      <c r="V61" s="59"/>
      <c r="W61" s="59">
        <f>U61+1</f>
        <v>46077</v>
      </c>
      <c r="X61" s="59"/>
    </row>
    <row r="62" spans="1:24" ht="15" thickBot="1" x14ac:dyDescent="0.35">
      <c r="A62" s="22">
        <v>260</v>
      </c>
      <c r="B62" s="22">
        <v>300</v>
      </c>
      <c r="C62" s="22">
        <v>350</v>
      </c>
      <c r="D62" s="22">
        <v>230</v>
      </c>
      <c r="E62" s="22">
        <v>480</v>
      </c>
      <c r="F62" s="22">
        <v>435</v>
      </c>
      <c r="G62" s="22">
        <v>200</v>
      </c>
      <c r="H62" s="15"/>
      <c r="I62" s="15">
        <v>4669.84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1700</v>
      </c>
      <c r="B63" s="22">
        <v>1535</v>
      </c>
      <c r="C63" s="22">
        <v>1835</v>
      </c>
      <c r="D63" s="22">
        <v>1340</v>
      </c>
      <c r="E63" s="22"/>
      <c r="F63" s="22">
        <v>1795</v>
      </c>
      <c r="G63" s="22">
        <v>1845</v>
      </c>
      <c r="H63" s="15"/>
      <c r="I63" s="15">
        <v>4455.3999999999996</v>
      </c>
      <c r="K63" s="75">
        <v>180</v>
      </c>
      <c r="L63" s="76">
        <v>70</v>
      </c>
      <c r="M63" s="77">
        <v>180</v>
      </c>
      <c r="N63" s="77">
        <v>40</v>
      </c>
      <c r="O63" s="77">
        <v>15</v>
      </c>
      <c r="P63" s="77">
        <v>30</v>
      </c>
      <c r="Q63" s="77">
        <v>120</v>
      </c>
      <c r="R63" s="77">
        <v>35</v>
      </c>
      <c r="S63" s="77">
        <v>80</v>
      </c>
      <c r="T63" s="40">
        <v>15</v>
      </c>
      <c r="U63" s="77">
        <v>15</v>
      </c>
      <c r="V63" s="63">
        <v>110</v>
      </c>
      <c r="W63" s="77">
        <v>240</v>
      </c>
      <c r="X63" s="77">
        <v>35</v>
      </c>
    </row>
    <row r="64" spans="1:24" x14ac:dyDescent="0.3">
      <c r="A64" s="22">
        <v>1080.1500000000001</v>
      </c>
      <c r="B64" s="44">
        <v>1648.51</v>
      </c>
      <c r="C64" s="22">
        <v>1614.24</v>
      </c>
      <c r="D64" s="22">
        <v>4959.97</v>
      </c>
      <c r="E64" s="46"/>
      <c r="F64" s="22">
        <v>1614.24</v>
      </c>
      <c r="G64" s="22">
        <v>1554.35</v>
      </c>
      <c r="H64" s="15"/>
      <c r="I64" s="15">
        <v>260.22000000000003</v>
      </c>
      <c r="K64" s="75">
        <v>370</v>
      </c>
      <c r="L64" s="76">
        <v>120</v>
      </c>
      <c r="M64" s="43">
        <v>252</v>
      </c>
      <c r="N64" s="43">
        <v>50</v>
      </c>
      <c r="O64" s="77">
        <v>210</v>
      </c>
      <c r="P64" s="43">
        <v>35</v>
      </c>
      <c r="Q64" s="43">
        <v>762</v>
      </c>
      <c r="R64" s="80">
        <v>110</v>
      </c>
      <c r="S64" s="43">
        <v>122</v>
      </c>
      <c r="T64" s="27"/>
      <c r="U64" s="77">
        <v>210</v>
      </c>
      <c r="V64" s="22"/>
      <c r="W64" s="77">
        <v>348</v>
      </c>
      <c r="X64" s="43"/>
    </row>
    <row r="65" spans="1:24" x14ac:dyDescent="0.3">
      <c r="A65" s="22"/>
      <c r="B65" s="41"/>
      <c r="C65" s="22"/>
      <c r="D65" s="22"/>
      <c r="E65" s="22"/>
      <c r="F65" s="22"/>
      <c r="G65" s="22" t="s">
        <v>9</v>
      </c>
      <c r="H65" s="15"/>
      <c r="I65" s="15">
        <v>1140</v>
      </c>
      <c r="K65" s="75">
        <v>5300</v>
      </c>
      <c r="L65" s="76"/>
      <c r="M65" s="43">
        <v>4150</v>
      </c>
      <c r="N65" s="43"/>
      <c r="O65" s="77">
        <v>434</v>
      </c>
      <c r="P65" s="43">
        <v>466</v>
      </c>
      <c r="Q65" s="43">
        <v>3880</v>
      </c>
      <c r="R65" s="84">
        <v>60</v>
      </c>
      <c r="S65" s="43">
        <v>660</v>
      </c>
      <c r="T65" s="27"/>
      <c r="U65" s="43">
        <v>434</v>
      </c>
      <c r="V65" s="22"/>
      <c r="W65" s="43">
        <v>4390</v>
      </c>
      <c r="X65" s="43"/>
    </row>
    <row r="66" spans="1:24" x14ac:dyDescent="0.3">
      <c r="A66" s="22"/>
      <c r="B66" s="22"/>
      <c r="C66" s="22"/>
      <c r="D66" s="22"/>
      <c r="E66" s="22"/>
      <c r="F66" s="22"/>
      <c r="G66" s="22"/>
      <c r="H66" s="15"/>
      <c r="I66" s="15">
        <v>4415</v>
      </c>
      <c r="K66" s="21">
        <v>1070</v>
      </c>
      <c r="L66" s="76"/>
      <c r="M66" s="43">
        <v>930</v>
      </c>
      <c r="N66" s="43"/>
      <c r="O66" s="77">
        <v>5140</v>
      </c>
      <c r="P66" s="43">
        <v>670</v>
      </c>
      <c r="Q66" s="43">
        <v>1180</v>
      </c>
      <c r="R66" s="43"/>
      <c r="S66" s="43"/>
      <c r="T66" s="27"/>
      <c r="U66" s="43">
        <v>5250</v>
      </c>
      <c r="V66" s="22"/>
      <c r="W66" s="43">
        <v>1230</v>
      </c>
      <c r="X66" s="43"/>
    </row>
    <row r="67" spans="1:24" x14ac:dyDescent="0.3">
      <c r="A67" s="22"/>
      <c r="B67" s="22"/>
      <c r="C67" s="22"/>
      <c r="D67" s="22"/>
      <c r="E67" s="22"/>
      <c r="F67" s="22"/>
      <c r="G67" s="22"/>
      <c r="H67" s="15"/>
      <c r="I67" s="15">
        <v>424</v>
      </c>
      <c r="K67" s="21"/>
      <c r="L67" s="76"/>
      <c r="M67" s="43"/>
      <c r="N67" s="43"/>
      <c r="O67" s="77">
        <v>1280</v>
      </c>
      <c r="P67" s="43"/>
      <c r="Q67" s="43"/>
      <c r="R67" s="43"/>
      <c r="S67" s="43"/>
      <c r="T67" s="27"/>
      <c r="U67" s="43">
        <v>1020</v>
      </c>
      <c r="V67" s="22"/>
      <c r="W67" s="43"/>
      <c r="X67" s="43"/>
    </row>
    <row r="68" spans="1:24" x14ac:dyDescent="0.3">
      <c r="A68" s="22"/>
      <c r="B68" s="22"/>
      <c r="C68" s="22"/>
      <c r="D68" s="22"/>
      <c r="E68" s="22"/>
      <c r="F68" s="22"/>
      <c r="G68" s="22"/>
      <c r="H68" s="160"/>
      <c r="I68" s="15">
        <v>2409</v>
      </c>
      <c r="K68" s="21"/>
      <c r="L68" s="76"/>
      <c r="N68" s="43"/>
      <c r="O68" s="77"/>
      <c r="P68" s="43"/>
      <c r="Q68" s="43"/>
      <c r="R68" s="43"/>
      <c r="S68" s="43"/>
      <c r="T68" s="27"/>
      <c r="U68" s="43"/>
      <c r="V68" s="22"/>
      <c r="W68" s="43"/>
      <c r="X68" s="43"/>
    </row>
    <row r="69" spans="1:24" x14ac:dyDescent="0.3">
      <c r="A69" s="22"/>
      <c r="B69" s="22"/>
      <c r="C69" s="22"/>
      <c r="D69" s="22"/>
      <c r="E69" s="22"/>
      <c r="F69" s="22"/>
      <c r="G69" s="22"/>
      <c r="H69" s="65"/>
      <c r="I69" s="15">
        <v>6360</v>
      </c>
      <c r="K69" s="75"/>
      <c r="L69" s="76"/>
      <c r="M69" s="43"/>
      <c r="N69" s="43"/>
      <c r="O69" s="43"/>
      <c r="P69" s="43"/>
      <c r="Q69" s="43"/>
      <c r="R69" s="43"/>
      <c r="S69" s="43"/>
      <c r="T69" s="27"/>
      <c r="U69" s="43"/>
      <c r="V69" s="22"/>
      <c r="W69" s="43"/>
      <c r="X69" s="43"/>
    </row>
    <row r="70" spans="1:24" x14ac:dyDescent="0.3">
      <c r="A70" s="22"/>
      <c r="B70" s="22"/>
      <c r="C70" s="22"/>
      <c r="D70" s="22"/>
      <c r="E70" s="22"/>
      <c r="F70" s="22"/>
      <c r="G70" s="22"/>
      <c r="H70" s="37"/>
      <c r="I70" s="15">
        <v>1158.5</v>
      </c>
      <c r="K70" s="21"/>
      <c r="L70" s="76"/>
      <c r="M70" s="22"/>
      <c r="N70" s="22"/>
      <c r="O70" s="43"/>
      <c r="P70" s="22"/>
      <c r="Q70" s="22"/>
      <c r="R70" s="22"/>
      <c r="S70" s="22"/>
      <c r="T70" s="27"/>
      <c r="U70" s="22"/>
      <c r="V70" s="22"/>
      <c r="W70" s="22"/>
      <c r="X70" s="22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15">
        <v>1348.57</v>
      </c>
      <c r="K71" s="21"/>
      <c r="L71" s="76"/>
      <c r="M71" s="22"/>
      <c r="N71" s="22"/>
      <c r="O71" s="43"/>
      <c r="P71" s="22"/>
      <c r="Q71" s="22"/>
      <c r="R71" s="22"/>
      <c r="S71" s="22"/>
      <c r="T71" s="27"/>
      <c r="U71" s="22"/>
      <c r="V71" s="22"/>
      <c r="W71" s="22"/>
      <c r="X71" s="22"/>
    </row>
    <row r="72" spans="1:24" x14ac:dyDescent="0.3">
      <c r="A72" s="22"/>
      <c r="B72" s="22"/>
      <c r="C72" s="22"/>
      <c r="D72" s="22"/>
      <c r="E72" s="22"/>
      <c r="F72" s="22"/>
      <c r="G72" s="22"/>
      <c r="H72" s="37"/>
      <c r="I72" s="15">
        <v>707</v>
      </c>
      <c r="K72" s="21"/>
      <c r="L72" s="76"/>
      <c r="M72" s="22"/>
      <c r="N72" s="22"/>
      <c r="O72" s="43"/>
      <c r="P72" s="22"/>
      <c r="Q72" s="22"/>
      <c r="R72" s="22"/>
      <c r="S72" s="22"/>
      <c r="T72" s="27"/>
      <c r="U72" s="22"/>
      <c r="V72" s="22"/>
      <c r="W72" s="22"/>
      <c r="X72" s="22"/>
    </row>
    <row r="73" spans="1:24" x14ac:dyDescent="0.3">
      <c r="A73" s="22"/>
      <c r="B73" s="22"/>
      <c r="C73" s="22"/>
      <c r="D73" s="22"/>
      <c r="E73" s="22"/>
      <c r="F73" s="22"/>
      <c r="G73" s="22"/>
      <c r="H73" s="22"/>
      <c r="I73" s="40">
        <v>1277</v>
      </c>
      <c r="K73" s="128"/>
      <c r="L73" s="56"/>
      <c r="M73" s="22"/>
      <c r="N73" s="22"/>
      <c r="O73" s="43"/>
      <c r="P73" s="22"/>
      <c r="Q73" s="22"/>
      <c r="R73" s="22"/>
      <c r="S73" s="22"/>
      <c r="T73" s="27"/>
      <c r="U73" s="22"/>
      <c r="V73" s="22"/>
      <c r="W73" s="22"/>
      <c r="X73" s="22"/>
    </row>
    <row r="74" spans="1:24" ht="15" thickBot="1" x14ac:dyDescent="0.35">
      <c r="A74" s="22"/>
      <c r="B74" s="22"/>
      <c r="C74" s="22"/>
      <c r="D74" s="22"/>
      <c r="E74" s="22"/>
      <c r="F74" s="22"/>
      <c r="G74" s="22"/>
      <c r="H74" s="22"/>
      <c r="I74" s="27">
        <v>848</v>
      </c>
      <c r="K74" s="24"/>
      <c r="L74" s="56"/>
      <c r="M74" s="22"/>
      <c r="N74" s="22"/>
      <c r="O74" s="43"/>
      <c r="P74" s="22"/>
      <c r="Q74" s="22"/>
      <c r="R74" s="22"/>
      <c r="S74" s="22"/>
      <c r="T74" s="27"/>
      <c r="U74" s="22"/>
      <c r="V74" s="22"/>
      <c r="W74" s="22"/>
      <c r="X74" s="22"/>
    </row>
    <row r="75" spans="1:24" ht="15.6" thickTop="1" thickBot="1" x14ac:dyDescent="0.35">
      <c r="A75" s="22"/>
      <c r="B75" s="22"/>
      <c r="C75" s="22"/>
      <c r="D75" s="22"/>
      <c r="E75" s="22"/>
      <c r="F75" s="22"/>
      <c r="G75" s="22"/>
      <c r="H75" s="22"/>
      <c r="I75" s="132">
        <f>SUM(I62:I74)</f>
        <v>29472.53</v>
      </c>
      <c r="J75" s="1"/>
      <c r="K75" s="24"/>
      <c r="L75" s="56"/>
      <c r="M75" s="22"/>
      <c r="N75" s="22"/>
      <c r="O75" s="43"/>
      <c r="P75" s="22"/>
      <c r="Q75" s="22"/>
      <c r="R75" s="22"/>
      <c r="S75" s="22"/>
      <c r="T75" s="27"/>
      <c r="U75" s="22"/>
      <c r="V75" s="22"/>
      <c r="W75" s="22"/>
      <c r="X75" s="22"/>
    </row>
    <row r="76" spans="1:24" ht="15" thickTop="1" x14ac:dyDescent="0.3">
      <c r="A76" s="22"/>
      <c r="B76" s="22"/>
      <c r="C76" s="22"/>
      <c r="D76" s="22"/>
      <c r="E76" s="22"/>
      <c r="F76" s="22"/>
      <c r="G76" s="22"/>
      <c r="H76" s="22"/>
      <c r="I76" s="27"/>
      <c r="K76" s="24"/>
      <c r="L76" s="22"/>
      <c r="M76" s="22"/>
      <c r="N76" s="22"/>
      <c r="O76" s="22"/>
      <c r="P76" s="22"/>
      <c r="Q76" s="22"/>
      <c r="R76" s="22"/>
      <c r="S76" s="22"/>
      <c r="T76" s="27"/>
      <c r="U76" s="22"/>
      <c r="V76" s="22"/>
      <c r="W76" s="22"/>
      <c r="X76" s="22"/>
    </row>
    <row r="77" spans="1:24" ht="15" thickBot="1" x14ac:dyDescent="0.35">
      <c r="A77" s="140">
        <f t="shared" ref="A77:G77" si="14">SUM(A62:A76)</f>
        <v>3040.15</v>
      </c>
      <c r="B77" s="140">
        <f t="shared" si="14"/>
        <v>3483.51</v>
      </c>
      <c r="C77" s="140">
        <f t="shared" si="14"/>
        <v>3799.24</v>
      </c>
      <c r="D77" s="140">
        <f t="shared" si="14"/>
        <v>6529.97</v>
      </c>
      <c r="E77" s="140">
        <f t="shared" si="14"/>
        <v>480</v>
      </c>
      <c r="F77" s="140">
        <f t="shared" si="14"/>
        <v>3844.24</v>
      </c>
      <c r="G77" s="140">
        <f t="shared" si="14"/>
        <v>3599.35</v>
      </c>
      <c r="H77" s="149">
        <f>SUM(A77:G77)+I75</f>
        <v>54248.99</v>
      </c>
      <c r="I77" s="150" t="s">
        <v>64</v>
      </c>
      <c r="K77" s="140">
        <f t="shared" ref="K77:X77" si="15">SUM(K62:K76)</f>
        <v>6920</v>
      </c>
      <c r="L77" s="140">
        <f t="shared" si="15"/>
        <v>190</v>
      </c>
      <c r="M77" s="140">
        <f t="shared" si="15"/>
        <v>5512</v>
      </c>
      <c r="N77" s="140">
        <f t="shared" si="15"/>
        <v>90</v>
      </c>
      <c r="O77" s="140">
        <f t="shared" si="15"/>
        <v>7079</v>
      </c>
      <c r="P77" s="140">
        <f t="shared" si="15"/>
        <v>1201</v>
      </c>
      <c r="Q77" s="140">
        <f t="shared" si="15"/>
        <v>5942</v>
      </c>
      <c r="R77" s="140">
        <f t="shared" si="15"/>
        <v>205</v>
      </c>
      <c r="S77" s="140">
        <f t="shared" si="15"/>
        <v>862</v>
      </c>
      <c r="T77" s="140">
        <f t="shared" si="15"/>
        <v>15</v>
      </c>
      <c r="U77" s="140">
        <f t="shared" si="15"/>
        <v>6929</v>
      </c>
      <c r="V77" s="140">
        <f t="shared" si="15"/>
        <v>110</v>
      </c>
      <c r="W77" s="140">
        <f t="shared" si="15"/>
        <v>6208</v>
      </c>
      <c r="X77" s="140">
        <f t="shared" si="15"/>
        <v>35</v>
      </c>
    </row>
    <row r="78" spans="1:24" ht="15" thickBot="1" x14ac:dyDescent="0.35">
      <c r="A78" s="140">
        <v>3040.15</v>
      </c>
      <c r="B78" s="140">
        <v>3483.51</v>
      </c>
      <c r="C78" s="140">
        <v>3799.24</v>
      </c>
      <c r="D78" s="140">
        <v>6529.97</v>
      </c>
      <c r="E78" s="140">
        <v>480</v>
      </c>
      <c r="F78" s="140">
        <v>3844.24</v>
      </c>
      <c r="G78" s="140">
        <v>3599.35</v>
      </c>
      <c r="H78" s="140">
        <f>SUM(A78:G78)+I75</f>
        <v>54248.99</v>
      </c>
      <c r="I78" s="140"/>
      <c r="K78" s="140">
        <v>6920</v>
      </c>
      <c r="L78" s="140">
        <v>190</v>
      </c>
      <c r="M78" s="140">
        <v>5512</v>
      </c>
      <c r="N78" s="140">
        <v>90</v>
      </c>
      <c r="O78" s="140">
        <v>7079</v>
      </c>
      <c r="P78" s="140">
        <v>1201</v>
      </c>
      <c r="Q78" s="140">
        <v>5942</v>
      </c>
      <c r="R78" s="140">
        <v>205</v>
      </c>
      <c r="S78" s="140">
        <v>862</v>
      </c>
      <c r="T78" s="140">
        <v>15</v>
      </c>
      <c r="U78" s="140">
        <v>6929</v>
      </c>
      <c r="V78" s="140">
        <v>110</v>
      </c>
      <c r="W78" s="140">
        <v>6208</v>
      </c>
      <c r="X78" s="140">
        <v>35</v>
      </c>
    </row>
    <row r="79" spans="1:24" ht="15" thickBot="1" x14ac:dyDescent="0.35">
      <c r="A79" s="63">
        <f t="shared" ref="A79:H79" si="16">A77-A78</f>
        <v>0</v>
      </c>
      <c r="B79" s="63">
        <f t="shared" si="16"/>
        <v>0</v>
      </c>
      <c r="C79" s="63">
        <f t="shared" si="16"/>
        <v>0</v>
      </c>
      <c r="D79" s="63">
        <f t="shared" si="16"/>
        <v>0</v>
      </c>
      <c r="E79" s="63">
        <f t="shared" si="16"/>
        <v>0</v>
      </c>
      <c r="F79" s="63">
        <f t="shared" si="16"/>
        <v>0</v>
      </c>
      <c r="G79" s="63">
        <f t="shared" si="16"/>
        <v>0</v>
      </c>
      <c r="H79" s="63">
        <f t="shared" si="16"/>
        <v>0</v>
      </c>
      <c r="I79" s="140"/>
      <c r="K79" s="152">
        <f>K77-K78</f>
        <v>0</v>
      </c>
      <c r="L79" s="152">
        <f>L77-L78</f>
        <v>0</v>
      </c>
      <c r="M79" s="152">
        <f t="shared" ref="M79:X79" si="17">M78-M77</f>
        <v>0</v>
      </c>
      <c r="N79" s="152">
        <f t="shared" si="17"/>
        <v>0</v>
      </c>
      <c r="O79" s="152">
        <f t="shared" si="17"/>
        <v>0</v>
      </c>
      <c r="P79" s="152">
        <f t="shared" si="17"/>
        <v>0</v>
      </c>
      <c r="Q79" s="152">
        <f t="shared" si="17"/>
        <v>0</v>
      </c>
      <c r="R79" s="152">
        <f t="shared" si="17"/>
        <v>0</v>
      </c>
      <c r="S79" s="152">
        <f t="shared" si="17"/>
        <v>0</v>
      </c>
      <c r="T79" s="152">
        <f t="shared" si="17"/>
        <v>0</v>
      </c>
      <c r="U79" s="152">
        <f t="shared" si="17"/>
        <v>0</v>
      </c>
      <c r="V79" s="152">
        <f t="shared" si="17"/>
        <v>0</v>
      </c>
      <c r="W79" s="152">
        <f t="shared" si="17"/>
        <v>0</v>
      </c>
      <c r="X79" s="152">
        <f t="shared" si="17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BB19-0801-4635-9B04-EBF4C115D247}">
  <dimension ref="A1:X99"/>
  <sheetViews>
    <sheetView topLeftCell="A75" workbookViewId="0">
      <selection activeCell="L94" sqref="L94"/>
    </sheetView>
  </sheetViews>
  <sheetFormatPr defaultRowHeight="14.4" x14ac:dyDescent="0.3"/>
  <cols>
    <col min="1" max="7" width="10.33203125" bestFit="1" customWidth="1"/>
    <col min="8" max="8" width="12.109375" customWidth="1"/>
    <col min="9" max="9" width="10" bestFit="1" customWidth="1"/>
    <col min="11" max="11" width="10.33203125" customWidth="1"/>
    <col min="12" max="12" width="8.33203125" customWidth="1"/>
    <col min="13" max="13" width="10.44140625" customWidth="1"/>
    <col min="14" max="14" width="9" customWidth="1"/>
    <col min="15" max="15" width="11.5546875" customWidth="1"/>
    <col min="16" max="16" width="7.5546875" customWidth="1"/>
    <col min="17" max="17" width="10.5546875" customWidth="1"/>
    <col min="18" max="18" width="9.6640625" customWidth="1"/>
    <col min="19" max="19" width="11.33203125" customWidth="1"/>
    <col min="20" max="20" width="7.44140625" customWidth="1"/>
    <col min="21" max="21" width="10.44140625" customWidth="1"/>
    <col min="22" max="22" width="9.5546875" customWidth="1"/>
    <col min="23" max="23" width="12.88671875" customWidth="1"/>
    <col min="24" max="24" width="10.88671875" customWidth="1"/>
  </cols>
  <sheetData>
    <row r="1" spans="1:24" x14ac:dyDescent="0.3">
      <c r="A1" s="157">
        <v>46078</v>
      </c>
      <c r="B1" s="157">
        <f t="shared" ref="B1:G1" si="0">A1+1</f>
        <v>46079</v>
      </c>
      <c r="C1" s="157">
        <f t="shared" si="0"/>
        <v>46080</v>
      </c>
      <c r="D1" s="157">
        <f t="shared" si="0"/>
        <v>46081</v>
      </c>
      <c r="E1" s="157">
        <f t="shared" si="0"/>
        <v>46082</v>
      </c>
      <c r="F1" s="157">
        <f t="shared" si="0"/>
        <v>46083</v>
      </c>
      <c r="G1" s="157">
        <f t="shared" si="0"/>
        <v>46084</v>
      </c>
      <c r="H1" s="157"/>
      <c r="I1" s="13" t="s">
        <v>8</v>
      </c>
      <c r="K1" s="59">
        <v>46078</v>
      </c>
      <c r="L1" s="59"/>
      <c r="M1" s="59">
        <f>K1+1</f>
        <v>46079</v>
      </c>
      <c r="N1" s="59"/>
      <c r="O1" s="59">
        <f>M1+1</f>
        <v>46080</v>
      </c>
      <c r="P1" s="59"/>
      <c r="Q1" s="59">
        <f>O1+1</f>
        <v>46081</v>
      </c>
      <c r="R1" s="59"/>
      <c r="S1" s="59">
        <f>Q1+1</f>
        <v>46082</v>
      </c>
      <c r="T1" s="59"/>
      <c r="U1" s="59">
        <f>S1+1</f>
        <v>46083</v>
      </c>
      <c r="V1" s="59"/>
      <c r="W1" s="59">
        <f>U1+1</f>
        <v>46084</v>
      </c>
      <c r="X1" s="59"/>
    </row>
    <row r="2" spans="1:24" ht="15" thickBot="1" x14ac:dyDescent="0.35">
      <c r="A2" s="22">
        <v>260</v>
      </c>
      <c r="B2" s="22">
        <v>210</v>
      </c>
      <c r="C2" s="22">
        <v>285</v>
      </c>
      <c r="D2" s="22">
        <v>210</v>
      </c>
      <c r="E2" s="22">
        <v>430</v>
      </c>
      <c r="F2" s="22">
        <v>260</v>
      </c>
      <c r="G2" s="22">
        <v>350</v>
      </c>
      <c r="H2" s="15"/>
      <c r="I2" s="15">
        <v>3615.36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43" t="s">
        <v>11</v>
      </c>
    </row>
    <row r="3" spans="1:24" x14ac:dyDescent="0.3">
      <c r="A3" s="22">
        <v>1485</v>
      </c>
      <c r="B3" s="22">
        <v>1170</v>
      </c>
      <c r="C3" s="22">
        <v>1665</v>
      </c>
      <c r="D3" s="22">
        <v>665</v>
      </c>
      <c r="E3" s="22"/>
      <c r="F3" s="22">
        <v>1480</v>
      </c>
      <c r="G3" s="22">
        <v>1980</v>
      </c>
      <c r="H3" s="15"/>
      <c r="I3" s="15">
        <v>4455.3999999999996</v>
      </c>
      <c r="K3" s="75">
        <v>32</v>
      </c>
      <c r="L3" s="76">
        <v>65</v>
      </c>
      <c r="M3" s="77">
        <v>32</v>
      </c>
      <c r="N3" s="77">
        <v>65</v>
      </c>
      <c r="O3" s="77">
        <v>15</v>
      </c>
      <c r="P3" s="77">
        <v>50</v>
      </c>
      <c r="Q3" s="77">
        <v>120</v>
      </c>
      <c r="R3" s="77">
        <v>30</v>
      </c>
      <c r="S3" s="77">
        <v>70</v>
      </c>
      <c r="T3" s="40">
        <v>15</v>
      </c>
      <c r="U3" s="77">
        <v>32</v>
      </c>
      <c r="V3" s="63">
        <v>99.5</v>
      </c>
      <c r="W3" s="77">
        <v>15</v>
      </c>
      <c r="X3" s="77">
        <v>50</v>
      </c>
    </row>
    <row r="4" spans="1:24" x14ac:dyDescent="0.3">
      <c r="A4" s="22">
        <v>1436.21</v>
      </c>
      <c r="B4" s="44">
        <v>1744.35</v>
      </c>
      <c r="C4" s="22">
        <v>1744.35</v>
      </c>
      <c r="D4" s="22">
        <v>3811.35</v>
      </c>
      <c r="E4" s="46"/>
      <c r="F4" s="22">
        <v>1424.24</v>
      </c>
      <c r="G4" s="22">
        <v>1388.29</v>
      </c>
      <c r="H4" s="15"/>
      <c r="I4" s="15">
        <v>260.22000000000003</v>
      </c>
      <c r="K4" s="75">
        <v>180</v>
      </c>
      <c r="L4" s="76">
        <v>60</v>
      </c>
      <c r="M4" s="77">
        <v>210</v>
      </c>
      <c r="N4" s="43"/>
      <c r="O4" s="77">
        <v>210</v>
      </c>
      <c r="P4" s="43">
        <v>505</v>
      </c>
      <c r="Q4" s="43">
        <v>192</v>
      </c>
      <c r="R4" s="80">
        <v>281</v>
      </c>
      <c r="S4" s="43">
        <v>96</v>
      </c>
      <c r="T4" s="27"/>
      <c r="U4" s="77">
        <v>180</v>
      </c>
      <c r="V4" s="22">
        <v>411</v>
      </c>
      <c r="W4" s="77">
        <v>230</v>
      </c>
      <c r="X4" s="43">
        <v>1200</v>
      </c>
    </row>
    <row r="5" spans="1:24" x14ac:dyDescent="0.3">
      <c r="A5" s="22"/>
      <c r="B5" s="41"/>
      <c r="C5" s="22"/>
      <c r="D5" s="22"/>
      <c r="E5" s="22"/>
      <c r="F5" s="22"/>
      <c r="G5" s="22"/>
      <c r="H5" s="15"/>
      <c r="I5" s="15">
        <v>1140</v>
      </c>
      <c r="K5" s="75">
        <v>382</v>
      </c>
      <c r="L5" s="76"/>
      <c r="M5" s="77">
        <v>252</v>
      </c>
      <c r="N5" s="43"/>
      <c r="O5" s="77">
        <v>460</v>
      </c>
      <c r="P5" s="43"/>
      <c r="Q5" s="43">
        <v>2220</v>
      </c>
      <c r="R5" s="84">
        <v>120</v>
      </c>
      <c r="S5" s="43">
        <v>610</v>
      </c>
      <c r="T5" s="27"/>
      <c r="U5" s="77">
        <v>278</v>
      </c>
      <c r="V5" s="22">
        <v>1800</v>
      </c>
      <c r="W5" s="77">
        <v>434</v>
      </c>
      <c r="X5" s="43"/>
    </row>
    <row r="6" spans="1:24" x14ac:dyDescent="0.3">
      <c r="A6" s="22"/>
      <c r="B6" s="22"/>
      <c r="C6" s="22"/>
      <c r="D6" s="22"/>
      <c r="E6" s="22"/>
      <c r="F6" s="22"/>
      <c r="G6" s="22"/>
      <c r="H6" s="15"/>
      <c r="I6" s="15">
        <v>4715</v>
      </c>
      <c r="K6" s="75">
        <v>4780</v>
      </c>
      <c r="L6" s="76"/>
      <c r="M6" s="43">
        <v>3470</v>
      </c>
      <c r="N6" s="43"/>
      <c r="O6" s="77">
        <v>5480</v>
      </c>
      <c r="P6" s="43"/>
      <c r="Q6" s="43">
        <v>1440</v>
      </c>
      <c r="R6" s="43">
        <v>70</v>
      </c>
      <c r="S6" s="43"/>
      <c r="T6" s="27"/>
      <c r="U6" s="43">
        <v>4910</v>
      </c>
      <c r="V6" s="22"/>
      <c r="W6" s="43">
        <v>4510</v>
      </c>
      <c r="X6" s="43"/>
    </row>
    <row r="7" spans="1:24" x14ac:dyDescent="0.3">
      <c r="A7" s="22"/>
      <c r="B7" s="22"/>
      <c r="C7" s="22"/>
      <c r="D7" s="22"/>
      <c r="E7" s="22"/>
      <c r="F7" s="22"/>
      <c r="G7" s="22"/>
      <c r="H7" s="15"/>
      <c r="I7" s="15">
        <v>848</v>
      </c>
      <c r="K7" s="21">
        <v>1230</v>
      </c>
      <c r="L7" s="76"/>
      <c r="M7" s="43">
        <v>1370</v>
      </c>
      <c r="N7" s="43"/>
      <c r="O7" s="77">
        <v>940</v>
      </c>
      <c r="P7" s="43"/>
      <c r="Q7" s="43"/>
      <c r="R7" s="43"/>
      <c r="S7" s="43"/>
      <c r="T7" s="27"/>
      <c r="U7" s="43">
        <v>860</v>
      </c>
      <c r="V7" s="22"/>
      <c r="W7" s="43">
        <v>930</v>
      </c>
      <c r="X7" s="43"/>
    </row>
    <row r="8" spans="1:24" x14ac:dyDescent="0.3">
      <c r="A8" s="22"/>
      <c r="B8" s="22"/>
      <c r="C8" s="22"/>
      <c r="D8" s="22"/>
      <c r="E8" s="22"/>
      <c r="F8" s="22"/>
      <c r="G8" s="22"/>
      <c r="H8" s="160"/>
      <c r="I8" s="15">
        <v>6360</v>
      </c>
      <c r="K8" s="21"/>
      <c r="L8" s="76"/>
      <c r="M8" s="43"/>
      <c r="N8" s="43"/>
      <c r="O8" s="77"/>
      <c r="P8" s="43"/>
      <c r="Q8" s="43"/>
      <c r="R8" s="43"/>
      <c r="S8" s="43"/>
      <c r="T8" s="27"/>
      <c r="U8" s="43"/>
      <c r="V8" s="22"/>
      <c r="W8" s="43"/>
      <c r="X8" s="43"/>
    </row>
    <row r="9" spans="1:24" x14ac:dyDescent="0.3">
      <c r="A9" s="22"/>
      <c r="B9" s="22"/>
      <c r="C9" s="22"/>
      <c r="D9" s="22"/>
      <c r="E9" s="22"/>
      <c r="F9" s="22"/>
      <c r="G9" s="22"/>
      <c r="H9" s="65"/>
      <c r="I9" s="15">
        <v>1288</v>
      </c>
      <c r="K9" s="75"/>
      <c r="L9" s="76"/>
      <c r="M9" s="43"/>
      <c r="N9" s="43"/>
      <c r="O9" s="43"/>
      <c r="P9" s="43"/>
      <c r="Q9" s="43"/>
      <c r="R9" s="43"/>
      <c r="S9" s="43"/>
      <c r="T9" s="27"/>
      <c r="U9" s="43"/>
      <c r="V9" s="22"/>
      <c r="W9" s="43"/>
      <c r="X9" s="43"/>
    </row>
    <row r="10" spans="1:24" x14ac:dyDescent="0.3">
      <c r="A10" s="22"/>
      <c r="B10" s="22"/>
      <c r="C10" s="22"/>
      <c r="D10" s="22"/>
      <c r="E10" s="22"/>
      <c r="F10" s="22"/>
      <c r="G10" s="22"/>
      <c r="H10" s="37"/>
      <c r="I10" s="15">
        <v>1348.57</v>
      </c>
      <c r="K10" s="21"/>
      <c r="L10" s="76"/>
      <c r="M10" s="22"/>
      <c r="N10" s="22"/>
      <c r="O10" s="43"/>
      <c r="P10" s="22"/>
      <c r="Q10" s="22"/>
      <c r="R10" s="22"/>
      <c r="S10" s="22"/>
      <c r="T10" s="27"/>
      <c r="U10" s="22"/>
      <c r="V10" s="22"/>
      <c r="W10" s="22"/>
      <c r="X10" s="22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15">
        <v>2504</v>
      </c>
      <c r="K11" s="21"/>
      <c r="L11" s="76"/>
      <c r="M11" s="22"/>
      <c r="N11" s="22"/>
      <c r="O11" s="43"/>
      <c r="P11" s="22"/>
      <c r="Q11" s="22"/>
      <c r="R11" s="22"/>
      <c r="S11" s="22"/>
      <c r="T11" s="27"/>
      <c r="U11" s="22"/>
      <c r="V11" s="22"/>
      <c r="W11" s="22"/>
      <c r="X11" s="22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15">
        <v>1174</v>
      </c>
      <c r="K12" s="21"/>
      <c r="L12" s="76"/>
      <c r="M12" s="22" t="s">
        <v>9</v>
      </c>
      <c r="N12" s="22"/>
      <c r="O12" s="43"/>
      <c r="P12" s="22"/>
      <c r="Q12" s="22"/>
      <c r="R12" s="22"/>
      <c r="S12" s="22"/>
      <c r="T12" s="27"/>
      <c r="U12" s="22"/>
      <c r="V12" s="22"/>
      <c r="W12" s="22"/>
      <c r="X12" s="22"/>
    </row>
    <row r="13" spans="1:24" x14ac:dyDescent="0.3">
      <c r="A13" s="22"/>
      <c r="B13" s="22"/>
      <c r="C13" s="22"/>
      <c r="D13" s="22"/>
      <c r="E13" s="22"/>
      <c r="F13" s="22"/>
      <c r="G13" s="22"/>
      <c r="H13" s="22"/>
      <c r="I13" s="40">
        <v>981</v>
      </c>
      <c r="K13" s="128"/>
      <c r="L13" s="56"/>
      <c r="M13" s="22"/>
      <c r="N13" s="22"/>
      <c r="O13" s="43"/>
      <c r="P13" s="22"/>
      <c r="Q13" s="22"/>
      <c r="R13" s="22"/>
      <c r="S13" s="22"/>
      <c r="T13" s="27"/>
      <c r="U13" s="22"/>
      <c r="V13" s="22"/>
      <c r="W13" s="22"/>
      <c r="X13" s="22"/>
    </row>
    <row r="14" spans="1:24" ht="15" thickBot="1" x14ac:dyDescent="0.35">
      <c r="A14" s="22"/>
      <c r="B14" s="22"/>
      <c r="C14" s="22"/>
      <c r="D14" s="22"/>
      <c r="E14" s="22"/>
      <c r="F14" s="22"/>
      <c r="G14" s="22"/>
      <c r="H14" s="22"/>
      <c r="I14" s="27"/>
      <c r="K14" s="24"/>
      <c r="L14" s="56"/>
      <c r="M14" s="22"/>
      <c r="N14" s="22"/>
      <c r="O14" s="43"/>
      <c r="P14" s="22"/>
      <c r="Q14" s="22"/>
      <c r="R14" s="22"/>
      <c r="S14" s="22"/>
      <c r="T14" s="27"/>
      <c r="U14" s="22"/>
      <c r="V14" s="22"/>
      <c r="W14" s="22"/>
      <c r="X14" s="22"/>
    </row>
    <row r="15" spans="1:24" ht="15.6" thickTop="1" thickBot="1" x14ac:dyDescent="0.35">
      <c r="A15" s="22"/>
      <c r="B15" s="22"/>
      <c r="C15" s="22"/>
      <c r="D15" s="22"/>
      <c r="E15" s="22"/>
      <c r="F15" s="22"/>
      <c r="G15" s="22"/>
      <c r="H15" s="22"/>
      <c r="I15" s="132">
        <f>SUM(I2:I14)</f>
        <v>28689.55</v>
      </c>
      <c r="K15" s="24"/>
      <c r="L15" s="56"/>
      <c r="M15" s="22"/>
      <c r="N15" s="22"/>
      <c r="O15" s="43"/>
      <c r="P15" s="22"/>
      <c r="Q15" s="22"/>
      <c r="R15" s="22"/>
      <c r="S15" s="22"/>
      <c r="T15" s="27"/>
      <c r="U15" s="22"/>
      <c r="V15" s="22"/>
      <c r="W15" s="22"/>
      <c r="X15" s="22"/>
    </row>
    <row r="16" spans="1:24" ht="15" thickTop="1" x14ac:dyDescent="0.3">
      <c r="A16" s="22"/>
      <c r="B16" s="22"/>
      <c r="C16" s="22"/>
      <c r="D16" s="22"/>
      <c r="E16" s="22"/>
      <c r="F16" s="22"/>
      <c r="G16" s="22"/>
      <c r="H16" s="22"/>
      <c r="I16" s="27"/>
      <c r="K16" s="24"/>
      <c r="L16" s="22"/>
      <c r="M16" s="22"/>
      <c r="N16" s="22"/>
      <c r="O16" s="22"/>
      <c r="P16" s="22"/>
      <c r="Q16" s="22"/>
      <c r="R16" s="22"/>
      <c r="S16" s="22"/>
      <c r="T16" s="27"/>
      <c r="U16" s="22"/>
      <c r="V16" s="22"/>
      <c r="W16" s="22"/>
      <c r="X16" s="22"/>
    </row>
    <row r="17" spans="1:24" ht="15" thickBot="1" x14ac:dyDescent="0.35">
      <c r="A17" s="140">
        <f t="shared" ref="A17:G17" si="1">SUM(A2:A16)</f>
        <v>3181.21</v>
      </c>
      <c r="B17" s="140">
        <f t="shared" si="1"/>
        <v>3124.35</v>
      </c>
      <c r="C17" s="140">
        <f t="shared" si="1"/>
        <v>3694.35</v>
      </c>
      <c r="D17" s="140">
        <f t="shared" si="1"/>
        <v>4686.3500000000004</v>
      </c>
      <c r="E17" s="140">
        <f t="shared" si="1"/>
        <v>430</v>
      </c>
      <c r="F17" s="140">
        <f t="shared" si="1"/>
        <v>3164.24</v>
      </c>
      <c r="G17" s="140">
        <f t="shared" si="1"/>
        <v>3718.29</v>
      </c>
      <c r="H17" s="149">
        <f>SUM(A17:G17)+I15</f>
        <v>50688.34</v>
      </c>
      <c r="I17" s="150" t="s">
        <v>64</v>
      </c>
      <c r="K17" s="140">
        <f t="shared" ref="K17:X17" si="2">SUM(K2:K16)</f>
        <v>6604</v>
      </c>
      <c r="L17" s="140">
        <f t="shared" si="2"/>
        <v>125</v>
      </c>
      <c r="M17" s="140">
        <f t="shared" si="2"/>
        <v>5334</v>
      </c>
      <c r="N17" s="140">
        <f t="shared" si="2"/>
        <v>65</v>
      </c>
      <c r="O17" s="140">
        <f t="shared" si="2"/>
        <v>7105</v>
      </c>
      <c r="P17" s="140">
        <f t="shared" si="2"/>
        <v>555</v>
      </c>
      <c r="Q17" s="140">
        <f t="shared" si="2"/>
        <v>3972</v>
      </c>
      <c r="R17" s="140">
        <f t="shared" si="2"/>
        <v>501</v>
      </c>
      <c r="S17" s="140">
        <f t="shared" si="2"/>
        <v>776</v>
      </c>
      <c r="T17" s="140">
        <f t="shared" si="2"/>
        <v>15</v>
      </c>
      <c r="U17" s="140">
        <f t="shared" si="2"/>
        <v>6260</v>
      </c>
      <c r="V17" s="140">
        <f t="shared" si="2"/>
        <v>2310.5</v>
      </c>
      <c r="W17" s="140">
        <f t="shared" si="2"/>
        <v>6119</v>
      </c>
      <c r="X17" s="140">
        <f t="shared" si="2"/>
        <v>1250</v>
      </c>
    </row>
    <row r="18" spans="1:24" ht="15" thickBot="1" x14ac:dyDescent="0.35">
      <c r="A18" s="140">
        <v>3181.21</v>
      </c>
      <c r="B18" s="140">
        <v>3124.35</v>
      </c>
      <c r="C18" s="140">
        <v>3694.35</v>
      </c>
      <c r="D18" s="140">
        <v>4686.3500000000004</v>
      </c>
      <c r="E18" s="140">
        <v>430</v>
      </c>
      <c r="F18" s="140">
        <v>3164.24</v>
      </c>
      <c r="G18" s="140">
        <v>3718.29</v>
      </c>
      <c r="H18" s="140">
        <f>SUM(A18:G18)+I15</f>
        <v>50688.34</v>
      </c>
      <c r="I18" s="140"/>
      <c r="K18" s="140">
        <v>6604</v>
      </c>
      <c r="L18" s="140">
        <v>125</v>
      </c>
      <c r="M18" s="140">
        <v>5334</v>
      </c>
      <c r="N18" s="140">
        <v>65</v>
      </c>
      <c r="O18" s="140">
        <v>7105</v>
      </c>
      <c r="P18" s="140">
        <v>555</v>
      </c>
      <c r="Q18" s="140">
        <v>3972</v>
      </c>
      <c r="R18" s="140">
        <v>501</v>
      </c>
      <c r="S18" s="140">
        <v>776</v>
      </c>
      <c r="T18" s="140">
        <v>15</v>
      </c>
      <c r="U18" s="140">
        <v>6260</v>
      </c>
      <c r="V18" s="140">
        <v>2310.5</v>
      </c>
      <c r="W18" s="140">
        <v>6119</v>
      </c>
      <c r="X18" s="140">
        <v>1250</v>
      </c>
    </row>
    <row r="19" spans="1:24" ht="15" thickBot="1" x14ac:dyDescent="0.35">
      <c r="A19" s="63">
        <f t="shared" ref="A19:H19" si="3">A17-A18</f>
        <v>0</v>
      </c>
      <c r="B19" s="63">
        <f t="shared" si="3"/>
        <v>0</v>
      </c>
      <c r="C19" s="63">
        <f t="shared" si="3"/>
        <v>0</v>
      </c>
      <c r="D19" s="63">
        <f t="shared" si="3"/>
        <v>0</v>
      </c>
      <c r="E19" s="63">
        <f t="shared" si="3"/>
        <v>0</v>
      </c>
      <c r="F19" s="63">
        <f t="shared" si="3"/>
        <v>0</v>
      </c>
      <c r="G19" s="63">
        <f t="shared" si="3"/>
        <v>0</v>
      </c>
      <c r="H19" s="63">
        <f t="shared" si="3"/>
        <v>0</v>
      </c>
      <c r="I19" s="140"/>
      <c r="K19" s="152">
        <f>K17-K18</f>
        <v>0</v>
      </c>
      <c r="L19" s="152">
        <f>L17-L18</f>
        <v>0</v>
      </c>
      <c r="M19" s="152">
        <f t="shared" ref="M19:X19" si="4">M18-M17</f>
        <v>0</v>
      </c>
      <c r="N19" s="152">
        <f t="shared" si="4"/>
        <v>0</v>
      </c>
      <c r="O19" s="152">
        <f t="shared" si="4"/>
        <v>0</v>
      </c>
      <c r="P19" s="152">
        <f t="shared" si="4"/>
        <v>0</v>
      </c>
      <c r="Q19" s="152">
        <f t="shared" si="4"/>
        <v>0</v>
      </c>
      <c r="R19" s="152">
        <f t="shared" si="4"/>
        <v>0</v>
      </c>
      <c r="S19" s="152">
        <f t="shared" si="4"/>
        <v>0</v>
      </c>
      <c r="T19" s="152">
        <f t="shared" si="4"/>
        <v>0</v>
      </c>
      <c r="U19" s="152">
        <f t="shared" si="4"/>
        <v>0</v>
      </c>
      <c r="V19" s="152">
        <f t="shared" si="4"/>
        <v>0</v>
      </c>
      <c r="W19" s="152">
        <f t="shared" si="4"/>
        <v>0</v>
      </c>
      <c r="X19" s="152">
        <f t="shared" si="4"/>
        <v>0</v>
      </c>
    </row>
    <row r="20" spans="1:24" ht="15" thickBot="1" x14ac:dyDescent="0.35"/>
    <row r="21" spans="1:24" x14ac:dyDescent="0.3">
      <c r="A21" s="157">
        <v>46085</v>
      </c>
      <c r="B21" s="157">
        <v>46086</v>
      </c>
      <c r="C21" s="157">
        <v>46087</v>
      </c>
      <c r="D21" s="157">
        <f>C21+1</f>
        <v>46088</v>
      </c>
      <c r="E21" s="157">
        <f>D21+1</f>
        <v>46089</v>
      </c>
      <c r="F21" s="157">
        <f>E21+1</f>
        <v>46090</v>
      </c>
      <c r="G21" s="157">
        <f>F21+1</f>
        <v>46091</v>
      </c>
      <c r="H21" s="157"/>
      <c r="I21" s="13" t="s">
        <v>8</v>
      </c>
      <c r="K21" s="59">
        <v>46085</v>
      </c>
      <c r="L21" s="59"/>
      <c r="M21" s="59">
        <f>K21+1</f>
        <v>46086</v>
      </c>
      <c r="N21" s="59"/>
      <c r="O21" s="59">
        <f>M21+1</f>
        <v>46087</v>
      </c>
      <c r="P21" s="59"/>
      <c r="Q21" s="59">
        <f>O21+1</f>
        <v>46088</v>
      </c>
      <c r="R21" s="59"/>
      <c r="S21" s="59">
        <f>Q21+1</f>
        <v>46089</v>
      </c>
      <c r="T21" s="59"/>
      <c r="U21" s="59">
        <f>S21+1</f>
        <v>46090</v>
      </c>
      <c r="V21" s="59"/>
      <c r="W21" s="59">
        <f>U21+1</f>
        <v>46091</v>
      </c>
      <c r="X21" s="59"/>
    </row>
    <row r="22" spans="1:24" ht="15" thickBot="1" x14ac:dyDescent="0.35">
      <c r="A22" s="22">
        <v>260</v>
      </c>
      <c r="B22" s="22">
        <v>260</v>
      </c>
      <c r="C22" s="22">
        <v>350</v>
      </c>
      <c r="D22" s="22">
        <v>260</v>
      </c>
      <c r="E22" s="22">
        <v>360</v>
      </c>
      <c r="F22" s="22">
        <v>260</v>
      </c>
      <c r="G22" s="22">
        <v>260</v>
      </c>
      <c r="H22" s="15"/>
      <c r="I22" s="15">
        <v>3916.64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2075</v>
      </c>
      <c r="B23" s="22">
        <v>1280</v>
      </c>
      <c r="C23" s="22">
        <v>2230</v>
      </c>
      <c r="D23" s="22">
        <v>1470</v>
      </c>
      <c r="E23" s="22"/>
      <c r="F23" s="22">
        <v>2035</v>
      </c>
      <c r="G23" s="22">
        <v>1245</v>
      </c>
      <c r="H23" s="15"/>
      <c r="I23" s="15">
        <v>4455.3999999999996</v>
      </c>
      <c r="K23" s="75">
        <v>150</v>
      </c>
      <c r="L23" s="76">
        <v>65</v>
      </c>
      <c r="M23" s="77">
        <v>260</v>
      </c>
      <c r="N23" s="77">
        <v>109</v>
      </c>
      <c r="O23" s="77">
        <v>15</v>
      </c>
      <c r="P23" s="77">
        <v>50</v>
      </c>
      <c r="Q23" s="77">
        <v>60</v>
      </c>
      <c r="R23" s="77">
        <v>45</v>
      </c>
      <c r="S23" s="77">
        <v>80</v>
      </c>
      <c r="T23" s="40">
        <v>15</v>
      </c>
      <c r="U23" s="77">
        <v>15</v>
      </c>
      <c r="V23" s="63">
        <v>42.5</v>
      </c>
      <c r="W23" s="77">
        <v>250</v>
      </c>
      <c r="X23" s="77">
        <v>65</v>
      </c>
    </row>
    <row r="24" spans="1:24" x14ac:dyDescent="0.3">
      <c r="A24" s="22">
        <v>890.15</v>
      </c>
      <c r="B24" s="44">
        <v>1733.51</v>
      </c>
      <c r="C24" s="22">
        <v>1436.21</v>
      </c>
      <c r="D24" s="22">
        <v>4112.63</v>
      </c>
      <c r="E24" s="46"/>
      <c r="F24" s="22">
        <v>1198.29</v>
      </c>
      <c r="G24" s="22">
        <v>1080.1500000000001</v>
      </c>
      <c r="H24" s="15"/>
      <c r="I24" s="15">
        <v>1140</v>
      </c>
      <c r="K24" s="75">
        <v>408</v>
      </c>
      <c r="L24" s="76"/>
      <c r="M24" s="77">
        <v>278</v>
      </c>
      <c r="N24" s="43">
        <v>225</v>
      </c>
      <c r="O24" s="77">
        <v>150</v>
      </c>
      <c r="P24" s="43">
        <v>802.9</v>
      </c>
      <c r="Q24" s="43">
        <v>378</v>
      </c>
      <c r="R24" s="80">
        <v>110</v>
      </c>
      <c r="S24" s="43">
        <v>122</v>
      </c>
      <c r="T24" s="27"/>
      <c r="U24" s="77">
        <v>180</v>
      </c>
      <c r="V24" s="22">
        <v>331</v>
      </c>
      <c r="W24" s="77">
        <v>252</v>
      </c>
      <c r="X24" s="43"/>
    </row>
    <row r="25" spans="1:24" x14ac:dyDescent="0.3">
      <c r="A25" s="22"/>
      <c r="B25" s="41"/>
      <c r="C25" s="22"/>
      <c r="D25" s="22"/>
      <c r="E25" s="22"/>
      <c r="F25" s="22"/>
      <c r="G25" s="22"/>
      <c r="H25" s="15"/>
      <c r="I25" s="15">
        <v>4550</v>
      </c>
      <c r="K25" s="75">
        <v>4490</v>
      </c>
      <c r="L25" s="76"/>
      <c r="M25" s="77">
        <v>3610</v>
      </c>
      <c r="N25" s="43"/>
      <c r="O25" s="77">
        <v>460</v>
      </c>
      <c r="P25" s="43">
        <v>200</v>
      </c>
      <c r="Q25" s="43">
        <v>2840</v>
      </c>
      <c r="R25" s="84">
        <v>488.9</v>
      </c>
      <c r="S25" s="43">
        <v>800</v>
      </c>
      <c r="T25" s="27"/>
      <c r="U25" s="77">
        <v>556</v>
      </c>
      <c r="V25" s="22" t="s">
        <v>49</v>
      </c>
      <c r="W25" s="77">
        <v>4020</v>
      </c>
      <c r="X25" s="43"/>
    </row>
    <row r="26" spans="1:24" x14ac:dyDescent="0.3">
      <c r="A26" s="22"/>
      <c r="B26" s="22"/>
      <c r="C26" s="22"/>
      <c r="D26" s="22"/>
      <c r="E26" s="22"/>
      <c r="F26" s="22"/>
      <c r="G26" s="22"/>
      <c r="H26" s="15"/>
      <c r="I26" s="15">
        <v>848</v>
      </c>
      <c r="K26" s="75">
        <v>820</v>
      </c>
      <c r="L26" s="76"/>
      <c r="M26" s="43">
        <v>720</v>
      </c>
      <c r="N26" s="43"/>
      <c r="O26" s="77">
        <v>5100</v>
      </c>
      <c r="P26" s="43">
        <v>1980</v>
      </c>
      <c r="Q26" s="43">
        <v>1280</v>
      </c>
      <c r="R26" s="43">
        <v>960</v>
      </c>
      <c r="S26" s="43"/>
      <c r="T26" s="27"/>
      <c r="U26" s="43">
        <v>5430</v>
      </c>
      <c r="V26" s="22"/>
      <c r="W26" s="43">
        <v>930</v>
      </c>
      <c r="X26" s="43"/>
    </row>
    <row r="27" spans="1:24" x14ac:dyDescent="0.3">
      <c r="A27" s="22"/>
      <c r="B27" s="22"/>
      <c r="C27" s="22"/>
      <c r="D27" s="22"/>
      <c r="E27" s="22"/>
      <c r="F27" s="22"/>
      <c r="G27" s="22"/>
      <c r="H27" s="15"/>
      <c r="I27" s="15">
        <v>6360</v>
      </c>
      <c r="K27" s="21"/>
      <c r="L27" s="76"/>
      <c r="M27" s="43"/>
      <c r="N27" s="43"/>
      <c r="O27" s="77">
        <v>510</v>
      </c>
      <c r="P27" s="43"/>
      <c r="Q27" s="43"/>
      <c r="R27" s="43"/>
      <c r="S27" s="43"/>
      <c r="T27" s="27"/>
      <c r="U27" s="43">
        <v>1510</v>
      </c>
      <c r="V27" s="22"/>
      <c r="W27" s="43"/>
      <c r="X27" s="43"/>
    </row>
    <row r="28" spans="1:24" x14ac:dyDescent="0.3">
      <c r="A28" s="22"/>
      <c r="B28" s="22"/>
      <c r="C28" s="22"/>
      <c r="D28" s="22"/>
      <c r="E28" s="22"/>
      <c r="F28" s="22"/>
      <c r="G28" s="22"/>
      <c r="H28" s="160"/>
      <c r="I28" s="15">
        <v>1712</v>
      </c>
      <c r="K28" s="21"/>
      <c r="L28" s="76"/>
      <c r="M28" s="43"/>
      <c r="N28" s="43"/>
      <c r="O28" s="77"/>
      <c r="P28" s="43"/>
      <c r="Q28" s="43"/>
      <c r="R28" s="43"/>
      <c r="S28" s="43"/>
      <c r="T28" s="27"/>
      <c r="U28" s="43"/>
      <c r="V28" s="22"/>
      <c r="W28" s="43"/>
      <c r="X28" s="43"/>
    </row>
    <row r="29" spans="1:24" x14ac:dyDescent="0.3">
      <c r="A29" s="22"/>
      <c r="B29" s="22"/>
      <c r="C29" s="22"/>
      <c r="D29" s="22"/>
      <c r="E29" s="22"/>
      <c r="F29" s="22"/>
      <c r="G29" s="22"/>
      <c r="H29" s="65"/>
      <c r="I29" s="15">
        <v>1414.63</v>
      </c>
      <c r="K29" s="75"/>
      <c r="L29" s="76"/>
      <c r="M29" s="43"/>
      <c r="N29" s="43"/>
      <c r="O29" s="43"/>
      <c r="P29" s="43"/>
      <c r="Q29" s="43"/>
      <c r="R29" s="43"/>
      <c r="S29" s="43"/>
      <c r="T29" s="27"/>
      <c r="U29" s="43"/>
      <c r="V29" s="22"/>
      <c r="W29" s="43"/>
      <c r="X29" s="43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15">
        <v>2434</v>
      </c>
      <c r="K30" s="21"/>
      <c r="L30" s="76"/>
      <c r="M30" s="22"/>
      <c r="N30" s="22"/>
      <c r="O30" s="43"/>
      <c r="P30" s="22"/>
      <c r="Q30" s="22"/>
      <c r="R30" s="22"/>
      <c r="S30" s="22"/>
      <c r="T30" s="27"/>
      <c r="U30" s="22"/>
      <c r="V30" s="22"/>
      <c r="W30" s="22"/>
      <c r="X30" s="22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15">
        <v>1359</v>
      </c>
      <c r="K31" s="21"/>
      <c r="L31" s="76"/>
      <c r="M31" s="22"/>
      <c r="N31" s="22"/>
      <c r="O31" s="43"/>
      <c r="P31" s="22"/>
      <c r="Q31" s="22"/>
      <c r="R31" s="22"/>
      <c r="S31" s="22"/>
      <c r="T31" s="27"/>
      <c r="U31" s="22"/>
      <c r="V31" s="22"/>
      <c r="W31" s="22"/>
      <c r="X31" s="22"/>
    </row>
    <row r="32" spans="1:24" x14ac:dyDescent="0.3">
      <c r="A32" s="22"/>
      <c r="B32" s="22"/>
      <c r="C32" s="22"/>
      <c r="D32" s="22"/>
      <c r="E32" s="22"/>
      <c r="F32" s="22"/>
      <c r="G32" s="22"/>
      <c r="H32" s="37"/>
      <c r="I32" s="15">
        <v>906</v>
      </c>
      <c r="K32" s="21"/>
      <c r="L32" s="76"/>
      <c r="M32" s="22" t="s">
        <v>9</v>
      </c>
      <c r="N32" s="22"/>
      <c r="O32" s="43"/>
      <c r="P32" s="22"/>
      <c r="Q32" s="22"/>
      <c r="R32" s="22"/>
      <c r="S32" s="22"/>
      <c r="T32" s="27"/>
      <c r="U32" s="22"/>
      <c r="V32" s="22"/>
      <c r="W32" s="22"/>
      <c r="X32" s="22"/>
    </row>
    <row r="33" spans="1:24" x14ac:dyDescent="0.3">
      <c r="A33" s="22"/>
      <c r="B33" s="22"/>
      <c r="C33" s="22"/>
      <c r="D33" s="22"/>
      <c r="E33" s="22"/>
      <c r="F33" s="22"/>
      <c r="G33" s="22"/>
      <c r="H33" s="22"/>
      <c r="I33" s="40"/>
      <c r="K33" s="128"/>
      <c r="L33" s="56"/>
      <c r="M33" s="22"/>
      <c r="N33" s="22"/>
      <c r="O33" s="43"/>
      <c r="P33" s="22"/>
      <c r="Q33" s="22"/>
      <c r="R33" s="22"/>
      <c r="S33" s="22"/>
      <c r="T33" s="27"/>
      <c r="U33" s="22"/>
      <c r="V33" s="22"/>
      <c r="W33" s="22"/>
      <c r="X33" s="22"/>
    </row>
    <row r="34" spans="1:24" ht="15" thickBot="1" x14ac:dyDescent="0.35">
      <c r="A34" s="22"/>
      <c r="B34" s="22"/>
      <c r="C34" s="22"/>
      <c r="D34" s="22"/>
      <c r="E34" s="22"/>
      <c r="F34" s="22"/>
      <c r="G34" s="22"/>
      <c r="H34" s="22"/>
      <c r="I34" s="27"/>
      <c r="K34" s="24"/>
      <c r="L34" s="56"/>
      <c r="M34" s="22"/>
      <c r="N34" s="22"/>
      <c r="O34" s="43"/>
      <c r="P34" s="22"/>
      <c r="Q34" s="22"/>
      <c r="R34" s="22"/>
      <c r="S34" s="22"/>
      <c r="T34" s="27"/>
      <c r="U34" s="22"/>
      <c r="V34" s="22"/>
      <c r="W34" s="22"/>
      <c r="X34" s="22"/>
    </row>
    <row r="35" spans="1:24" ht="15.6" thickTop="1" thickBot="1" x14ac:dyDescent="0.35">
      <c r="A35" s="22"/>
      <c r="B35" s="22"/>
      <c r="C35" s="22"/>
      <c r="D35" s="22"/>
      <c r="E35" s="22"/>
      <c r="F35" s="22"/>
      <c r="G35" s="22"/>
      <c r="H35" s="22"/>
      <c r="I35" s="132">
        <f>SUM(I22:I34)</f>
        <v>29095.670000000002</v>
      </c>
      <c r="K35" s="24"/>
      <c r="L35" s="56"/>
      <c r="M35" s="22"/>
      <c r="N35" s="22"/>
      <c r="O35" s="43"/>
      <c r="P35" s="22"/>
      <c r="Q35" s="22"/>
      <c r="R35" s="22"/>
      <c r="S35" s="22"/>
      <c r="T35" s="27"/>
      <c r="U35" s="22"/>
      <c r="V35" s="22"/>
      <c r="W35" s="22"/>
      <c r="X35" s="22"/>
    </row>
    <row r="36" spans="1:24" ht="15" thickTop="1" x14ac:dyDescent="0.3">
      <c r="A36" s="22"/>
      <c r="B36" s="22"/>
      <c r="C36" s="22"/>
      <c r="D36" s="22"/>
      <c r="E36" s="22"/>
      <c r="F36" s="22"/>
      <c r="G36" s="22"/>
      <c r="H36" s="22"/>
      <c r="I36" s="27"/>
      <c r="K36" s="24"/>
      <c r="L36" s="22"/>
      <c r="M36" s="22"/>
      <c r="N36" s="22"/>
      <c r="O36" s="22"/>
      <c r="P36" s="22"/>
      <c r="Q36" s="22"/>
      <c r="R36" s="22"/>
      <c r="S36" s="22"/>
      <c r="T36" s="27"/>
      <c r="U36" s="22"/>
      <c r="V36" s="22"/>
      <c r="W36" s="22"/>
      <c r="X36" s="22"/>
    </row>
    <row r="37" spans="1:24" ht="15" thickBot="1" x14ac:dyDescent="0.35">
      <c r="A37" s="140">
        <f t="shared" ref="A37:G37" si="5">SUM(A22:A36)</f>
        <v>3225.15</v>
      </c>
      <c r="B37" s="140">
        <f t="shared" si="5"/>
        <v>3273.51</v>
      </c>
      <c r="C37" s="140">
        <f t="shared" si="5"/>
        <v>4016.21</v>
      </c>
      <c r="D37" s="140">
        <f t="shared" si="5"/>
        <v>5842.63</v>
      </c>
      <c r="E37" s="140">
        <f t="shared" si="5"/>
        <v>360</v>
      </c>
      <c r="F37" s="140">
        <f t="shared" si="5"/>
        <v>3493.29</v>
      </c>
      <c r="G37" s="140">
        <f t="shared" si="5"/>
        <v>2585.15</v>
      </c>
      <c r="H37" s="149">
        <f>SUM(A37:G37)+I35</f>
        <v>51891.61</v>
      </c>
      <c r="I37" s="150" t="s">
        <v>64</v>
      </c>
      <c r="K37" s="140">
        <f t="shared" ref="K37:X37" si="6">SUM(K22:K36)</f>
        <v>5868</v>
      </c>
      <c r="L37" s="140">
        <f t="shared" si="6"/>
        <v>65</v>
      </c>
      <c r="M37" s="140">
        <f t="shared" si="6"/>
        <v>4868</v>
      </c>
      <c r="N37" s="140">
        <f t="shared" si="6"/>
        <v>334</v>
      </c>
      <c r="O37" s="140">
        <f t="shared" si="6"/>
        <v>6235</v>
      </c>
      <c r="P37" s="140">
        <f t="shared" si="6"/>
        <v>3032.9</v>
      </c>
      <c r="Q37" s="140">
        <f t="shared" si="6"/>
        <v>4558</v>
      </c>
      <c r="R37" s="140">
        <f t="shared" si="6"/>
        <v>1603.9</v>
      </c>
      <c r="S37" s="140">
        <f t="shared" si="6"/>
        <v>1002</v>
      </c>
      <c r="T37" s="140">
        <f t="shared" si="6"/>
        <v>15</v>
      </c>
      <c r="U37" s="140">
        <f t="shared" si="6"/>
        <v>7691</v>
      </c>
      <c r="V37" s="140">
        <f t="shared" si="6"/>
        <v>373.5</v>
      </c>
      <c r="W37" s="140">
        <f t="shared" si="6"/>
        <v>5452</v>
      </c>
      <c r="X37" s="140">
        <f t="shared" si="6"/>
        <v>65</v>
      </c>
    </row>
    <row r="38" spans="1:24" ht="15" thickBot="1" x14ac:dyDescent="0.35">
      <c r="A38" s="140">
        <v>3225.15</v>
      </c>
      <c r="B38" s="140">
        <v>3273.51</v>
      </c>
      <c r="C38" s="140">
        <v>4016.21</v>
      </c>
      <c r="D38" s="140">
        <v>5842.63</v>
      </c>
      <c r="E38" s="140">
        <f>SUM(E23:E37)</f>
        <v>360</v>
      </c>
      <c r="F38" s="140">
        <v>3493.29</v>
      </c>
      <c r="G38" s="140">
        <v>2585.15</v>
      </c>
      <c r="H38" s="140">
        <f>SUM(H23:H37)</f>
        <v>51891.61</v>
      </c>
      <c r="I38" s="140"/>
      <c r="K38" s="140">
        <v>5868</v>
      </c>
      <c r="L38" s="140">
        <v>65</v>
      </c>
      <c r="M38" s="140">
        <v>4868</v>
      </c>
      <c r="N38" s="140">
        <v>334</v>
      </c>
      <c r="O38" s="140">
        <v>6235</v>
      </c>
      <c r="P38" s="140">
        <v>3032.9</v>
      </c>
      <c r="Q38" s="140">
        <v>4558</v>
      </c>
      <c r="R38" s="140">
        <v>1603.9</v>
      </c>
      <c r="S38" s="140">
        <v>1002</v>
      </c>
      <c r="T38" s="140">
        <v>15</v>
      </c>
      <c r="U38" s="140">
        <v>7691</v>
      </c>
      <c r="V38" s="140">
        <v>373.5</v>
      </c>
      <c r="W38" s="140">
        <v>5452</v>
      </c>
      <c r="X38" s="140">
        <v>65</v>
      </c>
    </row>
    <row r="39" spans="1:24" ht="15" thickBot="1" x14ac:dyDescent="0.35">
      <c r="A39" s="63">
        <f t="shared" ref="A39:H39" si="7">A37-A38</f>
        <v>0</v>
      </c>
      <c r="B39" s="63">
        <f t="shared" si="7"/>
        <v>0</v>
      </c>
      <c r="C39" s="63">
        <f t="shared" si="7"/>
        <v>0</v>
      </c>
      <c r="D39" s="63">
        <f t="shared" si="7"/>
        <v>0</v>
      </c>
      <c r="E39" s="63">
        <f t="shared" si="7"/>
        <v>0</v>
      </c>
      <c r="F39" s="63">
        <f t="shared" si="7"/>
        <v>0</v>
      </c>
      <c r="G39" s="63">
        <f t="shared" si="7"/>
        <v>0</v>
      </c>
      <c r="H39" s="63">
        <f t="shared" si="7"/>
        <v>0</v>
      </c>
      <c r="I39" s="140"/>
      <c r="K39" s="152">
        <f>K37-K38</f>
        <v>0</v>
      </c>
      <c r="L39" s="152">
        <f>L37-L38</f>
        <v>0</v>
      </c>
      <c r="M39" s="152">
        <f t="shared" ref="M39:X39" si="8">M38-M37</f>
        <v>0</v>
      </c>
      <c r="N39" s="152">
        <f t="shared" si="8"/>
        <v>0</v>
      </c>
      <c r="O39" s="152">
        <f t="shared" si="8"/>
        <v>0</v>
      </c>
      <c r="P39" s="152">
        <f t="shared" si="8"/>
        <v>0</v>
      </c>
      <c r="Q39" s="152">
        <f t="shared" si="8"/>
        <v>0</v>
      </c>
      <c r="R39" s="152">
        <f t="shared" si="8"/>
        <v>0</v>
      </c>
      <c r="S39" s="152">
        <f t="shared" si="8"/>
        <v>0</v>
      </c>
      <c r="T39" s="152">
        <f t="shared" si="8"/>
        <v>0</v>
      </c>
      <c r="U39" s="152">
        <f t="shared" si="8"/>
        <v>0</v>
      </c>
      <c r="V39" s="152">
        <f t="shared" si="8"/>
        <v>0</v>
      </c>
      <c r="W39" s="152">
        <f t="shared" si="8"/>
        <v>0</v>
      </c>
      <c r="X39" s="152">
        <f t="shared" si="8"/>
        <v>0</v>
      </c>
    </row>
    <row r="40" spans="1:24" ht="15" thickBot="1" x14ac:dyDescent="0.35"/>
    <row r="41" spans="1:24" x14ac:dyDescent="0.3">
      <c r="A41" s="157">
        <v>46092</v>
      </c>
      <c r="B41" s="157">
        <v>46093</v>
      </c>
      <c r="C41" s="157">
        <v>46094</v>
      </c>
      <c r="D41" s="157">
        <v>46095</v>
      </c>
      <c r="E41" s="157">
        <v>46096</v>
      </c>
      <c r="F41" s="157">
        <v>46097</v>
      </c>
      <c r="G41" s="157">
        <v>46098</v>
      </c>
      <c r="H41" s="157"/>
      <c r="I41" s="13" t="s">
        <v>8</v>
      </c>
      <c r="K41" s="59">
        <v>46092</v>
      </c>
      <c r="L41" s="59"/>
      <c r="M41" s="59">
        <f>K41+1</f>
        <v>46093</v>
      </c>
      <c r="N41" s="59"/>
      <c r="O41" s="59">
        <f>M41+1</f>
        <v>46094</v>
      </c>
      <c r="P41" s="59"/>
      <c r="Q41" s="59">
        <f>O41+1</f>
        <v>46095</v>
      </c>
      <c r="R41" s="59"/>
      <c r="S41" s="59">
        <f>Q41+1</f>
        <v>46096</v>
      </c>
      <c r="T41" s="59"/>
      <c r="U41" s="59">
        <f>S41+1</f>
        <v>46097</v>
      </c>
      <c r="V41" s="59"/>
      <c r="W41" s="59">
        <f>U41+1</f>
        <v>46098</v>
      </c>
      <c r="X41" s="59"/>
    </row>
    <row r="42" spans="1:24" ht="15" thickBot="1" x14ac:dyDescent="0.35">
      <c r="A42" s="22">
        <v>310</v>
      </c>
      <c r="B42" s="22">
        <v>235</v>
      </c>
      <c r="C42" s="22">
        <v>165</v>
      </c>
      <c r="D42" s="22">
        <v>115</v>
      </c>
      <c r="E42" s="22">
        <v>240</v>
      </c>
      <c r="F42" s="22">
        <v>255</v>
      </c>
      <c r="G42" s="22">
        <v>364</v>
      </c>
      <c r="H42" s="15"/>
      <c r="I42" s="15">
        <v>3012.8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2">
        <v>1410</v>
      </c>
      <c r="B43" s="22">
        <v>1570</v>
      </c>
      <c r="C43" s="22">
        <v>1580</v>
      </c>
      <c r="D43" s="22">
        <v>750</v>
      </c>
      <c r="E43" s="22"/>
      <c r="F43" s="22">
        <v>1505</v>
      </c>
      <c r="G43" s="22">
        <v>1875</v>
      </c>
      <c r="H43" s="15"/>
      <c r="I43" s="15">
        <v>4455.3999999999996</v>
      </c>
      <c r="K43" s="75">
        <v>30</v>
      </c>
      <c r="L43" s="76">
        <v>65</v>
      </c>
      <c r="M43" s="77">
        <v>310</v>
      </c>
      <c r="N43" s="77">
        <v>50</v>
      </c>
      <c r="O43" s="77">
        <v>15</v>
      </c>
      <c r="P43" s="77">
        <v>42.5</v>
      </c>
      <c r="Q43" s="77">
        <v>230</v>
      </c>
      <c r="R43" s="77">
        <v>50</v>
      </c>
      <c r="S43" s="77">
        <v>80</v>
      </c>
      <c r="T43" s="40">
        <v>15</v>
      </c>
      <c r="U43" s="77">
        <v>15</v>
      </c>
      <c r="V43" s="63">
        <v>65</v>
      </c>
      <c r="W43" s="77">
        <v>210</v>
      </c>
      <c r="X43" s="77">
        <v>37.5</v>
      </c>
    </row>
    <row r="44" spans="1:24" x14ac:dyDescent="0.3">
      <c r="A44" s="22">
        <v>1246.21</v>
      </c>
      <c r="B44" s="44">
        <v>1784.24</v>
      </c>
      <c r="C44" s="22">
        <v>1554.35</v>
      </c>
      <c r="D44" s="22">
        <v>4468.6899999999996</v>
      </c>
      <c r="E44" s="46"/>
      <c r="F44" s="22">
        <v>1150.3699999999999</v>
      </c>
      <c r="G44" s="22">
        <v>1648.51</v>
      </c>
      <c r="H44" s="15"/>
      <c r="I44" s="15">
        <v>665</v>
      </c>
      <c r="K44" s="75">
        <v>150</v>
      </c>
      <c r="L44" s="76"/>
      <c r="M44" s="77">
        <v>252</v>
      </c>
      <c r="N44" s="43"/>
      <c r="O44" s="77">
        <v>260</v>
      </c>
      <c r="P44" s="43">
        <v>346.7</v>
      </c>
      <c r="Q44" s="43">
        <v>192</v>
      </c>
      <c r="R44" s="80">
        <v>130</v>
      </c>
      <c r="S44" s="43">
        <v>96</v>
      </c>
      <c r="T44" s="27"/>
      <c r="U44" s="77">
        <v>32</v>
      </c>
      <c r="V44" s="22"/>
      <c r="W44" s="77">
        <v>252</v>
      </c>
      <c r="X44" s="43">
        <v>353.1</v>
      </c>
    </row>
    <row r="45" spans="1:24" x14ac:dyDescent="0.3">
      <c r="A45" s="22"/>
      <c r="B45" s="41"/>
      <c r="C45" s="22"/>
      <c r="D45" s="22"/>
      <c r="E45" s="22"/>
      <c r="F45" s="22"/>
      <c r="G45" s="22"/>
      <c r="H45" s="15"/>
      <c r="I45" s="15">
        <v>4570</v>
      </c>
      <c r="K45" s="75">
        <v>284</v>
      </c>
      <c r="L45" s="76"/>
      <c r="M45" s="77">
        <v>3360</v>
      </c>
      <c r="N45" s="43"/>
      <c r="O45" s="77">
        <v>530</v>
      </c>
      <c r="P45" s="43"/>
      <c r="Q45" s="43">
        <v>2540</v>
      </c>
      <c r="R45" s="84"/>
      <c r="S45" s="43">
        <v>790</v>
      </c>
      <c r="T45" s="27"/>
      <c r="U45" s="77">
        <v>230</v>
      </c>
      <c r="V45" s="22"/>
      <c r="W45" s="77">
        <v>4090</v>
      </c>
      <c r="X45" s="43"/>
    </row>
    <row r="46" spans="1:24" x14ac:dyDescent="0.3">
      <c r="A46" s="22"/>
      <c r="B46" s="22"/>
      <c r="C46" s="22"/>
      <c r="D46" s="22"/>
      <c r="E46" s="22"/>
      <c r="F46" s="22"/>
      <c r="G46" s="22"/>
      <c r="H46" s="15"/>
      <c r="I46" s="15">
        <v>848</v>
      </c>
      <c r="K46" s="75">
        <v>4320</v>
      </c>
      <c r="L46" s="76"/>
      <c r="M46" s="43">
        <v>700</v>
      </c>
      <c r="N46" s="43"/>
      <c r="O46" s="77">
        <v>4670</v>
      </c>
      <c r="P46" s="43"/>
      <c r="Q46" s="43">
        <v>1300</v>
      </c>
      <c r="R46" s="43"/>
      <c r="S46" s="43"/>
      <c r="T46" s="27"/>
      <c r="U46" s="43">
        <v>434</v>
      </c>
      <c r="V46" s="22"/>
      <c r="W46" s="43">
        <v>920</v>
      </c>
      <c r="X46" s="43"/>
    </row>
    <row r="47" spans="1:24" x14ac:dyDescent="0.3">
      <c r="A47" s="22"/>
      <c r="B47" s="22"/>
      <c r="C47" s="22"/>
      <c r="D47" s="22"/>
      <c r="E47" s="22"/>
      <c r="F47" s="22"/>
      <c r="G47" s="22"/>
      <c r="H47" s="15"/>
      <c r="I47" s="15">
        <v>6360</v>
      </c>
      <c r="K47" s="75">
        <v>1070</v>
      </c>
      <c r="L47" s="76"/>
      <c r="M47" s="43"/>
      <c r="N47" s="43"/>
      <c r="O47" s="77">
        <v>770</v>
      </c>
      <c r="P47" s="43"/>
      <c r="Q47" s="43"/>
      <c r="R47" s="43"/>
      <c r="S47" s="43"/>
      <c r="T47" s="27"/>
      <c r="U47" s="43">
        <v>4830</v>
      </c>
      <c r="V47" s="22"/>
      <c r="W47" s="43"/>
      <c r="X47" s="43"/>
    </row>
    <row r="48" spans="1:24" x14ac:dyDescent="0.3">
      <c r="A48" s="22"/>
      <c r="B48" s="22"/>
      <c r="C48" s="22"/>
      <c r="D48" s="22"/>
      <c r="E48" s="22"/>
      <c r="F48" s="22"/>
      <c r="G48" s="22"/>
      <c r="H48" s="160"/>
      <c r="I48" s="15">
        <v>2152</v>
      </c>
      <c r="K48" s="21"/>
      <c r="L48" s="76"/>
      <c r="M48" s="43"/>
      <c r="N48" s="43"/>
      <c r="O48" s="77"/>
      <c r="P48" s="43"/>
      <c r="Q48" s="43"/>
      <c r="R48" s="43"/>
      <c r="S48" s="43"/>
      <c r="T48" s="27"/>
      <c r="U48" s="43">
        <v>910</v>
      </c>
      <c r="V48" s="22"/>
      <c r="W48" s="43"/>
      <c r="X48" s="43"/>
    </row>
    <row r="49" spans="1:24" x14ac:dyDescent="0.3">
      <c r="A49" s="22"/>
      <c r="B49" s="22"/>
      <c r="C49" s="22"/>
      <c r="D49" s="22"/>
      <c r="E49" s="22"/>
      <c r="F49" s="22"/>
      <c r="G49" s="22"/>
      <c r="H49" s="65"/>
      <c r="I49" s="15">
        <v>1671.6</v>
      </c>
      <c r="K49" s="75"/>
      <c r="L49" s="76"/>
      <c r="M49" s="43"/>
      <c r="N49" s="43"/>
      <c r="O49" s="43"/>
      <c r="P49" s="43"/>
      <c r="Q49" s="43"/>
      <c r="R49" s="43"/>
      <c r="S49" s="43"/>
      <c r="T49" s="27"/>
      <c r="U49" s="43"/>
      <c r="V49" s="22"/>
      <c r="W49" s="43"/>
      <c r="X49" s="43"/>
    </row>
    <row r="50" spans="1:24" x14ac:dyDescent="0.3">
      <c r="A50" s="22"/>
      <c r="B50" s="22"/>
      <c r="C50" s="22"/>
      <c r="D50" s="22"/>
      <c r="E50" s="22"/>
      <c r="F50" s="22"/>
      <c r="G50" s="22"/>
      <c r="H50" s="37"/>
      <c r="I50" s="15">
        <v>2434</v>
      </c>
      <c r="K50" s="21"/>
      <c r="L50" s="76"/>
      <c r="M50" s="22"/>
      <c r="N50" s="22"/>
      <c r="O50" s="43"/>
      <c r="P50" s="22"/>
      <c r="Q50" s="22"/>
      <c r="R50" s="22"/>
      <c r="S50" s="22"/>
      <c r="T50" s="27"/>
      <c r="U50" s="22"/>
      <c r="V50" s="22"/>
      <c r="W50" s="22"/>
      <c r="X50" s="22"/>
    </row>
    <row r="51" spans="1:24" x14ac:dyDescent="0.3">
      <c r="A51" s="22"/>
      <c r="B51" s="22"/>
      <c r="C51" s="22"/>
      <c r="D51" s="22"/>
      <c r="E51" s="22"/>
      <c r="F51" s="22"/>
      <c r="G51" s="22"/>
      <c r="H51" s="37"/>
      <c r="I51" s="15">
        <v>1049</v>
      </c>
      <c r="K51" s="21"/>
      <c r="L51" s="76"/>
      <c r="M51" s="22"/>
      <c r="N51" s="22"/>
      <c r="O51" s="43"/>
      <c r="P51" s="22"/>
      <c r="Q51" s="22"/>
      <c r="R51" s="22"/>
      <c r="S51" s="22"/>
      <c r="T51" s="27"/>
      <c r="U51" s="22"/>
      <c r="V51" s="22"/>
      <c r="W51" s="22"/>
      <c r="X51" s="22"/>
    </row>
    <row r="52" spans="1:24" x14ac:dyDescent="0.3">
      <c r="A52" s="22"/>
      <c r="B52" s="22"/>
      <c r="C52" s="22"/>
      <c r="D52" s="22"/>
      <c r="E52" s="22"/>
      <c r="F52" s="22"/>
      <c r="G52" s="22"/>
      <c r="H52" s="37"/>
      <c r="I52" s="15">
        <v>941</v>
      </c>
      <c r="K52" s="21"/>
      <c r="L52" s="76"/>
      <c r="M52" s="22" t="s">
        <v>9</v>
      </c>
      <c r="N52" s="22"/>
      <c r="O52" s="43"/>
      <c r="P52" s="22"/>
      <c r="Q52" s="22"/>
      <c r="R52" s="22"/>
      <c r="S52" s="22"/>
      <c r="T52" s="27"/>
      <c r="U52" s="22"/>
      <c r="V52" s="22"/>
      <c r="W52" s="22"/>
      <c r="X52" s="22"/>
    </row>
    <row r="53" spans="1:24" x14ac:dyDescent="0.3">
      <c r="A53" s="22"/>
      <c r="B53" s="22"/>
      <c r="C53" s="22"/>
      <c r="D53" s="22"/>
      <c r="E53" s="22"/>
      <c r="F53" s="22"/>
      <c r="G53" s="22"/>
      <c r="H53" s="22"/>
      <c r="I53" s="40"/>
      <c r="K53" s="128"/>
      <c r="L53" s="56"/>
      <c r="M53" s="22"/>
      <c r="N53" s="22"/>
      <c r="O53" s="43"/>
      <c r="P53" s="22"/>
      <c r="Q53" s="22"/>
      <c r="R53" s="22"/>
      <c r="S53" s="22"/>
      <c r="T53" s="27"/>
      <c r="U53" s="22"/>
      <c r="V53" s="22"/>
      <c r="W53" s="22"/>
      <c r="X53" s="22"/>
    </row>
    <row r="54" spans="1:24" ht="15" thickBot="1" x14ac:dyDescent="0.35">
      <c r="A54" s="22"/>
      <c r="B54" s="22"/>
      <c r="C54" s="22"/>
      <c r="D54" s="22"/>
      <c r="E54" s="22"/>
      <c r="F54" s="22"/>
      <c r="G54" s="22"/>
      <c r="H54" s="22"/>
      <c r="I54" s="27"/>
      <c r="K54" s="24"/>
      <c r="L54" s="56"/>
      <c r="M54" s="22"/>
      <c r="N54" s="22"/>
      <c r="O54" s="43"/>
      <c r="P54" s="22"/>
      <c r="Q54" s="22"/>
      <c r="R54" s="22"/>
      <c r="S54" s="22"/>
      <c r="T54" s="27"/>
      <c r="U54" s="22"/>
      <c r="V54" s="22"/>
      <c r="W54" s="22"/>
      <c r="X54" s="22"/>
    </row>
    <row r="55" spans="1:24" ht="15.6" thickTop="1" thickBot="1" x14ac:dyDescent="0.35">
      <c r="A55" s="22"/>
      <c r="B55" s="22"/>
      <c r="C55" s="22"/>
      <c r="D55" s="22"/>
      <c r="E55" s="22"/>
      <c r="F55" s="22"/>
      <c r="G55" s="22"/>
      <c r="H55" s="22"/>
      <c r="I55" s="132">
        <f>SUM(I42:I54)</f>
        <v>28158.799999999999</v>
      </c>
      <c r="K55" s="24"/>
      <c r="L55" s="56"/>
      <c r="M55" s="22"/>
      <c r="N55" s="22"/>
      <c r="O55" s="43"/>
      <c r="P55" s="22"/>
      <c r="Q55" s="22"/>
      <c r="R55" s="22"/>
      <c r="S55" s="22"/>
      <c r="T55" s="27"/>
      <c r="U55" s="22"/>
      <c r="V55" s="22"/>
      <c r="W55" s="22"/>
      <c r="X55" s="22"/>
    </row>
    <row r="56" spans="1:24" ht="15" thickTop="1" x14ac:dyDescent="0.3">
      <c r="A56" s="22"/>
      <c r="B56" s="22"/>
      <c r="C56" s="22"/>
      <c r="D56" s="22"/>
      <c r="E56" s="22"/>
      <c r="F56" s="22"/>
      <c r="G56" s="22"/>
      <c r="H56" s="22"/>
      <c r="I56" s="27"/>
      <c r="K56" s="24"/>
      <c r="L56" s="22"/>
      <c r="M56" s="22"/>
      <c r="N56" s="22"/>
      <c r="O56" s="22"/>
      <c r="P56" s="22"/>
      <c r="Q56" s="22"/>
      <c r="R56" s="22"/>
      <c r="S56" s="22"/>
      <c r="T56" s="27"/>
      <c r="U56" s="22"/>
      <c r="V56" s="22"/>
      <c r="W56" s="22"/>
      <c r="X56" s="22"/>
    </row>
    <row r="57" spans="1:24" ht="15" thickBot="1" x14ac:dyDescent="0.35">
      <c r="A57" s="140">
        <f t="shared" ref="A57:G57" si="9">SUM(A42:A56)</f>
        <v>2966.21</v>
      </c>
      <c r="B57" s="140">
        <f t="shared" si="9"/>
        <v>3589.24</v>
      </c>
      <c r="C57" s="140">
        <f t="shared" si="9"/>
        <v>3299.35</v>
      </c>
      <c r="D57" s="140">
        <f t="shared" si="9"/>
        <v>5333.69</v>
      </c>
      <c r="E57" s="140">
        <f t="shared" si="9"/>
        <v>240</v>
      </c>
      <c r="F57" s="140">
        <f t="shared" si="9"/>
        <v>2910.37</v>
      </c>
      <c r="G57" s="140">
        <f t="shared" si="9"/>
        <v>3887.51</v>
      </c>
      <c r="H57" s="149">
        <f>SUM(A57:G57)+I55</f>
        <v>50385.17</v>
      </c>
      <c r="I57" s="150" t="s">
        <v>64</v>
      </c>
      <c r="K57" s="140">
        <f t="shared" ref="K57:X57" si="10">SUM(K42:K56)</f>
        <v>5854</v>
      </c>
      <c r="L57" s="140">
        <f t="shared" si="10"/>
        <v>65</v>
      </c>
      <c r="M57" s="140">
        <f t="shared" si="10"/>
        <v>4622</v>
      </c>
      <c r="N57" s="140">
        <f t="shared" si="10"/>
        <v>50</v>
      </c>
      <c r="O57" s="140">
        <f t="shared" si="10"/>
        <v>6245</v>
      </c>
      <c r="P57" s="140">
        <f t="shared" si="10"/>
        <v>389.2</v>
      </c>
      <c r="Q57" s="140">
        <f t="shared" si="10"/>
        <v>4262</v>
      </c>
      <c r="R57" s="140">
        <f t="shared" si="10"/>
        <v>180</v>
      </c>
      <c r="S57" s="140">
        <f t="shared" si="10"/>
        <v>966</v>
      </c>
      <c r="T57" s="140">
        <f t="shared" si="10"/>
        <v>15</v>
      </c>
      <c r="U57" s="140">
        <f t="shared" si="10"/>
        <v>6451</v>
      </c>
      <c r="V57" s="140">
        <f t="shared" si="10"/>
        <v>65</v>
      </c>
      <c r="W57" s="140">
        <f t="shared" si="10"/>
        <v>5472</v>
      </c>
      <c r="X57" s="140">
        <f t="shared" si="10"/>
        <v>390.6</v>
      </c>
    </row>
    <row r="58" spans="1:24" ht="15" thickBot="1" x14ac:dyDescent="0.35">
      <c r="A58" s="140">
        <v>2966.21</v>
      </c>
      <c r="B58" s="140">
        <v>3589.24</v>
      </c>
      <c r="C58" s="140">
        <v>3299.35</v>
      </c>
      <c r="D58" s="140">
        <v>5333.69</v>
      </c>
      <c r="E58" s="140">
        <f>SUM(E43:E57)</f>
        <v>240</v>
      </c>
      <c r="F58" s="140">
        <v>2910.37</v>
      </c>
      <c r="G58" s="140">
        <v>3887.51</v>
      </c>
      <c r="H58" s="140">
        <f>SUM(H43:H57)</f>
        <v>50385.17</v>
      </c>
      <c r="I58" s="140"/>
      <c r="K58" s="140">
        <v>5854</v>
      </c>
      <c r="L58" s="140">
        <v>65</v>
      </c>
      <c r="M58" s="140">
        <v>4622</v>
      </c>
      <c r="N58" s="140">
        <v>50</v>
      </c>
      <c r="O58" s="140">
        <f>1756+2808+1681</f>
        <v>6245</v>
      </c>
      <c r="P58" s="140">
        <v>389.2</v>
      </c>
      <c r="Q58" s="140">
        <v>4262</v>
      </c>
      <c r="R58" s="140">
        <v>180</v>
      </c>
      <c r="S58" s="140">
        <v>966</v>
      </c>
      <c r="T58" s="140">
        <v>15</v>
      </c>
      <c r="U58" s="140">
        <v>6451</v>
      </c>
      <c r="V58" s="140">
        <v>65</v>
      </c>
      <c r="W58" s="140">
        <v>5472</v>
      </c>
      <c r="X58" s="140">
        <v>390.6</v>
      </c>
    </row>
    <row r="59" spans="1:24" ht="15" thickBot="1" x14ac:dyDescent="0.35">
      <c r="A59" s="63">
        <f t="shared" ref="A59:H59" si="11">A57-A58</f>
        <v>0</v>
      </c>
      <c r="B59" s="63">
        <f t="shared" si="11"/>
        <v>0</v>
      </c>
      <c r="C59" s="63">
        <f t="shared" si="11"/>
        <v>0</v>
      </c>
      <c r="D59" s="63">
        <f t="shared" si="11"/>
        <v>0</v>
      </c>
      <c r="E59" s="63">
        <f t="shared" si="11"/>
        <v>0</v>
      </c>
      <c r="F59" s="63">
        <f t="shared" si="11"/>
        <v>0</v>
      </c>
      <c r="G59" s="63">
        <f t="shared" si="11"/>
        <v>0</v>
      </c>
      <c r="H59" s="63">
        <f t="shared" si="11"/>
        <v>0</v>
      </c>
      <c r="I59" s="140"/>
      <c r="K59" s="152">
        <f>K57-K58</f>
        <v>0</v>
      </c>
      <c r="L59" s="152">
        <f>L57-L58</f>
        <v>0</v>
      </c>
      <c r="M59" s="152">
        <f t="shared" ref="M59:X59" si="12">M58-M57</f>
        <v>0</v>
      </c>
      <c r="N59" s="152">
        <f t="shared" si="12"/>
        <v>0</v>
      </c>
      <c r="O59" s="152">
        <f t="shared" si="12"/>
        <v>0</v>
      </c>
      <c r="P59" s="152">
        <f t="shared" si="12"/>
        <v>0</v>
      </c>
      <c r="Q59" s="152">
        <f t="shared" si="12"/>
        <v>0</v>
      </c>
      <c r="R59" s="152">
        <f t="shared" si="12"/>
        <v>0</v>
      </c>
      <c r="S59" s="152">
        <f t="shared" si="12"/>
        <v>0</v>
      </c>
      <c r="T59" s="152">
        <f t="shared" si="12"/>
        <v>0</v>
      </c>
      <c r="U59" s="152">
        <f t="shared" si="12"/>
        <v>0</v>
      </c>
      <c r="V59" s="152">
        <f t="shared" si="12"/>
        <v>0</v>
      </c>
      <c r="W59" s="152">
        <f t="shared" si="12"/>
        <v>0</v>
      </c>
      <c r="X59" s="152">
        <f t="shared" si="12"/>
        <v>0</v>
      </c>
    </row>
    <row r="60" spans="1:24" ht="15" thickBot="1" x14ac:dyDescent="0.35"/>
    <row r="61" spans="1:24" x14ac:dyDescent="0.3">
      <c r="A61" s="157">
        <v>46099</v>
      </c>
      <c r="B61" s="157">
        <v>46100</v>
      </c>
      <c r="C61" s="157">
        <v>46101</v>
      </c>
      <c r="D61" s="157">
        <v>46102</v>
      </c>
      <c r="E61" s="157">
        <v>46103</v>
      </c>
      <c r="F61" s="157">
        <v>46104</v>
      </c>
      <c r="G61" s="157">
        <v>46105</v>
      </c>
      <c r="H61" s="157"/>
      <c r="I61" s="13" t="s">
        <v>8</v>
      </c>
      <c r="K61" s="59">
        <v>46099</v>
      </c>
      <c r="L61" s="59"/>
      <c r="M61" s="59">
        <f>K61+1</f>
        <v>46100</v>
      </c>
      <c r="N61" s="59"/>
      <c r="O61" s="59">
        <f>M61+1</f>
        <v>46101</v>
      </c>
      <c r="P61" s="59"/>
      <c r="Q61" s="59">
        <f>O61+1</f>
        <v>46102</v>
      </c>
      <c r="R61" s="59"/>
      <c r="S61" s="59">
        <f>Q61+1</f>
        <v>46103</v>
      </c>
      <c r="T61" s="59"/>
      <c r="U61" s="59">
        <f>S61+1</f>
        <v>46104</v>
      </c>
      <c r="V61" s="59"/>
      <c r="W61" s="59">
        <f>U61+1</f>
        <v>46105</v>
      </c>
      <c r="X61" s="59"/>
    </row>
    <row r="62" spans="1:24" ht="15" thickBot="1" x14ac:dyDescent="0.35">
      <c r="A62" s="22">
        <v>309</v>
      </c>
      <c r="B62" s="22">
        <v>205</v>
      </c>
      <c r="C62" s="22">
        <v>165</v>
      </c>
      <c r="D62" s="22">
        <v>225</v>
      </c>
      <c r="E62" s="22">
        <v>480</v>
      </c>
      <c r="F62" s="22">
        <v>255</v>
      </c>
      <c r="G62" s="22">
        <v>325</v>
      </c>
      <c r="H62" s="15"/>
      <c r="I62" s="15">
        <v>2711.52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1625</v>
      </c>
      <c r="B63" s="22">
        <v>1130</v>
      </c>
      <c r="C63" s="22">
        <v>1455</v>
      </c>
      <c r="D63" s="22">
        <v>1035</v>
      </c>
      <c r="E63" s="22"/>
      <c r="F63" s="22">
        <v>1645</v>
      </c>
      <c r="G63" s="22">
        <v>1540</v>
      </c>
      <c r="H63" s="15"/>
      <c r="I63" s="15">
        <v>4455.3999999999996</v>
      </c>
      <c r="K63" s="75">
        <v>260</v>
      </c>
      <c r="L63" s="76">
        <v>65</v>
      </c>
      <c r="M63" s="77">
        <v>32</v>
      </c>
      <c r="N63" s="77">
        <v>50</v>
      </c>
      <c r="O63" s="77">
        <v>15</v>
      </c>
      <c r="P63" s="77">
        <v>60</v>
      </c>
      <c r="Q63" s="77">
        <v>290</v>
      </c>
      <c r="R63" s="77">
        <v>50</v>
      </c>
      <c r="S63" s="77">
        <v>80</v>
      </c>
      <c r="T63" s="40">
        <v>15</v>
      </c>
      <c r="U63" s="77">
        <v>15</v>
      </c>
      <c r="V63" s="63">
        <v>50</v>
      </c>
      <c r="W63" s="77">
        <v>310</v>
      </c>
      <c r="X63" s="77">
        <v>74</v>
      </c>
    </row>
    <row r="64" spans="1:24" x14ac:dyDescent="0.3">
      <c r="A64" s="22">
        <v>1150.3699999999999</v>
      </c>
      <c r="B64" s="44">
        <v>1292.45</v>
      </c>
      <c r="C64" s="22">
        <v>1388.29</v>
      </c>
      <c r="D64" s="22">
        <v>4001.35</v>
      </c>
      <c r="E64" s="46"/>
      <c r="F64" s="22">
        <v>890.15</v>
      </c>
      <c r="G64" s="22">
        <v>1362.67</v>
      </c>
      <c r="H64" s="15"/>
      <c r="I64" s="15">
        <v>4355</v>
      </c>
      <c r="K64" s="75">
        <v>365</v>
      </c>
      <c r="L64" s="76">
        <v>60</v>
      </c>
      <c r="M64" s="77">
        <v>370</v>
      </c>
      <c r="N64" s="43"/>
      <c r="O64" s="77">
        <v>290</v>
      </c>
      <c r="P64" s="43">
        <v>50</v>
      </c>
      <c r="Q64" s="43">
        <v>192</v>
      </c>
      <c r="R64" s="80">
        <v>78</v>
      </c>
      <c r="S64" s="43">
        <v>64</v>
      </c>
      <c r="T64" s="27"/>
      <c r="U64" s="77">
        <v>260</v>
      </c>
      <c r="V64" s="22"/>
      <c r="W64" s="77">
        <v>278</v>
      </c>
      <c r="X64" s="43">
        <v>2130</v>
      </c>
    </row>
    <row r="65" spans="1:24" x14ac:dyDescent="0.3">
      <c r="A65" s="22"/>
      <c r="B65" s="41"/>
      <c r="C65" s="22"/>
      <c r="D65" s="22"/>
      <c r="E65" s="22"/>
      <c r="F65" s="22"/>
      <c r="G65" s="22"/>
      <c r="H65" s="15"/>
      <c r="I65" s="15">
        <v>848</v>
      </c>
      <c r="K65" s="75">
        <v>5100</v>
      </c>
      <c r="L65" s="76">
        <v>139.9</v>
      </c>
      <c r="M65" s="77">
        <v>252</v>
      </c>
      <c r="N65" s="43"/>
      <c r="O65" s="77">
        <v>408</v>
      </c>
      <c r="P65" s="43"/>
      <c r="Q65" s="43">
        <v>1710</v>
      </c>
      <c r="R65" s="84">
        <v>1500</v>
      </c>
      <c r="S65" s="43">
        <v>510</v>
      </c>
      <c r="T65" s="27"/>
      <c r="U65" s="77">
        <v>434</v>
      </c>
      <c r="V65" s="22"/>
      <c r="W65" s="77">
        <v>3270</v>
      </c>
      <c r="X65" s="43"/>
    </row>
    <row r="66" spans="1:24" x14ac:dyDescent="0.3">
      <c r="A66" s="22"/>
      <c r="B66" s="22"/>
      <c r="C66" s="22"/>
      <c r="D66" s="22"/>
      <c r="E66" s="22"/>
      <c r="F66" s="22"/>
      <c r="G66" s="22"/>
      <c r="H66" s="15" t="s">
        <v>9</v>
      </c>
      <c r="I66" s="15">
        <v>6360</v>
      </c>
      <c r="K66" s="75">
        <v>1190</v>
      </c>
      <c r="L66" s="76"/>
      <c r="M66" s="77">
        <v>2680</v>
      </c>
      <c r="N66" s="43"/>
      <c r="O66" s="77">
        <v>4230</v>
      </c>
      <c r="P66" s="43"/>
      <c r="Q66" s="43">
        <v>1320</v>
      </c>
      <c r="R66" s="43"/>
      <c r="S66" s="43"/>
      <c r="T66" s="27"/>
      <c r="U66" s="77">
        <v>4090</v>
      </c>
      <c r="V66" s="22"/>
      <c r="W66" s="43">
        <v>650</v>
      </c>
      <c r="X66" s="43"/>
    </row>
    <row r="67" spans="1:24" x14ac:dyDescent="0.3">
      <c r="A67" s="22"/>
      <c r="B67" s="22"/>
      <c r="C67" s="22"/>
      <c r="D67" s="22"/>
      <c r="E67" s="22"/>
      <c r="F67" s="22"/>
      <c r="G67" s="22"/>
      <c r="H67" s="15"/>
      <c r="I67" s="15">
        <v>1720</v>
      </c>
      <c r="K67" s="75"/>
      <c r="L67" s="76"/>
      <c r="M67" s="43">
        <v>910</v>
      </c>
      <c r="N67" s="43"/>
      <c r="O67" s="77">
        <v>1190</v>
      </c>
      <c r="P67" s="43"/>
      <c r="Q67" s="43"/>
      <c r="R67" s="43"/>
      <c r="S67" s="43"/>
      <c r="T67" s="27"/>
      <c r="U67" s="43">
        <v>1190</v>
      </c>
      <c r="V67" s="22"/>
      <c r="W67" s="43"/>
      <c r="X67" s="43"/>
    </row>
    <row r="68" spans="1:24" x14ac:dyDescent="0.3">
      <c r="A68" s="22"/>
      <c r="B68" s="22"/>
      <c r="C68" s="22"/>
      <c r="D68" s="22"/>
      <c r="E68" s="22"/>
      <c r="F68" s="22"/>
      <c r="G68" s="22"/>
      <c r="H68" s="160"/>
      <c r="I68" s="15">
        <v>1414.63</v>
      </c>
      <c r="K68" s="21"/>
      <c r="L68" s="76"/>
      <c r="M68" s="43"/>
      <c r="N68" s="43"/>
      <c r="O68" s="77"/>
      <c r="P68" s="43"/>
      <c r="Q68" s="43"/>
      <c r="R68" s="43"/>
      <c r="S68" s="43"/>
      <c r="T68" s="27"/>
      <c r="U68" s="43"/>
      <c r="V68" s="22"/>
      <c r="W68" s="43"/>
      <c r="X68" s="43"/>
    </row>
    <row r="69" spans="1:24" x14ac:dyDescent="0.3">
      <c r="A69" s="22"/>
      <c r="B69" s="22"/>
      <c r="C69" s="22"/>
      <c r="D69" s="22"/>
      <c r="E69" s="22"/>
      <c r="F69" s="22"/>
      <c r="G69" s="22"/>
      <c r="H69" s="65"/>
      <c r="I69" s="15">
        <v>2434</v>
      </c>
      <c r="K69" s="75"/>
      <c r="L69" s="76"/>
      <c r="M69" s="43"/>
      <c r="N69" s="43"/>
      <c r="O69" s="43"/>
      <c r="P69" s="43"/>
      <c r="Q69" s="43"/>
      <c r="R69" s="43"/>
      <c r="S69" s="43"/>
      <c r="T69" s="27"/>
      <c r="U69" s="43"/>
      <c r="V69" s="22"/>
      <c r="W69" s="43"/>
      <c r="X69" s="43"/>
    </row>
    <row r="70" spans="1:24" x14ac:dyDescent="0.3">
      <c r="A70" s="22"/>
      <c r="B70" s="22"/>
      <c r="C70" s="22"/>
      <c r="D70" s="22"/>
      <c r="E70" s="22"/>
      <c r="F70" s="22"/>
      <c r="G70" s="22"/>
      <c r="H70" s="37"/>
      <c r="I70" s="15">
        <v>1728</v>
      </c>
      <c r="K70" s="21"/>
      <c r="L70" s="76"/>
      <c r="M70" s="22"/>
      <c r="N70" s="22"/>
      <c r="O70" s="43"/>
      <c r="P70" s="22"/>
      <c r="Q70" s="22"/>
      <c r="R70" s="22"/>
      <c r="S70" s="22"/>
      <c r="T70" s="27"/>
      <c r="U70" s="22"/>
      <c r="V70" s="22"/>
      <c r="W70" s="22"/>
      <c r="X70" s="22"/>
    </row>
    <row r="71" spans="1:24" x14ac:dyDescent="0.3">
      <c r="A71" s="22"/>
      <c r="B71" s="22"/>
      <c r="C71" s="22"/>
      <c r="D71" s="22"/>
      <c r="E71" s="22"/>
      <c r="F71" s="22"/>
      <c r="G71" s="22"/>
      <c r="H71" s="37"/>
      <c r="I71" s="15">
        <v>536</v>
      </c>
      <c r="K71" s="21"/>
      <c r="L71" s="76"/>
      <c r="M71" s="22"/>
      <c r="N71" s="22"/>
      <c r="O71" s="43"/>
      <c r="P71" s="22"/>
      <c r="Q71" s="22"/>
      <c r="R71" s="22"/>
      <c r="S71" s="22"/>
      <c r="T71" s="27"/>
      <c r="U71" s="22"/>
      <c r="V71" s="22"/>
      <c r="W71" s="22"/>
      <c r="X71" s="22"/>
    </row>
    <row r="72" spans="1:24" x14ac:dyDescent="0.3">
      <c r="A72" s="22"/>
      <c r="B72" s="22"/>
      <c r="C72" s="22"/>
      <c r="D72" s="22"/>
      <c r="E72" s="22"/>
      <c r="F72" s="22"/>
      <c r="G72" s="22"/>
      <c r="H72" s="37"/>
      <c r="I72" s="15"/>
      <c r="K72" s="21"/>
      <c r="L72" s="76"/>
      <c r="M72" s="22" t="s">
        <v>9</v>
      </c>
      <c r="N72" s="22"/>
      <c r="O72" s="43"/>
      <c r="P72" s="22"/>
      <c r="Q72" s="22"/>
      <c r="R72" s="22"/>
      <c r="S72" s="22"/>
      <c r="T72" s="27"/>
      <c r="U72" s="22"/>
      <c r="V72" s="22"/>
      <c r="W72" s="22"/>
      <c r="X72" s="22"/>
    </row>
    <row r="73" spans="1:24" x14ac:dyDescent="0.3">
      <c r="A73" s="22"/>
      <c r="B73" s="22"/>
      <c r="C73" s="22"/>
      <c r="D73" s="22"/>
      <c r="E73" s="22"/>
      <c r="F73" s="22"/>
      <c r="G73" s="22"/>
      <c r="H73" s="22"/>
      <c r="I73" s="40"/>
      <c r="K73" s="128"/>
      <c r="L73" s="56"/>
      <c r="M73" s="22"/>
      <c r="N73" s="22"/>
      <c r="O73" s="43"/>
      <c r="P73" s="22"/>
      <c r="Q73" s="22"/>
      <c r="R73" s="22"/>
      <c r="S73" s="22"/>
      <c r="T73" s="27"/>
      <c r="U73" s="22"/>
      <c r="V73" s="22"/>
      <c r="W73" s="22"/>
      <c r="X73" s="22"/>
    </row>
    <row r="74" spans="1:24" ht="15" thickBot="1" x14ac:dyDescent="0.35">
      <c r="A74" s="22"/>
      <c r="B74" s="22"/>
      <c r="C74" s="22"/>
      <c r="D74" s="22"/>
      <c r="E74" s="22"/>
      <c r="F74" s="22"/>
      <c r="G74" s="22"/>
      <c r="H74" s="22"/>
      <c r="I74" s="27"/>
      <c r="K74" s="24"/>
      <c r="L74" s="56"/>
      <c r="M74" s="22"/>
      <c r="N74" s="22"/>
      <c r="O74" s="43"/>
      <c r="P74" s="22"/>
      <c r="Q74" s="22"/>
      <c r="R74" s="22"/>
      <c r="S74" s="22"/>
      <c r="T74" s="27"/>
      <c r="U74" s="22"/>
      <c r="V74" s="22"/>
      <c r="W74" s="22"/>
      <c r="X74" s="22"/>
    </row>
    <row r="75" spans="1:24" ht="15.6" thickTop="1" thickBot="1" x14ac:dyDescent="0.35">
      <c r="A75" s="22"/>
      <c r="B75" s="22"/>
      <c r="C75" s="22"/>
      <c r="D75" s="22"/>
      <c r="E75" s="22"/>
      <c r="F75" s="22"/>
      <c r="G75" s="22"/>
      <c r="H75" s="22"/>
      <c r="I75" s="132">
        <f>SUM(I62:I74)</f>
        <v>26562.55</v>
      </c>
      <c r="K75" s="24"/>
      <c r="L75" s="56"/>
      <c r="M75" s="22"/>
      <c r="N75" s="22"/>
      <c r="O75" s="43"/>
      <c r="P75" s="22"/>
      <c r="Q75" s="22"/>
      <c r="R75" s="22"/>
      <c r="S75" s="22"/>
      <c r="T75" s="27"/>
      <c r="U75" s="22"/>
      <c r="V75" s="22"/>
      <c r="W75" s="22"/>
      <c r="X75" s="22"/>
    </row>
    <row r="76" spans="1:24" ht="15" thickTop="1" x14ac:dyDescent="0.3">
      <c r="A76" s="22"/>
      <c r="B76" s="22"/>
      <c r="C76" s="22"/>
      <c r="D76" s="22"/>
      <c r="E76" s="22"/>
      <c r="F76" s="22"/>
      <c r="G76" s="22"/>
      <c r="H76" s="22"/>
      <c r="I76" s="27"/>
      <c r="K76" s="24"/>
      <c r="L76" s="22"/>
      <c r="M76" s="22"/>
      <c r="N76" s="22"/>
      <c r="O76" s="22"/>
      <c r="P76" s="22"/>
      <c r="Q76" s="22"/>
      <c r="R76" s="22"/>
      <c r="S76" s="22"/>
      <c r="T76" s="27"/>
      <c r="U76" s="22"/>
      <c r="V76" s="22"/>
      <c r="W76" s="22"/>
      <c r="X76" s="22"/>
    </row>
    <row r="77" spans="1:24" ht="15" thickBot="1" x14ac:dyDescent="0.35">
      <c r="A77" s="140">
        <f t="shared" ref="A77:G77" si="13">SUM(A62:A76)</f>
        <v>3084.37</v>
      </c>
      <c r="B77" s="140">
        <f t="shared" si="13"/>
        <v>2627.45</v>
      </c>
      <c r="C77" s="140">
        <f t="shared" si="13"/>
        <v>3008.29</v>
      </c>
      <c r="D77" s="140">
        <f t="shared" si="13"/>
        <v>5261.35</v>
      </c>
      <c r="E77" s="140">
        <f t="shared" si="13"/>
        <v>480</v>
      </c>
      <c r="F77" s="140">
        <f t="shared" si="13"/>
        <v>2790.15</v>
      </c>
      <c r="G77" s="140">
        <f t="shared" si="13"/>
        <v>3227.67</v>
      </c>
      <c r="H77" s="149">
        <f>SUM(A77:G77)+I75</f>
        <v>47041.83</v>
      </c>
      <c r="I77" s="150" t="s">
        <v>64</v>
      </c>
      <c r="K77" s="140">
        <f t="shared" ref="K77:X77" si="14">SUM(K62:K76)</f>
        <v>6915</v>
      </c>
      <c r="L77" s="140">
        <f t="shared" si="14"/>
        <v>264.89999999999998</v>
      </c>
      <c r="M77" s="140">
        <f t="shared" si="14"/>
        <v>4244</v>
      </c>
      <c r="N77" s="140">
        <f t="shared" si="14"/>
        <v>50</v>
      </c>
      <c r="O77" s="140">
        <f t="shared" si="14"/>
        <v>6133</v>
      </c>
      <c r="P77" s="140">
        <f t="shared" si="14"/>
        <v>110</v>
      </c>
      <c r="Q77" s="140">
        <f t="shared" si="14"/>
        <v>3512</v>
      </c>
      <c r="R77" s="140">
        <f t="shared" si="14"/>
        <v>1628</v>
      </c>
      <c r="S77" s="140">
        <f t="shared" si="14"/>
        <v>654</v>
      </c>
      <c r="T77" s="140">
        <f t="shared" si="14"/>
        <v>15</v>
      </c>
      <c r="U77" s="140">
        <f t="shared" si="14"/>
        <v>5989</v>
      </c>
      <c r="V77" s="140">
        <f t="shared" si="14"/>
        <v>50</v>
      </c>
      <c r="W77" s="140">
        <f t="shared" si="14"/>
        <v>4508</v>
      </c>
      <c r="X77" s="140">
        <f t="shared" si="14"/>
        <v>2204</v>
      </c>
    </row>
    <row r="78" spans="1:24" ht="15" thickBot="1" x14ac:dyDescent="0.35">
      <c r="A78" s="140">
        <v>3084.37</v>
      </c>
      <c r="B78" s="140">
        <v>2627.45</v>
      </c>
      <c r="C78" s="140">
        <v>3008.29</v>
      </c>
      <c r="D78" s="140">
        <v>5261.35</v>
      </c>
      <c r="E78" s="140">
        <v>480</v>
      </c>
      <c r="F78" s="140">
        <v>2790.15</v>
      </c>
      <c r="G78" s="140">
        <v>3227.67</v>
      </c>
      <c r="H78" s="140">
        <f>SUM(H63:H77)</f>
        <v>47041.83</v>
      </c>
      <c r="I78" s="140"/>
      <c r="K78" s="140">
        <v>6915</v>
      </c>
      <c r="L78" s="140">
        <v>264.89999999999998</v>
      </c>
      <c r="M78" s="140">
        <v>4244</v>
      </c>
      <c r="N78" s="140">
        <v>50</v>
      </c>
      <c r="O78" s="140">
        <v>6133</v>
      </c>
      <c r="P78" s="140">
        <v>110</v>
      </c>
      <c r="Q78" s="140">
        <v>3512</v>
      </c>
      <c r="R78" s="140">
        <v>1628</v>
      </c>
      <c r="S78" s="140">
        <v>652</v>
      </c>
      <c r="T78" s="140">
        <v>15</v>
      </c>
      <c r="U78" s="140">
        <v>5989</v>
      </c>
      <c r="V78" s="140">
        <v>50</v>
      </c>
      <c r="W78" s="140">
        <v>4508</v>
      </c>
      <c r="X78" s="140">
        <v>2204</v>
      </c>
    </row>
    <row r="79" spans="1:24" ht="15" thickBot="1" x14ac:dyDescent="0.35">
      <c r="A79" s="63">
        <f t="shared" ref="A79:H79" si="15">A77-A78</f>
        <v>0</v>
      </c>
      <c r="B79" s="63">
        <f t="shared" si="15"/>
        <v>0</v>
      </c>
      <c r="C79" s="63">
        <f t="shared" si="15"/>
        <v>0</v>
      </c>
      <c r="D79" s="63">
        <f t="shared" si="15"/>
        <v>0</v>
      </c>
      <c r="E79" s="63">
        <f t="shared" si="15"/>
        <v>0</v>
      </c>
      <c r="F79" s="63">
        <f t="shared" si="15"/>
        <v>0</v>
      </c>
      <c r="G79" s="63">
        <f t="shared" si="15"/>
        <v>0</v>
      </c>
      <c r="H79" s="63">
        <f t="shared" si="15"/>
        <v>0</v>
      </c>
      <c r="I79" s="140"/>
      <c r="K79" s="152">
        <f>K77-K78</f>
        <v>0</v>
      </c>
      <c r="L79" s="152">
        <f>L77-L78</f>
        <v>0</v>
      </c>
      <c r="M79" s="152">
        <f t="shared" ref="M79:X79" si="16">M78-M77</f>
        <v>0</v>
      </c>
      <c r="N79" s="152">
        <f t="shared" si="16"/>
        <v>0</v>
      </c>
      <c r="O79" s="152">
        <f t="shared" si="16"/>
        <v>0</v>
      </c>
      <c r="P79" s="152">
        <f t="shared" si="16"/>
        <v>0</v>
      </c>
      <c r="Q79" s="152">
        <f t="shared" si="16"/>
        <v>0</v>
      </c>
      <c r="R79" s="152">
        <f t="shared" si="16"/>
        <v>0</v>
      </c>
      <c r="S79" s="165">
        <f t="shared" si="16"/>
        <v>-2</v>
      </c>
      <c r="T79" s="152">
        <f t="shared" si="16"/>
        <v>0</v>
      </c>
      <c r="U79" s="152">
        <f t="shared" si="16"/>
        <v>0</v>
      </c>
      <c r="V79" s="152">
        <f t="shared" si="16"/>
        <v>0</v>
      </c>
      <c r="W79" s="152">
        <f t="shared" si="16"/>
        <v>0</v>
      </c>
      <c r="X79" s="152">
        <f t="shared" si="16"/>
        <v>0</v>
      </c>
    </row>
    <row r="80" spans="1:24" ht="15" thickBot="1" x14ac:dyDescent="0.35"/>
    <row r="81" spans="1:24" x14ac:dyDescent="0.3">
      <c r="A81" s="157">
        <v>46106</v>
      </c>
      <c r="B81" s="157">
        <v>46107</v>
      </c>
      <c r="C81" s="157">
        <v>46108</v>
      </c>
      <c r="D81" s="157">
        <v>46109</v>
      </c>
      <c r="E81" s="157">
        <v>46110</v>
      </c>
      <c r="F81" s="157">
        <v>46111</v>
      </c>
      <c r="G81" s="157">
        <v>46112</v>
      </c>
      <c r="H81" s="157"/>
      <c r="I81" s="13" t="s">
        <v>8</v>
      </c>
      <c r="K81" s="59">
        <v>46106</v>
      </c>
      <c r="L81" s="59"/>
      <c r="M81" s="59">
        <f>K81+1</f>
        <v>46107</v>
      </c>
      <c r="N81" s="59"/>
      <c r="O81" s="59">
        <f>M81+1</f>
        <v>46108</v>
      </c>
      <c r="P81" s="59"/>
      <c r="Q81" s="59">
        <f>O81+1</f>
        <v>46109</v>
      </c>
      <c r="R81" s="59"/>
      <c r="S81" s="59">
        <f>Q81+1</f>
        <v>46110</v>
      </c>
      <c r="T81" s="59"/>
      <c r="U81" s="59">
        <f>S81+1</f>
        <v>46111</v>
      </c>
      <c r="V81" s="59"/>
      <c r="W81" s="59">
        <f>U81+1</f>
        <v>46112</v>
      </c>
      <c r="X81" s="59"/>
    </row>
    <row r="82" spans="1:24" ht="15" thickBot="1" x14ac:dyDescent="0.35">
      <c r="A82" s="22">
        <v>414</v>
      </c>
      <c r="B82" s="22">
        <v>320</v>
      </c>
      <c r="C82" s="22">
        <v>150</v>
      </c>
      <c r="D82" s="22">
        <v>230</v>
      </c>
      <c r="E82" s="22">
        <v>575</v>
      </c>
      <c r="F82" s="22">
        <v>270</v>
      </c>
      <c r="G82" s="22">
        <v>370</v>
      </c>
      <c r="H82" s="15"/>
      <c r="I82" s="15">
        <v>6360</v>
      </c>
      <c r="K82" s="124" t="s">
        <v>10</v>
      </c>
      <c r="L82" s="125" t="s">
        <v>11</v>
      </c>
      <c r="M82" s="126" t="s">
        <v>10</v>
      </c>
      <c r="N82" s="126" t="s">
        <v>11</v>
      </c>
      <c r="O82" s="126" t="s">
        <v>10</v>
      </c>
      <c r="P82" s="126" t="s">
        <v>11</v>
      </c>
      <c r="Q82" s="126" t="s">
        <v>10</v>
      </c>
      <c r="R82" s="126" t="s">
        <v>11</v>
      </c>
      <c r="S82" s="126" t="s">
        <v>10</v>
      </c>
      <c r="T82" s="126" t="s">
        <v>11</v>
      </c>
      <c r="U82" s="126" t="s">
        <v>10</v>
      </c>
      <c r="V82" s="126" t="s">
        <v>11</v>
      </c>
      <c r="W82" s="126" t="s">
        <v>10</v>
      </c>
      <c r="X82" s="143" t="s">
        <v>11</v>
      </c>
    </row>
    <row r="83" spans="1:24" x14ac:dyDescent="0.3">
      <c r="A83" s="22">
        <v>2352.5</v>
      </c>
      <c r="B83" s="22">
        <v>1295</v>
      </c>
      <c r="C83" s="22">
        <v>2715</v>
      </c>
      <c r="D83" s="22">
        <v>1375</v>
      </c>
      <c r="E83" s="22"/>
      <c r="F83" s="22">
        <v>1585</v>
      </c>
      <c r="G83" s="22">
        <v>865</v>
      </c>
      <c r="H83" s="15"/>
      <c r="I83" s="15">
        <v>5090</v>
      </c>
      <c r="K83" s="75">
        <v>260</v>
      </c>
      <c r="L83" s="76">
        <v>30</v>
      </c>
      <c r="M83" s="77">
        <v>310</v>
      </c>
      <c r="N83" s="77">
        <v>50</v>
      </c>
      <c r="O83" s="77">
        <v>15</v>
      </c>
      <c r="P83" s="77">
        <v>35</v>
      </c>
      <c r="Q83" s="77">
        <v>570</v>
      </c>
      <c r="R83" s="77">
        <v>52.5</v>
      </c>
      <c r="S83" s="77">
        <v>80</v>
      </c>
      <c r="T83" s="40">
        <v>15</v>
      </c>
      <c r="U83" s="77">
        <v>15</v>
      </c>
      <c r="V83" s="63">
        <v>26</v>
      </c>
      <c r="W83" s="77">
        <v>280</v>
      </c>
      <c r="X83" s="77">
        <v>50</v>
      </c>
    </row>
    <row r="84" spans="1:24" x14ac:dyDescent="0.3">
      <c r="A84" s="22">
        <v>1150.3699999999999</v>
      </c>
      <c r="B84" s="44">
        <v>1150.3699999999999</v>
      </c>
      <c r="C84" s="22">
        <v>1506.43</v>
      </c>
      <c r="D84" s="22">
        <v>4119.92</v>
      </c>
      <c r="E84" s="46"/>
      <c r="F84" s="22">
        <v>1020.26</v>
      </c>
      <c r="G84" s="22">
        <v>1458.51</v>
      </c>
      <c r="H84" s="15"/>
      <c r="I84" s="15">
        <v>2551</v>
      </c>
      <c r="K84" s="75">
        <v>486</v>
      </c>
      <c r="L84" s="76">
        <v>331.1</v>
      </c>
      <c r="M84" s="77">
        <v>254</v>
      </c>
      <c r="N84" s="43">
        <v>150.1</v>
      </c>
      <c r="O84" s="77" t="s">
        <v>9</v>
      </c>
      <c r="P84" s="43">
        <v>300</v>
      </c>
      <c r="Q84" s="43">
        <v>192</v>
      </c>
      <c r="R84" s="80">
        <v>130</v>
      </c>
      <c r="S84" s="43">
        <v>96</v>
      </c>
      <c r="T84" s="27"/>
      <c r="U84" s="77">
        <v>260</v>
      </c>
      <c r="V84" s="22">
        <v>50</v>
      </c>
      <c r="W84" s="77">
        <v>252</v>
      </c>
      <c r="X84" s="43"/>
    </row>
    <row r="85" spans="1:24" x14ac:dyDescent="0.3">
      <c r="A85" s="22"/>
      <c r="B85" s="41"/>
      <c r="C85" s="22"/>
      <c r="D85" s="22"/>
      <c r="E85" s="22"/>
      <c r="F85" s="22"/>
      <c r="G85" s="22"/>
      <c r="H85" s="15"/>
      <c r="I85" s="15">
        <v>636</v>
      </c>
      <c r="K85" s="75">
        <v>5280</v>
      </c>
      <c r="L85" s="76"/>
      <c r="M85" s="77">
        <v>2690</v>
      </c>
      <c r="N85" s="43">
        <v>1052.9000000000001</v>
      </c>
      <c r="O85" s="77">
        <v>408</v>
      </c>
      <c r="P85" s="43"/>
      <c r="Q85" s="43">
        <v>2810</v>
      </c>
      <c r="R85" s="84"/>
      <c r="S85" s="43">
        <v>520</v>
      </c>
      <c r="T85" s="27"/>
      <c r="U85" s="77">
        <v>408</v>
      </c>
      <c r="V85" s="22"/>
      <c r="W85" s="77">
        <v>3630</v>
      </c>
      <c r="X85" s="43"/>
    </row>
    <row r="86" spans="1:24" x14ac:dyDescent="0.3">
      <c r="A86" s="22"/>
      <c r="B86" s="22"/>
      <c r="C86" s="22"/>
      <c r="D86" s="22"/>
      <c r="E86" s="22"/>
      <c r="F86" s="22"/>
      <c r="G86" s="22"/>
      <c r="H86" s="15" t="s">
        <v>9</v>
      </c>
      <c r="I86" s="15">
        <v>2446.5</v>
      </c>
      <c r="K86" s="75">
        <v>1330</v>
      </c>
      <c r="L86" s="76"/>
      <c r="M86" s="77">
        <v>930</v>
      </c>
      <c r="N86" s="43"/>
      <c r="O86" s="77">
        <v>5675</v>
      </c>
      <c r="P86" s="43"/>
      <c r="Q86" s="43">
        <v>1650</v>
      </c>
      <c r="R86" s="43"/>
      <c r="S86" s="43"/>
      <c r="T86" s="27"/>
      <c r="U86" s="77">
        <v>4930</v>
      </c>
      <c r="V86" s="22"/>
      <c r="W86" s="43">
        <v>1200</v>
      </c>
      <c r="X86" s="43"/>
    </row>
    <row r="87" spans="1:24" x14ac:dyDescent="0.3">
      <c r="A87" s="22"/>
      <c r="B87" s="22"/>
      <c r="C87" s="22"/>
      <c r="D87" s="22"/>
      <c r="E87" s="22"/>
      <c r="F87" s="22"/>
      <c r="G87" s="22"/>
      <c r="H87" s="15"/>
      <c r="I87" s="15">
        <v>2410.2399999999998</v>
      </c>
      <c r="K87" s="75"/>
      <c r="L87" s="76"/>
      <c r="M87" s="43"/>
      <c r="N87" s="43"/>
      <c r="O87" s="77">
        <v>1330</v>
      </c>
      <c r="P87" s="43"/>
      <c r="Q87" s="43"/>
      <c r="R87" s="43"/>
      <c r="S87" s="43"/>
      <c r="T87" s="27"/>
      <c r="U87" s="43">
        <v>1120</v>
      </c>
      <c r="V87" s="22"/>
      <c r="W87" s="43"/>
      <c r="X87" s="43"/>
    </row>
    <row r="88" spans="1:24" x14ac:dyDescent="0.3">
      <c r="A88" s="22"/>
      <c r="B88" s="22"/>
      <c r="C88" s="22"/>
      <c r="D88" s="22"/>
      <c r="E88" s="22"/>
      <c r="F88" s="22"/>
      <c r="G88" s="22"/>
      <c r="H88" s="160"/>
      <c r="I88" s="15">
        <v>6106.03</v>
      </c>
      <c r="K88" s="21"/>
      <c r="L88" s="76"/>
      <c r="M88" s="43"/>
      <c r="N88" s="43"/>
      <c r="O88" s="77"/>
      <c r="P88" s="43"/>
      <c r="Q88" s="43"/>
      <c r="R88" s="43"/>
      <c r="S88" s="43"/>
      <c r="T88" s="27"/>
      <c r="U88" s="43"/>
      <c r="V88" s="22"/>
      <c r="W88" s="43"/>
      <c r="X88" s="43"/>
    </row>
    <row r="89" spans="1:24" x14ac:dyDescent="0.3">
      <c r="A89" s="22"/>
      <c r="B89" s="22"/>
      <c r="C89" s="22"/>
      <c r="D89" s="22"/>
      <c r="E89" s="22"/>
      <c r="F89" s="22"/>
      <c r="G89" s="22"/>
      <c r="H89" s="65"/>
      <c r="I89" s="15"/>
      <c r="K89" s="75"/>
      <c r="L89" s="76"/>
      <c r="M89" s="43"/>
      <c r="N89" s="43"/>
      <c r="O89" s="77"/>
      <c r="P89" s="43"/>
      <c r="Q89" s="43"/>
      <c r="R89" s="43"/>
      <c r="S89" s="43"/>
      <c r="T89" s="27"/>
      <c r="U89" s="43"/>
      <c r="V89" s="22"/>
      <c r="W89" s="43"/>
      <c r="X89" s="43"/>
    </row>
    <row r="90" spans="1:24" x14ac:dyDescent="0.3">
      <c r="A90" s="22"/>
      <c r="B90" s="22"/>
      <c r="C90" s="22"/>
      <c r="D90" s="22"/>
      <c r="E90" s="22"/>
      <c r="F90" s="22"/>
      <c r="G90" s="22"/>
      <c r="H90" s="37"/>
      <c r="I90" s="15"/>
      <c r="K90" s="21"/>
      <c r="L90" s="76"/>
      <c r="M90" s="22"/>
      <c r="N90" s="22"/>
      <c r="O90" s="43"/>
      <c r="P90" s="22"/>
      <c r="Q90" s="22"/>
      <c r="R90" s="22"/>
      <c r="S90" s="22"/>
      <c r="T90" s="27"/>
      <c r="U90" s="22"/>
      <c r="V90" s="22"/>
      <c r="W90" s="22"/>
      <c r="X90" s="22"/>
    </row>
    <row r="91" spans="1:24" x14ac:dyDescent="0.3">
      <c r="A91" s="22"/>
      <c r="B91" s="22"/>
      <c r="C91" s="22"/>
      <c r="D91" s="22"/>
      <c r="E91" s="22"/>
      <c r="F91" s="22"/>
      <c r="G91" s="22"/>
      <c r="H91" s="37"/>
      <c r="I91" s="15"/>
      <c r="K91" s="21"/>
      <c r="L91" s="76"/>
      <c r="M91" s="22"/>
      <c r="N91" s="22"/>
      <c r="O91" s="43"/>
      <c r="P91" s="22"/>
      <c r="Q91" s="22"/>
      <c r="R91" s="22"/>
      <c r="S91" s="22"/>
      <c r="T91" s="27"/>
      <c r="U91" s="22"/>
      <c r="V91" s="22"/>
      <c r="W91" s="22"/>
      <c r="X91" s="22"/>
    </row>
    <row r="92" spans="1:24" x14ac:dyDescent="0.3">
      <c r="A92" s="22"/>
      <c r="B92" s="22"/>
      <c r="C92" s="22"/>
      <c r="D92" s="22"/>
      <c r="E92" s="22"/>
      <c r="F92" s="22"/>
      <c r="G92" s="22"/>
      <c r="H92" s="37"/>
      <c r="I92" s="15"/>
      <c r="K92" s="21"/>
      <c r="L92" s="76"/>
      <c r="M92" s="22"/>
      <c r="N92" s="22"/>
      <c r="O92" s="43"/>
      <c r="P92" s="22"/>
      <c r="Q92" s="22"/>
      <c r="R92" s="22"/>
      <c r="S92" s="22"/>
      <c r="T92" s="27"/>
      <c r="U92" s="22"/>
      <c r="V92" s="22"/>
      <c r="W92" s="22"/>
      <c r="X92" s="22"/>
    </row>
    <row r="93" spans="1:24" x14ac:dyDescent="0.3">
      <c r="A93" s="22"/>
      <c r="B93" s="22"/>
      <c r="C93" s="22"/>
      <c r="D93" s="22"/>
      <c r="E93" s="22"/>
      <c r="F93" s="22"/>
      <c r="G93" s="22"/>
      <c r="H93" s="22"/>
      <c r="I93" s="40"/>
      <c r="K93" s="128"/>
      <c r="L93" s="56"/>
      <c r="M93" s="22"/>
      <c r="N93" s="22"/>
      <c r="O93" s="43"/>
      <c r="P93" s="22"/>
      <c r="Q93" s="22"/>
      <c r="R93" s="22"/>
      <c r="S93" s="22"/>
      <c r="T93" s="27"/>
      <c r="U93" s="22"/>
      <c r="V93" s="22"/>
      <c r="W93" s="22"/>
      <c r="X93" s="22"/>
    </row>
    <row r="94" spans="1:24" ht="15" thickBot="1" x14ac:dyDescent="0.35">
      <c r="A94" s="22"/>
      <c r="B94" s="22"/>
      <c r="C94" s="22"/>
      <c r="D94" s="22"/>
      <c r="E94" s="22"/>
      <c r="F94" s="22"/>
      <c r="G94" s="22"/>
      <c r="H94" s="22"/>
      <c r="I94" s="27"/>
      <c r="K94" s="24"/>
      <c r="L94" s="56"/>
      <c r="M94" s="22"/>
      <c r="N94" s="22"/>
      <c r="O94" s="43"/>
      <c r="P94" s="22"/>
      <c r="Q94" s="22"/>
      <c r="R94" s="22"/>
      <c r="S94" s="22"/>
      <c r="T94" s="27"/>
      <c r="U94" s="22"/>
      <c r="V94" s="22"/>
      <c r="W94" s="22"/>
      <c r="X94" s="22"/>
    </row>
    <row r="95" spans="1:24" ht="15.6" thickTop="1" thickBot="1" x14ac:dyDescent="0.35">
      <c r="A95" s="22"/>
      <c r="B95" s="22"/>
      <c r="C95" s="22"/>
      <c r="D95" s="22"/>
      <c r="E95" s="22"/>
      <c r="F95" s="22"/>
      <c r="G95" s="22"/>
      <c r="H95" s="22"/>
      <c r="I95" s="132">
        <f>SUM(I82:I94)</f>
        <v>25599.769999999997</v>
      </c>
      <c r="K95" s="24"/>
      <c r="L95" s="56"/>
      <c r="M95" s="22"/>
      <c r="N95" s="22"/>
      <c r="O95" s="43"/>
      <c r="P95" s="22"/>
      <c r="Q95" s="22"/>
      <c r="R95" s="22"/>
      <c r="S95" s="22"/>
      <c r="T95" s="27"/>
      <c r="U95" s="22"/>
      <c r="V95" s="22"/>
      <c r="W95" s="22"/>
      <c r="X95" s="22"/>
    </row>
    <row r="96" spans="1:24" ht="15" thickTop="1" x14ac:dyDescent="0.3">
      <c r="A96" s="22"/>
      <c r="B96" s="22"/>
      <c r="C96" s="22"/>
      <c r="D96" s="22"/>
      <c r="E96" s="22"/>
      <c r="F96" s="22"/>
      <c r="G96" s="22"/>
      <c r="H96" s="22"/>
      <c r="I96" s="27"/>
      <c r="K96" s="24"/>
      <c r="L96" s="22"/>
      <c r="M96" s="22"/>
      <c r="N96" s="22"/>
      <c r="O96" s="22"/>
      <c r="P96" s="22"/>
      <c r="Q96" s="22"/>
      <c r="R96" s="22"/>
      <c r="S96" s="22"/>
      <c r="T96" s="27"/>
      <c r="U96" s="22"/>
      <c r="V96" s="22"/>
      <c r="W96" s="22"/>
      <c r="X96" s="22"/>
    </row>
    <row r="97" spans="1:24" ht="15" thickBot="1" x14ac:dyDescent="0.35">
      <c r="A97" s="140">
        <f t="shared" ref="A97:G97" si="17">SUM(A82:A96)</f>
        <v>3916.87</v>
      </c>
      <c r="B97" s="140">
        <f t="shared" si="17"/>
        <v>2765.37</v>
      </c>
      <c r="C97" s="140">
        <f t="shared" si="17"/>
        <v>4371.43</v>
      </c>
      <c r="D97" s="140">
        <f t="shared" si="17"/>
        <v>5724.92</v>
      </c>
      <c r="E97" s="140">
        <f t="shared" si="17"/>
        <v>575</v>
      </c>
      <c r="F97" s="140">
        <f t="shared" si="17"/>
        <v>2875.26</v>
      </c>
      <c r="G97" s="140">
        <f t="shared" si="17"/>
        <v>2693.51</v>
      </c>
      <c r="H97" s="149">
        <f>SUM(A97:G97)+I95</f>
        <v>48522.13</v>
      </c>
      <c r="I97" s="150" t="s">
        <v>64</v>
      </c>
      <c r="K97" s="140">
        <f t="shared" ref="K97:X97" si="18">SUM(K82:K96)</f>
        <v>7356</v>
      </c>
      <c r="L97" s="140">
        <f t="shared" si="18"/>
        <v>361.1</v>
      </c>
      <c r="M97" s="140">
        <f t="shared" si="18"/>
        <v>4184</v>
      </c>
      <c r="N97" s="140">
        <f t="shared" si="18"/>
        <v>1253</v>
      </c>
      <c r="O97" s="140">
        <f t="shared" si="18"/>
        <v>7428</v>
      </c>
      <c r="P97" s="140">
        <f t="shared" si="18"/>
        <v>335</v>
      </c>
      <c r="Q97" s="140">
        <f t="shared" si="18"/>
        <v>5222</v>
      </c>
      <c r="R97" s="140">
        <f t="shared" si="18"/>
        <v>182.5</v>
      </c>
      <c r="S97" s="140">
        <f t="shared" si="18"/>
        <v>696</v>
      </c>
      <c r="T97" s="140">
        <f t="shared" si="18"/>
        <v>15</v>
      </c>
      <c r="U97" s="140">
        <f t="shared" si="18"/>
        <v>6733</v>
      </c>
      <c r="V97" s="140">
        <f t="shared" si="18"/>
        <v>76</v>
      </c>
      <c r="W97" s="140">
        <f t="shared" si="18"/>
        <v>5362</v>
      </c>
      <c r="X97" s="140">
        <f t="shared" si="18"/>
        <v>50</v>
      </c>
    </row>
    <row r="98" spans="1:24" ht="15" thickBot="1" x14ac:dyDescent="0.35">
      <c r="A98" s="140">
        <v>3916.87</v>
      </c>
      <c r="B98" s="140">
        <v>2765.37</v>
      </c>
      <c r="C98" s="140">
        <v>4371.43</v>
      </c>
      <c r="D98" s="140">
        <v>5724.92</v>
      </c>
      <c r="E98" s="140">
        <v>575</v>
      </c>
      <c r="F98" s="140">
        <v>2875.26</v>
      </c>
      <c r="G98" s="140">
        <v>2693.51</v>
      </c>
      <c r="H98" s="140">
        <f>SUM(H83:H97)</f>
        <v>48522.13</v>
      </c>
      <c r="I98" s="140"/>
      <c r="K98" s="140">
        <v>7356</v>
      </c>
      <c r="L98" s="140">
        <v>361.1</v>
      </c>
      <c r="M98" s="140">
        <v>4184</v>
      </c>
      <c r="N98" s="140">
        <v>1253</v>
      </c>
      <c r="O98" s="140">
        <v>7778</v>
      </c>
      <c r="P98" s="140">
        <v>335</v>
      </c>
      <c r="Q98" s="140">
        <v>5222</v>
      </c>
      <c r="R98" s="140">
        <v>182.5</v>
      </c>
      <c r="S98" s="140">
        <v>696</v>
      </c>
      <c r="T98" s="140">
        <v>15</v>
      </c>
      <c r="U98" s="140">
        <v>6733</v>
      </c>
      <c r="V98" s="140">
        <v>76</v>
      </c>
      <c r="W98" s="140">
        <v>5362</v>
      </c>
      <c r="X98" s="140">
        <v>50</v>
      </c>
    </row>
    <row r="99" spans="1:24" ht="15" thickBot="1" x14ac:dyDescent="0.35">
      <c r="A99" s="63">
        <f t="shared" ref="A99:H99" si="19">A97-A98</f>
        <v>0</v>
      </c>
      <c r="B99" s="63">
        <f t="shared" si="19"/>
        <v>0</v>
      </c>
      <c r="C99" s="63">
        <f t="shared" si="19"/>
        <v>0</v>
      </c>
      <c r="D99" s="63">
        <f t="shared" si="19"/>
        <v>0</v>
      </c>
      <c r="E99" s="63">
        <f t="shared" si="19"/>
        <v>0</v>
      </c>
      <c r="F99" s="63">
        <f t="shared" si="19"/>
        <v>0</v>
      </c>
      <c r="G99" s="63">
        <f t="shared" si="19"/>
        <v>0</v>
      </c>
      <c r="H99" s="63">
        <f t="shared" si="19"/>
        <v>0</v>
      </c>
      <c r="I99" s="140"/>
      <c r="K99" s="152">
        <f>K97-K98</f>
        <v>0</v>
      </c>
      <c r="L99" s="152">
        <f>L97-L98</f>
        <v>0</v>
      </c>
      <c r="M99" s="152">
        <f t="shared" ref="M99:X99" si="20">M98-M97</f>
        <v>0</v>
      </c>
      <c r="N99" s="152">
        <f t="shared" si="20"/>
        <v>0</v>
      </c>
      <c r="O99" s="152">
        <f t="shared" si="20"/>
        <v>350</v>
      </c>
      <c r="P99" s="152">
        <f t="shared" si="20"/>
        <v>0</v>
      </c>
      <c r="Q99" s="152">
        <f t="shared" si="20"/>
        <v>0</v>
      </c>
      <c r="R99" s="152">
        <f t="shared" si="20"/>
        <v>0</v>
      </c>
      <c r="S99" s="152">
        <f t="shared" si="20"/>
        <v>0</v>
      </c>
      <c r="T99" s="152">
        <f t="shared" si="20"/>
        <v>0</v>
      </c>
      <c r="U99" s="152">
        <f t="shared" si="20"/>
        <v>0</v>
      </c>
      <c r="V99" s="152">
        <f t="shared" si="20"/>
        <v>0</v>
      </c>
      <c r="W99" s="152">
        <f t="shared" si="20"/>
        <v>0</v>
      </c>
      <c r="X99" s="152">
        <f t="shared" si="20"/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8532-32E2-46EC-8EEA-D4EB0F6B05BD}">
  <dimension ref="A1:X181"/>
  <sheetViews>
    <sheetView topLeftCell="A162" workbookViewId="0">
      <selection activeCell="H180" sqref="H180"/>
    </sheetView>
  </sheetViews>
  <sheetFormatPr defaultRowHeight="14.4" x14ac:dyDescent="0.3"/>
  <cols>
    <col min="1" max="1" width="10.33203125" bestFit="1" customWidth="1"/>
    <col min="2" max="2" width="11" bestFit="1" customWidth="1"/>
    <col min="3" max="7" width="10.33203125" bestFit="1" customWidth="1"/>
    <col min="8" max="8" width="10.33203125" customWidth="1"/>
    <col min="9" max="9" width="10.33203125" bestFit="1" customWidth="1"/>
    <col min="11" max="11" width="9.5546875" customWidth="1"/>
    <col min="12" max="12" width="8.109375" customWidth="1"/>
    <col min="13" max="13" width="11.5546875" customWidth="1"/>
    <col min="14" max="14" width="9.21875" customWidth="1"/>
    <col min="15" max="15" width="12" customWidth="1"/>
    <col min="16" max="16" width="10.109375" customWidth="1"/>
    <col min="17" max="17" width="11.5546875" customWidth="1"/>
    <col min="18" max="18" width="10" customWidth="1"/>
    <col min="19" max="19" width="11.6640625" customWidth="1"/>
    <col min="20" max="20" width="9.6640625" customWidth="1"/>
    <col min="21" max="21" width="11.44140625" customWidth="1"/>
    <col min="22" max="22" width="10.6640625" bestFit="1" customWidth="1"/>
    <col min="23" max="23" width="11.44140625" customWidth="1"/>
    <col min="24" max="24" width="10.6640625" bestFit="1" customWidth="1"/>
  </cols>
  <sheetData>
    <row r="1" spans="1:24" x14ac:dyDescent="0.3">
      <c r="A1" s="157">
        <v>46113</v>
      </c>
      <c r="B1" s="157">
        <v>46114</v>
      </c>
      <c r="C1" s="157">
        <v>46115</v>
      </c>
      <c r="D1" s="157">
        <v>278</v>
      </c>
      <c r="E1" s="157">
        <v>46117</v>
      </c>
      <c r="F1" s="157">
        <v>46118</v>
      </c>
      <c r="G1" s="157">
        <v>46119</v>
      </c>
      <c r="H1" s="157"/>
      <c r="I1" s="13" t="s">
        <v>8</v>
      </c>
      <c r="K1" s="59">
        <v>46113</v>
      </c>
      <c r="L1" s="59"/>
      <c r="M1" s="59">
        <f>K1+1</f>
        <v>46114</v>
      </c>
      <c r="N1" s="59"/>
      <c r="O1" s="59">
        <f>M1+1</f>
        <v>46115</v>
      </c>
      <c r="P1" s="59"/>
      <c r="Q1" s="59">
        <f>O1+1</f>
        <v>46116</v>
      </c>
      <c r="R1" s="59"/>
      <c r="S1" s="59">
        <f>Q1+1</f>
        <v>46117</v>
      </c>
      <c r="T1" s="59"/>
      <c r="U1" s="59">
        <f>S1+1</f>
        <v>46118</v>
      </c>
      <c r="V1" s="59"/>
      <c r="W1" s="59">
        <f>U1+1</f>
        <v>46119</v>
      </c>
      <c r="X1" s="59"/>
    </row>
    <row r="2" spans="1:24" ht="15" thickBot="1" x14ac:dyDescent="0.35">
      <c r="A2" s="22">
        <v>330</v>
      </c>
      <c r="B2" s="22">
        <v>320</v>
      </c>
      <c r="C2" s="22">
        <v>180</v>
      </c>
      <c r="D2" s="22">
        <v>280</v>
      </c>
      <c r="E2" s="22">
        <v>480</v>
      </c>
      <c r="F2" s="22">
        <v>264</v>
      </c>
      <c r="G2" s="22">
        <v>230</v>
      </c>
      <c r="H2" s="15"/>
      <c r="I2" s="15">
        <v>3012.8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 t="s">
        <v>10</v>
      </c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43" t="s">
        <v>11</v>
      </c>
    </row>
    <row r="3" spans="1:24" x14ac:dyDescent="0.3">
      <c r="A3" s="22">
        <v>720</v>
      </c>
      <c r="B3" s="22">
        <v>1080</v>
      </c>
      <c r="C3" s="22">
        <v>1440</v>
      </c>
      <c r="D3" s="22">
        <v>805</v>
      </c>
      <c r="E3" s="22"/>
      <c r="F3" s="22">
        <v>1320</v>
      </c>
      <c r="G3" s="22">
        <v>1150</v>
      </c>
      <c r="H3" s="15"/>
      <c r="I3" s="15">
        <v>4455.3999999999996</v>
      </c>
      <c r="K3" s="75">
        <v>30</v>
      </c>
      <c r="L3" s="76">
        <v>39.9</v>
      </c>
      <c r="M3" s="77">
        <v>310</v>
      </c>
      <c r="N3" s="77">
        <v>15</v>
      </c>
      <c r="O3" s="77">
        <v>290</v>
      </c>
      <c r="P3" s="77">
        <v>15</v>
      </c>
      <c r="Q3" s="77">
        <v>39</v>
      </c>
      <c r="R3" s="77">
        <v>15</v>
      </c>
      <c r="S3" s="77">
        <v>80</v>
      </c>
      <c r="T3" s="40">
        <v>15</v>
      </c>
      <c r="U3" s="77">
        <v>360</v>
      </c>
      <c r="V3" s="63">
        <v>15</v>
      </c>
      <c r="W3" s="77">
        <v>340</v>
      </c>
      <c r="X3" s="77">
        <v>15</v>
      </c>
    </row>
    <row r="4" spans="1:24" x14ac:dyDescent="0.3">
      <c r="A4" s="22">
        <v>1198.29</v>
      </c>
      <c r="B4" s="44">
        <v>1198.29</v>
      </c>
      <c r="C4" s="22"/>
      <c r="D4" s="22">
        <v>3502.38</v>
      </c>
      <c r="E4" s="46"/>
      <c r="F4" s="22"/>
      <c r="G4" s="22">
        <v>1068.18</v>
      </c>
      <c r="H4" s="15"/>
      <c r="I4" s="15">
        <v>1622.89</v>
      </c>
      <c r="K4" s="75">
        <v>200</v>
      </c>
      <c r="L4" s="76">
        <v>252</v>
      </c>
      <c r="M4" s="77">
        <v>252</v>
      </c>
      <c r="N4" s="43">
        <v>55</v>
      </c>
      <c r="O4" s="77">
        <v>374</v>
      </c>
      <c r="P4" s="43">
        <v>332.5</v>
      </c>
      <c r="Q4" s="43">
        <v>230</v>
      </c>
      <c r="R4" s="80">
        <v>71</v>
      </c>
      <c r="S4" s="43">
        <v>96</v>
      </c>
      <c r="T4" s="27"/>
      <c r="U4" s="77">
        <v>422</v>
      </c>
      <c r="V4" s="22"/>
      <c r="W4" s="77">
        <v>252</v>
      </c>
      <c r="X4" s="43"/>
    </row>
    <row r="5" spans="1:24" x14ac:dyDescent="0.3">
      <c r="A5" s="22"/>
      <c r="B5" s="41"/>
      <c r="C5" s="22"/>
      <c r="D5" s="22"/>
      <c r="E5" s="22"/>
      <c r="F5" s="22"/>
      <c r="G5" s="22"/>
      <c r="H5" s="15"/>
      <c r="I5" s="15">
        <v>4270</v>
      </c>
      <c r="K5" s="75">
        <v>372</v>
      </c>
      <c r="L5" s="76">
        <v>60</v>
      </c>
      <c r="M5" s="77">
        <v>2540</v>
      </c>
      <c r="N5" s="43">
        <v>60</v>
      </c>
      <c r="O5" s="77">
        <v>3810</v>
      </c>
      <c r="P5" s="43"/>
      <c r="Q5" s="43">
        <v>192</v>
      </c>
      <c r="R5" s="84"/>
      <c r="S5" s="43">
        <v>600</v>
      </c>
      <c r="T5" s="27"/>
      <c r="U5" s="77">
        <v>4030</v>
      </c>
      <c r="V5" s="22"/>
      <c r="W5" s="77">
        <v>3020</v>
      </c>
      <c r="X5" s="43"/>
    </row>
    <row r="6" spans="1:24" x14ac:dyDescent="0.3">
      <c r="A6" s="22"/>
      <c r="B6" s="22"/>
      <c r="C6" s="22"/>
      <c r="D6" s="22"/>
      <c r="E6" s="22"/>
      <c r="F6" s="22"/>
      <c r="G6" s="22"/>
      <c r="H6" s="15" t="s">
        <v>9</v>
      </c>
      <c r="I6" s="15">
        <v>848</v>
      </c>
      <c r="K6" s="75">
        <v>4560</v>
      </c>
      <c r="L6" s="76"/>
      <c r="M6" s="77">
        <v>700</v>
      </c>
      <c r="N6" s="43">
        <v>1780</v>
      </c>
      <c r="O6" s="77"/>
      <c r="P6" s="43"/>
      <c r="Q6" s="43">
        <v>1360</v>
      </c>
      <c r="R6" s="43"/>
      <c r="S6" s="43"/>
      <c r="T6" s="27"/>
      <c r="U6" s="77"/>
      <c r="V6" s="22"/>
      <c r="W6" s="43">
        <v>720</v>
      </c>
      <c r="X6" s="43"/>
    </row>
    <row r="7" spans="1:24" x14ac:dyDescent="0.3">
      <c r="A7" s="22"/>
      <c r="B7" s="22"/>
      <c r="C7" s="22"/>
      <c r="D7" s="22"/>
      <c r="E7" s="22"/>
      <c r="F7" s="22"/>
      <c r="G7" s="22"/>
      <c r="H7" s="15"/>
      <c r="I7" s="15">
        <v>2294</v>
      </c>
      <c r="K7" s="75">
        <v>770</v>
      </c>
      <c r="L7" s="76"/>
      <c r="M7" s="43"/>
      <c r="N7" s="43"/>
      <c r="O7" s="77"/>
      <c r="P7" s="43"/>
      <c r="Q7" s="43">
        <v>1460</v>
      </c>
      <c r="R7" s="43"/>
      <c r="S7" s="43"/>
      <c r="T7" s="27"/>
      <c r="U7" s="43"/>
      <c r="V7" s="22"/>
      <c r="W7" s="43"/>
      <c r="X7" s="43"/>
    </row>
    <row r="8" spans="1:24" x14ac:dyDescent="0.3">
      <c r="A8" s="22"/>
      <c r="B8" s="22"/>
      <c r="C8" s="22" t="s">
        <v>14</v>
      </c>
      <c r="D8" s="22"/>
      <c r="E8" s="22"/>
      <c r="F8" s="22"/>
      <c r="G8" s="22"/>
      <c r="H8" s="160"/>
      <c r="I8" s="15">
        <v>6996</v>
      </c>
      <c r="K8" s="21"/>
      <c r="L8" s="76"/>
      <c r="M8" s="43"/>
      <c r="N8" s="43"/>
      <c r="O8" s="77"/>
      <c r="P8" s="43"/>
      <c r="Q8" s="43"/>
      <c r="R8" s="43"/>
      <c r="S8" s="43"/>
      <c r="T8" s="27"/>
      <c r="U8" s="43"/>
      <c r="V8" s="22"/>
      <c r="W8" s="43"/>
      <c r="X8" s="43"/>
    </row>
    <row r="9" spans="1:24" x14ac:dyDescent="0.3">
      <c r="A9" s="22"/>
      <c r="B9" s="22"/>
      <c r="C9" s="22"/>
      <c r="D9" s="22"/>
      <c r="E9" s="22"/>
      <c r="F9" s="22"/>
      <c r="G9" s="22"/>
      <c r="H9" s="65"/>
      <c r="I9" s="15">
        <v>1728</v>
      </c>
      <c r="K9" s="75"/>
      <c r="L9" s="76"/>
      <c r="M9" s="43"/>
      <c r="N9" s="43"/>
      <c r="O9" s="77"/>
      <c r="P9" s="43"/>
      <c r="Q9" s="43"/>
      <c r="R9" s="43"/>
      <c r="S9" s="43"/>
      <c r="T9" s="27"/>
      <c r="U9" s="43"/>
      <c r="V9" s="22"/>
      <c r="W9" s="43"/>
      <c r="X9" s="43"/>
    </row>
    <row r="10" spans="1:24" x14ac:dyDescent="0.3">
      <c r="A10" s="22"/>
      <c r="B10" s="22"/>
      <c r="C10" s="22"/>
      <c r="D10" s="22"/>
      <c r="E10" s="22"/>
      <c r="F10" s="22"/>
      <c r="G10" s="22"/>
      <c r="H10" s="37"/>
      <c r="I10" s="15">
        <v>3352.81</v>
      </c>
      <c r="K10" s="21"/>
      <c r="L10" s="76"/>
      <c r="M10" s="22"/>
      <c r="N10" s="22"/>
      <c r="O10" s="43"/>
      <c r="P10" s="22"/>
      <c r="Q10" s="22"/>
      <c r="R10" s="22"/>
      <c r="S10" s="22"/>
      <c r="T10" s="27"/>
      <c r="U10" s="22"/>
      <c r="V10" s="22"/>
      <c r="W10" s="22"/>
      <c r="X10" s="22"/>
    </row>
    <row r="11" spans="1:24" x14ac:dyDescent="0.3">
      <c r="A11" s="22"/>
      <c r="B11" s="22"/>
      <c r="C11" s="22"/>
      <c r="D11" s="22"/>
      <c r="E11" s="22"/>
      <c r="F11" s="22"/>
      <c r="G11" s="22"/>
      <c r="H11" s="37"/>
      <c r="I11" s="15">
        <v>797</v>
      </c>
      <c r="K11" s="21"/>
      <c r="L11" s="76"/>
      <c r="M11" s="22"/>
      <c r="N11" s="22"/>
      <c r="O11" s="43"/>
      <c r="P11" s="22"/>
      <c r="Q11" s="22"/>
      <c r="R11" s="22"/>
      <c r="S11" s="22"/>
      <c r="T11" s="27"/>
      <c r="U11" s="22"/>
      <c r="V11" s="22"/>
      <c r="W11" s="22"/>
      <c r="X11" s="22"/>
    </row>
    <row r="12" spans="1:24" x14ac:dyDescent="0.3">
      <c r="A12" s="22"/>
      <c r="B12" s="22"/>
      <c r="C12" s="22"/>
      <c r="D12" s="22"/>
      <c r="E12" s="22"/>
      <c r="F12" s="22"/>
      <c r="G12" s="22"/>
      <c r="H12" s="37"/>
      <c r="I12" s="15">
        <v>789</v>
      </c>
      <c r="K12" s="21"/>
      <c r="L12" s="76"/>
      <c r="M12" s="22"/>
      <c r="N12" s="22"/>
      <c r="O12" s="43"/>
      <c r="P12" s="22"/>
      <c r="Q12" s="22"/>
      <c r="R12" s="22"/>
      <c r="S12" s="22"/>
      <c r="T12" s="27"/>
      <c r="U12" s="22"/>
      <c r="V12" s="22"/>
      <c r="W12" s="22"/>
      <c r="X12" s="22"/>
    </row>
    <row r="13" spans="1:24" x14ac:dyDescent="0.3">
      <c r="A13" s="22"/>
      <c r="B13" s="22"/>
      <c r="C13" s="22"/>
      <c r="D13" s="22"/>
      <c r="E13" s="22"/>
      <c r="F13" s="22"/>
      <c r="G13" s="22"/>
      <c r="H13" s="22"/>
      <c r="I13" s="40">
        <v>1320</v>
      </c>
      <c r="K13" s="128"/>
      <c r="L13" s="56"/>
      <c r="M13" s="22"/>
      <c r="N13" s="22"/>
      <c r="O13" s="43"/>
      <c r="P13" s="22"/>
      <c r="Q13" s="22"/>
      <c r="R13" s="22"/>
      <c r="S13" s="22"/>
      <c r="T13" s="27"/>
      <c r="U13" s="22"/>
      <c r="V13" s="22"/>
      <c r="W13" s="22"/>
      <c r="X13" s="22"/>
    </row>
    <row r="14" spans="1:24" ht="15" thickBot="1" x14ac:dyDescent="0.35">
      <c r="A14" s="22"/>
      <c r="B14" s="22"/>
      <c r="C14" s="22"/>
      <c r="D14" s="22"/>
      <c r="E14" s="22" t="s">
        <v>9</v>
      </c>
      <c r="F14" s="22"/>
      <c r="G14" s="22"/>
      <c r="H14" s="22"/>
      <c r="I14" s="27"/>
      <c r="K14" s="24"/>
      <c r="L14" s="56"/>
      <c r="M14" s="22"/>
      <c r="N14" s="22"/>
      <c r="O14" s="43"/>
      <c r="P14" s="22"/>
      <c r="Q14" s="22"/>
      <c r="R14" s="22"/>
      <c r="S14" s="22"/>
      <c r="T14" s="27"/>
      <c r="U14" s="22"/>
      <c r="V14" s="22"/>
      <c r="W14" s="22"/>
      <c r="X14" s="22"/>
    </row>
    <row r="15" spans="1:24" ht="15.6" thickTop="1" thickBot="1" x14ac:dyDescent="0.35">
      <c r="A15" s="22"/>
      <c r="B15" s="22"/>
      <c r="C15" s="22"/>
      <c r="D15" s="22"/>
      <c r="E15" s="22"/>
      <c r="F15" s="22"/>
      <c r="G15" s="22"/>
      <c r="H15" s="22"/>
      <c r="I15" s="132">
        <f>SUM(I2:I14)</f>
        <v>31485.9</v>
      </c>
      <c r="K15" s="24"/>
      <c r="L15" s="56"/>
      <c r="M15" s="22"/>
      <c r="N15" s="22"/>
      <c r="O15" s="43"/>
      <c r="P15" s="22"/>
      <c r="Q15" s="22"/>
      <c r="R15" s="22"/>
      <c r="S15" s="22"/>
      <c r="T15" s="27"/>
      <c r="U15" s="22"/>
      <c r="V15" s="22"/>
      <c r="W15" s="22"/>
      <c r="X15" s="22"/>
    </row>
    <row r="16" spans="1:24" ht="15" thickTop="1" x14ac:dyDescent="0.3">
      <c r="A16" s="22"/>
      <c r="B16" s="22"/>
      <c r="C16" s="22"/>
      <c r="D16" s="22"/>
      <c r="E16" s="22"/>
      <c r="F16" s="22"/>
      <c r="G16" s="22"/>
      <c r="H16" s="22"/>
      <c r="I16" s="27"/>
      <c r="K16" s="24"/>
      <c r="L16" s="22"/>
      <c r="M16" s="22"/>
      <c r="N16" s="22"/>
      <c r="O16" s="22"/>
      <c r="P16" s="22"/>
      <c r="Q16" s="22"/>
      <c r="R16" s="22"/>
      <c r="S16" s="22"/>
      <c r="T16" s="27"/>
      <c r="U16" s="22"/>
      <c r="V16" s="22"/>
      <c r="W16" s="22"/>
      <c r="X16" s="22"/>
    </row>
    <row r="17" spans="1:24" ht="15" thickBot="1" x14ac:dyDescent="0.35">
      <c r="A17" s="140">
        <f t="shared" ref="A17:G17" si="0">SUM(A2:A16)</f>
        <v>2248.29</v>
      </c>
      <c r="B17" s="140">
        <f t="shared" si="0"/>
        <v>2598.29</v>
      </c>
      <c r="C17" s="140">
        <f t="shared" si="0"/>
        <v>1620</v>
      </c>
      <c r="D17" s="140">
        <f t="shared" si="0"/>
        <v>4587.38</v>
      </c>
      <c r="E17" s="140">
        <f t="shared" si="0"/>
        <v>480</v>
      </c>
      <c r="F17" s="140">
        <f t="shared" si="0"/>
        <v>1584</v>
      </c>
      <c r="G17" s="140">
        <f t="shared" si="0"/>
        <v>2448.1800000000003</v>
      </c>
      <c r="H17" s="29">
        <f>SUM(A17:G17)+I15</f>
        <v>47052.04</v>
      </c>
      <c r="I17" s="150" t="s">
        <v>64</v>
      </c>
      <c r="K17" s="140">
        <f t="shared" ref="K17:X17" si="1">SUM(K2:K16)</f>
        <v>5932</v>
      </c>
      <c r="L17" s="140">
        <f t="shared" si="1"/>
        <v>351.9</v>
      </c>
      <c r="M17" s="140">
        <f t="shared" si="1"/>
        <v>3802</v>
      </c>
      <c r="N17" s="140">
        <f t="shared" si="1"/>
        <v>1910</v>
      </c>
      <c r="O17" s="140">
        <f t="shared" si="1"/>
        <v>4474</v>
      </c>
      <c r="P17" s="140">
        <f t="shared" si="1"/>
        <v>347.5</v>
      </c>
      <c r="Q17" s="140">
        <f t="shared" si="1"/>
        <v>3281</v>
      </c>
      <c r="R17" s="140">
        <f t="shared" si="1"/>
        <v>86</v>
      </c>
      <c r="S17" s="140">
        <f t="shared" si="1"/>
        <v>776</v>
      </c>
      <c r="T17" s="140">
        <f t="shared" si="1"/>
        <v>15</v>
      </c>
      <c r="U17" s="140">
        <f t="shared" si="1"/>
        <v>4812</v>
      </c>
      <c r="V17" s="140">
        <f t="shared" si="1"/>
        <v>15</v>
      </c>
      <c r="W17" s="140">
        <f t="shared" si="1"/>
        <v>4332</v>
      </c>
      <c r="X17" s="140">
        <f t="shared" si="1"/>
        <v>15</v>
      </c>
    </row>
    <row r="18" spans="1:24" ht="15" thickBot="1" x14ac:dyDescent="0.35">
      <c r="A18" s="140">
        <v>2248.29</v>
      </c>
      <c r="B18" s="140">
        <v>2598.29</v>
      </c>
      <c r="C18" s="140">
        <v>1620</v>
      </c>
      <c r="D18" s="140">
        <v>4587.38</v>
      </c>
      <c r="E18" s="140">
        <v>480</v>
      </c>
      <c r="F18" s="140">
        <v>1584</v>
      </c>
      <c r="G18" s="140">
        <v>2448.1799999999998</v>
      </c>
      <c r="H18" s="63">
        <f>SUM(A18:G18)+I15</f>
        <v>47052.04</v>
      </c>
      <c r="I18" s="140">
        <v>47052.04</v>
      </c>
      <c r="K18" s="140">
        <v>5932</v>
      </c>
      <c r="L18" s="140">
        <v>351.9</v>
      </c>
      <c r="M18" s="140">
        <v>3802</v>
      </c>
      <c r="N18" s="140">
        <v>1910</v>
      </c>
      <c r="O18" s="140">
        <v>4474</v>
      </c>
      <c r="P18" s="140">
        <v>347.5</v>
      </c>
      <c r="Q18" s="140">
        <v>3281</v>
      </c>
      <c r="R18" s="140">
        <v>86</v>
      </c>
      <c r="S18" s="140">
        <v>776</v>
      </c>
      <c r="T18" s="140">
        <v>15</v>
      </c>
      <c r="U18" s="140">
        <v>4812</v>
      </c>
      <c r="V18" s="140">
        <v>15</v>
      </c>
      <c r="W18" s="140">
        <v>4332</v>
      </c>
      <c r="X18" s="140">
        <v>15</v>
      </c>
    </row>
    <row r="19" spans="1:24" ht="15" thickBot="1" x14ac:dyDescent="0.35">
      <c r="A19" s="63">
        <f t="shared" ref="A19:H19" si="2">A17-A18</f>
        <v>0</v>
      </c>
      <c r="B19" s="63">
        <f t="shared" si="2"/>
        <v>0</v>
      </c>
      <c r="C19" s="63">
        <f t="shared" si="2"/>
        <v>0</v>
      </c>
      <c r="D19" s="63">
        <f t="shared" si="2"/>
        <v>0</v>
      </c>
      <c r="E19" s="63">
        <f t="shared" si="2"/>
        <v>0</v>
      </c>
      <c r="F19" s="63">
        <f t="shared" si="2"/>
        <v>0</v>
      </c>
      <c r="G19" s="63">
        <f t="shared" si="2"/>
        <v>0</v>
      </c>
      <c r="H19" s="63">
        <f t="shared" si="2"/>
        <v>0</v>
      </c>
      <c r="I19" s="140"/>
      <c r="K19" s="152">
        <f>K17-K18</f>
        <v>0</v>
      </c>
      <c r="L19" s="152">
        <f>L17-L18</f>
        <v>0</v>
      </c>
      <c r="M19" s="152">
        <f t="shared" ref="M19:X19" si="3">M18-M17</f>
        <v>0</v>
      </c>
      <c r="N19" s="152">
        <f t="shared" si="3"/>
        <v>0</v>
      </c>
      <c r="O19" s="152">
        <f t="shared" si="3"/>
        <v>0</v>
      </c>
      <c r="P19" s="152">
        <f t="shared" si="3"/>
        <v>0</v>
      </c>
      <c r="Q19" s="152">
        <f t="shared" si="3"/>
        <v>0</v>
      </c>
      <c r="R19" s="152">
        <f t="shared" si="3"/>
        <v>0</v>
      </c>
      <c r="S19" s="152">
        <f t="shared" si="3"/>
        <v>0</v>
      </c>
      <c r="T19" s="152">
        <f t="shared" si="3"/>
        <v>0</v>
      </c>
      <c r="U19" s="152">
        <f t="shared" si="3"/>
        <v>0</v>
      </c>
      <c r="V19" s="152">
        <f t="shared" si="3"/>
        <v>0</v>
      </c>
      <c r="W19" s="152">
        <f t="shared" si="3"/>
        <v>0</v>
      </c>
      <c r="X19" s="152">
        <f t="shared" si="3"/>
        <v>0</v>
      </c>
    </row>
    <row r="20" spans="1:24" ht="15" thickBot="1" x14ac:dyDescent="0.35">
      <c r="A20" t="s">
        <v>9</v>
      </c>
    </row>
    <row r="21" spans="1:24" x14ac:dyDescent="0.3">
      <c r="A21" s="157">
        <v>46120</v>
      </c>
      <c r="B21" s="157">
        <v>46121</v>
      </c>
      <c r="C21" s="157">
        <v>46122</v>
      </c>
      <c r="D21" s="157">
        <v>46123</v>
      </c>
      <c r="E21" s="157">
        <v>46124</v>
      </c>
      <c r="F21" s="157">
        <v>46125</v>
      </c>
      <c r="G21" s="157">
        <v>46126</v>
      </c>
      <c r="H21" s="157"/>
      <c r="I21" s="13" t="s">
        <v>8</v>
      </c>
      <c r="K21" s="59">
        <v>46120</v>
      </c>
      <c r="L21" s="59"/>
      <c r="M21" s="59">
        <f>K21+1</f>
        <v>46121</v>
      </c>
      <c r="N21" s="59"/>
      <c r="O21" s="59">
        <f>M21+1</f>
        <v>46122</v>
      </c>
      <c r="P21" s="59"/>
      <c r="Q21" s="59">
        <f>O21+1</f>
        <v>46123</v>
      </c>
      <c r="R21" s="59"/>
      <c r="S21" s="59">
        <f>Q21+1</f>
        <v>46124</v>
      </c>
      <c r="T21" s="59"/>
      <c r="U21" s="59">
        <f>S21+1</f>
        <v>46125</v>
      </c>
      <c r="V21" s="59"/>
      <c r="W21" s="59">
        <f>U21+1</f>
        <v>46126</v>
      </c>
      <c r="X21" s="59"/>
    </row>
    <row r="22" spans="1:24" ht="15" thickBot="1" x14ac:dyDescent="0.35">
      <c r="A22" s="22">
        <v>364</v>
      </c>
      <c r="B22" s="22">
        <v>220</v>
      </c>
      <c r="C22" s="22">
        <v>250</v>
      </c>
      <c r="D22" s="22">
        <v>210</v>
      </c>
      <c r="E22" s="22">
        <v>10</v>
      </c>
      <c r="F22" s="22">
        <v>1506.43</v>
      </c>
      <c r="G22" s="22">
        <v>1554.35</v>
      </c>
      <c r="H22" s="15"/>
      <c r="I22" s="15">
        <v>2870.54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 t="s">
        <v>10</v>
      </c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1105</v>
      </c>
      <c r="B23" s="22">
        <v>1200</v>
      </c>
      <c r="C23" s="22">
        <v>1775</v>
      </c>
      <c r="D23" s="22">
        <v>1200</v>
      </c>
      <c r="E23" s="22">
        <v>560</v>
      </c>
      <c r="F23" s="22">
        <v>1685</v>
      </c>
      <c r="G23" s="22">
        <v>1260</v>
      </c>
      <c r="H23" s="15"/>
      <c r="I23" s="15">
        <v>4811.46</v>
      </c>
      <c r="K23" s="75">
        <v>230</v>
      </c>
      <c r="L23" s="76">
        <v>15</v>
      </c>
      <c r="M23" s="77">
        <v>440</v>
      </c>
      <c r="O23" s="77">
        <v>4900</v>
      </c>
      <c r="P23" s="77">
        <v>15</v>
      </c>
      <c r="Q23" s="77">
        <v>2070</v>
      </c>
      <c r="R23" s="77">
        <v>15</v>
      </c>
      <c r="S23" s="77">
        <v>80</v>
      </c>
      <c r="T23" s="40">
        <v>15</v>
      </c>
      <c r="U23" s="77">
        <v>360</v>
      </c>
      <c r="V23" s="63">
        <v>60</v>
      </c>
      <c r="W23" s="77">
        <v>770</v>
      </c>
      <c r="X23" s="77">
        <v>15</v>
      </c>
    </row>
    <row r="24" spans="1:24" x14ac:dyDescent="0.3">
      <c r="A24" s="22">
        <v>1506.43</v>
      </c>
      <c r="B24" s="44">
        <v>1718.73</v>
      </c>
      <c r="C24" s="22">
        <v>1506.43</v>
      </c>
      <c r="D24" s="22">
        <v>2465.83</v>
      </c>
      <c r="E24" s="46"/>
      <c r="F24" s="22">
        <v>230</v>
      </c>
      <c r="G24" s="22">
        <v>295</v>
      </c>
      <c r="H24" s="15"/>
      <c r="I24" s="15">
        <v>4300</v>
      </c>
      <c r="K24" s="75">
        <v>398</v>
      </c>
      <c r="L24" s="76">
        <v>60</v>
      </c>
      <c r="M24" s="77">
        <v>252</v>
      </c>
      <c r="O24" s="43">
        <v>290</v>
      </c>
      <c r="P24" s="43"/>
      <c r="Q24" s="43">
        <v>378</v>
      </c>
      <c r="R24" s="80">
        <v>190</v>
      </c>
      <c r="S24" s="43">
        <v>690</v>
      </c>
      <c r="T24" s="27"/>
      <c r="U24" s="77">
        <v>5240</v>
      </c>
      <c r="V24" s="22">
        <v>15</v>
      </c>
      <c r="W24" s="77">
        <v>3310</v>
      </c>
      <c r="X24" s="43">
        <v>300</v>
      </c>
    </row>
    <row r="25" spans="1:24" x14ac:dyDescent="0.3">
      <c r="A25" s="22"/>
      <c r="B25" s="41"/>
      <c r="C25" s="22"/>
      <c r="D25" s="22"/>
      <c r="E25" s="22"/>
      <c r="F25" s="22"/>
      <c r="G25" s="22"/>
      <c r="H25" s="15"/>
      <c r="I25" s="15">
        <v>848</v>
      </c>
      <c r="K25" s="75">
        <v>4770</v>
      </c>
      <c r="L25" s="76">
        <v>200</v>
      </c>
      <c r="M25" s="77">
        <v>3170</v>
      </c>
      <c r="O25" s="43">
        <v>770</v>
      </c>
      <c r="P25" s="43"/>
      <c r="Q25" s="43">
        <v>120</v>
      </c>
      <c r="R25" s="84"/>
      <c r="S25" s="43">
        <v>122</v>
      </c>
      <c r="T25" s="27"/>
      <c r="U25" s="77">
        <v>545</v>
      </c>
      <c r="V25" s="22">
        <v>1875</v>
      </c>
      <c r="W25" s="77">
        <v>360</v>
      </c>
      <c r="X25" s="43">
        <v>1020</v>
      </c>
    </row>
    <row r="26" spans="1:24" x14ac:dyDescent="0.3">
      <c r="A26" s="22"/>
      <c r="B26" s="22"/>
      <c r="C26" s="22"/>
      <c r="D26" s="22"/>
      <c r="E26" s="22"/>
      <c r="F26" s="22"/>
      <c r="G26" s="22"/>
      <c r="H26" s="15"/>
      <c r="I26" s="15">
        <v>2444</v>
      </c>
      <c r="K26" s="75">
        <v>770</v>
      </c>
      <c r="L26" s="76"/>
      <c r="M26" s="77">
        <v>1050</v>
      </c>
      <c r="N26" s="43"/>
      <c r="O26" s="77">
        <v>432</v>
      </c>
      <c r="P26" s="43"/>
      <c r="Q26" s="43">
        <v>32</v>
      </c>
      <c r="R26" s="43"/>
      <c r="S26" s="43"/>
      <c r="T26" s="27"/>
      <c r="U26" s="77">
        <v>1350</v>
      </c>
      <c r="V26" s="22"/>
      <c r="W26" s="43">
        <v>182</v>
      </c>
      <c r="X26" s="43"/>
    </row>
    <row r="27" spans="1:24" x14ac:dyDescent="0.3">
      <c r="A27" s="22"/>
      <c r="B27" s="22"/>
      <c r="C27" s="22"/>
      <c r="D27" s="22"/>
      <c r="E27" s="22"/>
      <c r="F27" s="22"/>
      <c r="G27" s="22"/>
      <c r="H27" s="15"/>
      <c r="I27" s="15">
        <v>6360</v>
      </c>
      <c r="K27" s="75"/>
      <c r="L27" s="76"/>
      <c r="M27" s="43"/>
      <c r="N27" s="43"/>
      <c r="O27" s="77"/>
      <c r="P27" s="43"/>
      <c r="Q27" s="43"/>
      <c r="R27" s="43"/>
      <c r="S27" s="43"/>
      <c r="T27" s="27"/>
      <c r="U27" s="43"/>
      <c r="V27" s="22"/>
      <c r="W27" s="43"/>
      <c r="X27" s="43"/>
    </row>
    <row r="28" spans="1:24" x14ac:dyDescent="0.3">
      <c r="A28" s="22"/>
      <c r="B28" s="22"/>
      <c r="C28" s="22"/>
      <c r="D28" s="22"/>
      <c r="E28" s="22"/>
      <c r="F28" s="22"/>
      <c r="G28" s="22"/>
      <c r="H28" s="160"/>
      <c r="I28" s="15">
        <v>1728</v>
      </c>
      <c r="K28" s="21"/>
      <c r="L28" s="76"/>
      <c r="M28" s="43"/>
      <c r="N28" s="43"/>
      <c r="O28" s="77"/>
      <c r="P28" s="43"/>
      <c r="Q28" s="43"/>
      <c r="R28" s="43"/>
      <c r="S28" s="43"/>
      <c r="T28" s="27"/>
      <c r="U28" s="43"/>
      <c r="V28" s="22"/>
      <c r="W28" s="43"/>
      <c r="X28" s="43"/>
    </row>
    <row r="29" spans="1:24" x14ac:dyDescent="0.3">
      <c r="A29" s="22"/>
      <c r="B29" s="22"/>
      <c r="C29" s="22"/>
      <c r="D29" s="22"/>
      <c r="E29" s="22"/>
      <c r="F29" s="22"/>
      <c r="G29" s="22"/>
      <c r="H29" s="65"/>
      <c r="I29" s="15">
        <v>1414.63</v>
      </c>
      <c r="K29" s="75"/>
      <c r="L29" s="76"/>
      <c r="M29" s="43"/>
      <c r="N29" s="43"/>
      <c r="O29" s="77"/>
      <c r="P29" s="43"/>
      <c r="Q29" s="43"/>
      <c r="R29" s="43"/>
      <c r="S29" s="43"/>
      <c r="T29" s="27"/>
      <c r="U29" s="43"/>
      <c r="V29" s="22"/>
      <c r="W29" s="43"/>
      <c r="X29" s="43"/>
    </row>
    <row r="30" spans="1:24" x14ac:dyDescent="0.3">
      <c r="A30" s="22"/>
      <c r="B30" s="22"/>
      <c r="C30" s="22"/>
      <c r="D30" s="22"/>
      <c r="E30" s="22"/>
      <c r="F30" s="22"/>
      <c r="G30" s="22"/>
      <c r="H30" s="37"/>
      <c r="I30" s="15">
        <v>801</v>
      </c>
      <c r="K30" s="21"/>
      <c r="L30" s="76"/>
      <c r="M30" s="22"/>
      <c r="N30" s="22"/>
      <c r="O30" s="43"/>
      <c r="P30" s="22"/>
      <c r="Q30" s="22"/>
      <c r="R30" s="22"/>
      <c r="S30" s="22"/>
      <c r="T30" s="27"/>
      <c r="U30" s="22"/>
      <c r="V30" s="22"/>
      <c r="W30" s="22"/>
      <c r="X30" s="22"/>
    </row>
    <row r="31" spans="1:24" x14ac:dyDescent="0.3">
      <c r="A31" s="22"/>
      <c r="B31" s="22"/>
      <c r="C31" s="22"/>
      <c r="D31" s="22"/>
      <c r="E31" s="22"/>
      <c r="F31" s="22"/>
      <c r="G31" s="22"/>
      <c r="H31" s="37"/>
      <c r="I31" s="15">
        <v>929</v>
      </c>
      <c r="K31" s="21"/>
      <c r="L31" s="76"/>
      <c r="M31" s="22"/>
      <c r="N31" s="22"/>
      <c r="O31" s="43"/>
      <c r="P31" s="22"/>
      <c r="Q31" s="22"/>
      <c r="R31" s="22"/>
      <c r="S31" s="22"/>
      <c r="T31" s="27"/>
      <c r="U31" s="22"/>
      <c r="V31" s="22"/>
      <c r="W31" s="22"/>
      <c r="X31" s="22"/>
    </row>
    <row r="32" spans="1:24" x14ac:dyDescent="0.3">
      <c r="A32" s="22"/>
      <c r="B32" s="22"/>
      <c r="C32" s="22"/>
      <c r="D32" s="22"/>
      <c r="E32" s="22"/>
      <c r="F32" s="22"/>
      <c r="G32" s="22"/>
      <c r="H32" s="37"/>
      <c r="I32" s="15"/>
      <c r="K32" s="21"/>
      <c r="L32" s="76"/>
      <c r="M32" s="22"/>
      <c r="N32" s="22"/>
      <c r="O32" s="43"/>
      <c r="P32" s="22"/>
      <c r="Q32" s="22"/>
      <c r="R32" s="22"/>
      <c r="S32" s="22"/>
      <c r="T32" s="27"/>
      <c r="U32" s="22"/>
      <c r="V32" s="22"/>
      <c r="W32" s="22"/>
      <c r="X32" s="22"/>
    </row>
    <row r="33" spans="1:24" ht="15" thickBot="1" x14ac:dyDescent="0.35">
      <c r="A33" s="140"/>
      <c r="B33" s="22"/>
      <c r="C33" s="22"/>
      <c r="D33" s="22"/>
      <c r="E33" s="22"/>
      <c r="F33" s="22"/>
      <c r="G33" s="22"/>
      <c r="H33" s="22"/>
      <c r="I33" s="40"/>
      <c r="K33" s="128"/>
      <c r="L33" s="56"/>
      <c r="M33" s="22"/>
      <c r="N33" s="22"/>
      <c r="O33" s="43"/>
      <c r="P33" s="22"/>
      <c r="Q33" s="22"/>
      <c r="R33" s="22"/>
      <c r="S33" s="22"/>
      <c r="T33" s="27"/>
      <c r="U33" s="22"/>
      <c r="V33" s="22"/>
      <c r="W33" s="22"/>
      <c r="X33" s="22"/>
    </row>
    <row r="34" spans="1:24" ht="15" thickBot="1" x14ac:dyDescent="0.35">
      <c r="A34" s="22"/>
      <c r="B34" s="22"/>
      <c r="C34" s="22"/>
      <c r="D34" s="22"/>
      <c r="E34" s="22"/>
      <c r="F34" s="22"/>
      <c r="G34" s="22"/>
      <c r="H34" s="22"/>
      <c r="I34" s="27"/>
      <c r="K34" s="24"/>
      <c r="L34" s="56"/>
      <c r="M34" s="22"/>
      <c r="N34" s="22" t="s">
        <v>9</v>
      </c>
      <c r="O34" s="43"/>
      <c r="P34" s="22"/>
      <c r="Q34" s="22"/>
      <c r="R34" s="22"/>
      <c r="S34" s="22"/>
      <c r="T34" s="27"/>
      <c r="U34" s="22"/>
      <c r="V34" s="22"/>
      <c r="W34" s="22"/>
      <c r="X34" s="22"/>
    </row>
    <row r="35" spans="1:24" ht="15.6" thickTop="1" thickBot="1" x14ac:dyDescent="0.35">
      <c r="A35" s="22"/>
      <c r="B35" s="22"/>
      <c r="C35" s="22"/>
      <c r="D35" s="22"/>
      <c r="E35" s="22"/>
      <c r="F35" s="22"/>
      <c r="G35" s="22"/>
      <c r="H35" s="22"/>
      <c r="I35" s="132">
        <f>SUM(I22:I34)</f>
        <v>26506.63</v>
      </c>
      <c r="K35" s="24"/>
      <c r="L35" s="56"/>
      <c r="M35" s="22"/>
      <c r="N35" s="22"/>
      <c r="O35" s="43"/>
      <c r="P35" s="22"/>
      <c r="Q35" s="22"/>
      <c r="R35" s="22"/>
      <c r="S35" s="22"/>
      <c r="T35" s="27"/>
      <c r="U35" s="22"/>
      <c r="V35" s="22"/>
      <c r="W35" s="22"/>
      <c r="X35" s="22"/>
    </row>
    <row r="36" spans="1:24" ht="15" thickTop="1" x14ac:dyDescent="0.3">
      <c r="A36" s="22"/>
      <c r="B36" s="22"/>
      <c r="C36" s="22"/>
      <c r="D36" s="22"/>
      <c r="E36" s="22"/>
      <c r="F36" s="22"/>
      <c r="G36" s="22"/>
      <c r="H36" s="22"/>
      <c r="I36" s="27"/>
      <c r="K36" s="24"/>
      <c r="L36" s="22"/>
      <c r="M36" s="22"/>
      <c r="N36" s="22"/>
      <c r="O36" s="22"/>
      <c r="P36" s="22"/>
      <c r="Q36" s="22"/>
      <c r="R36" s="22"/>
      <c r="S36" s="22"/>
      <c r="T36" s="27"/>
      <c r="U36" s="22"/>
      <c r="V36" s="22"/>
      <c r="W36" s="22"/>
      <c r="X36" s="22"/>
    </row>
    <row r="37" spans="1:24" ht="15" thickBot="1" x14ac:dyDescent="0.35">
      <c r="A37" s="140">
        <f t="shared" ref="A37:G37" si="4">SUM(A22:A36)</f>
        <v>2975.4300000000003</v>
      </c>
      <c r="B37" s="140">
        <f t="shared" si="4"/>
        <v>3138.73</v>
      </c>
      <c r="C37" s="140">
        <f t="shared" si="4"/>
        <v>3531.4300000000003</v>
      </c>
      <c r="D37" s="140">
        <f t="shared" si="4"/>
        <v>3875.83</v>
      </c>
      <c r="E37" s="140">
        <f t="shared" si="4"/>
        <v>570</v>
      </c>
      <c r="F37" s="140">
        <f t="shared" si="4"/>
        <v>3421.4300000000003</v>
      </c>
      <c r="G37" s="140">
        <f t="shared" si="4"/>
        <v>3109.35</v>
      </c>
      <c r="H37" s="29">
        <f>SUM(A37:G37)+I35</f>
        <v>47128.83</v>
      </c>
      <c r="I37" s="150" t="s">
        <v>64</v>
      </c>
      <c r="K37" s="140">
        <f t="shared" ref="K37:X37" si="5">SUM(K22:K36)</f>
        <v>6168</v>
      </c>
      <c r="L37" s="140">
        <f t="shared" si="5"/>
        <v>275</v>
      </c>
      <c r="M37" s="140">
        <f t="shared" si="5"/>
        <v>4912</v>
      </c>
      <c r="N37" s="140">
        <f t="shared" si="5"/>
        <v>0</v>
      </c>
      <c r="O37" s="140">
        <f t="shared" si="5"/>
        <v>6392</v>
      </c>
      <c r="P37" s="140">
        <f t="shared" si="5"/>
        <v>15</v>
      </c>
      <c r="Q37" s="140">
        <f t="shared" si="5"/>
        <v>2600</v>
      </c>
      <c r="R37" s="140">
        <f t="shared" si="5"/>
        <v>205</v>
      </c>
      <c r="S37" s="140">
        <f t="shared" si="5"/>
        <v>892</v>
      </c>
      <c r="T37" s="140">
        <f t="shared" si="5"/>
        <v>15</v>
      </c>
      <c r="U37" s="140">
        <f t="shared" si="5"/>
        <v>7495</v>
      </c>
      <c r="V37" s="140">
        <f t="shared" si="5"/>
        <v>1950</v>
      </c>
      <c r="W37" s="140">
        <f t="shared" si="5"/>
        <v>4622</v>
      </c>
      <c r="X37" s="140">
        <f t="shared" si="5"/>
        <v>1335</v>
      </c>
    </row>
    <row r="38" spans="1:24" ht="15" thickBot="1" x14ac:dyDescent="0.35">
      <c r="A38" s="140">
        <v>2975.43</v>
      </c>
      <c r="B38" s="140">
        <v>3138.73</v>
      </c>
      <c r="C38" s="140">
        <v>3531.43</v>
      </c>
      <c r="D38" s="140">
        <v>3875.83</v>
      </c>
      <c r="E38" s="140">
        <v>570</v>
      </c>
      <c r="F38" s="140">
        <v>3421.43</v>
      </c>
      <c r="G38" s="140">
        <v>3109.35</v>
      </c>
      <c r="H38" s="140">
        <f>SUM(A38:G38)+I35</f>
        <v>47128.83</v>
      </c>
      <c r="I38" s="140"/>
      <c r="K38" s="140">
        <v>6168</v>
      </c>
      <c r="L38" s="140">
        <v>275</v>
      </c>
      <c r="M38" s="140">
        <v>4882</v>
      </c>
      <c r="N38" s="140">
        <v>15</v>
      </c>
      <c r="O38" s="140">
        <v>6392</v>
      </c>
      <c r="P38" s="140">
        <v>15</v>
      </c>
      <c r="Q38" s="140">
        <v>2600</v>
      </c>
      <c r="R38" s="140">
        <v>205</v>
      </c>
      <c r="S38" s="140">
        <v>892</v>
      </c>
      <c r="T38" s="140">
        <v>15</v>
      </c>
      <c r="U38" s="140">
        <v>7495</v>
      </c>
      <c r="V38" s="140">
        <v>1950</v>
      </c>
      <c r="W38" s="140">
        <v>4622</v>
      </c>
      <c r="X38" s="140">
        <v>1335</v>
      </c>
    </row>
    <row r="39" spans="1:24" ht="15" thickBot="1" x14ac:dyDescent="0.35">
      <c r="A39" s="63">
        <f t="shared" ref="A39:H39" si="6">A37-A38</f>
        <v>0</v>
      </c>
      <c r="B39" s="63">
        <f t="shared" si="6"/>
        <v>0</v>
      </c>
      <c r="C39" s="63">
        <f t="shared" si="6"/>
        <v>0</v>
      </c>
      <c r="D39" s="63">
        <f t="shared" si="6"/>
        <v>0</v>
      </c>
      <c r="E39" s="63">
        <f t="shared" si="6"/>
        <v>0</v>
      </c>
      <c r="F39" s="63">
        <f t="shared" si="6"/>
        <v>0</v>
      </c>
      <c r="G39" s="63">
        <f t="shared" si="6"/>
        <v>0</v>
      </c>
      <c r="H39" s="63">
        <f t="shared" si="6"/>
        <v>0</v>
      </c>
      <c r="I39" s="63">
        <f>SUM(B39:H39)+J36</f>
        <v>0</v>
      </c>
      <c r="K39" s="152">
        <f>K37-K38</f>
        <v>0</v>
      </c>
      <c r="L39" s="152">
        <f>L37-L38</f>
        <v>0</v>
      </c>
      <c r="M39" s="152">
        <f t="shared" ref="M39:X39" si="7">M38-M37</f>
        <v>-30</v>
      </c>
      <c r="N39" s="152">
        <f t="shared" si="7"/>
        <v>15</v>
      </c>
      <c r="O39" s="152">
        <f t="shared" si="7"/>
        <v>0</v>
      </c>
      <c r="P39" s="152">
        <f t="shared" si="7"/>
        <v>0</v>
      </c>
      <c r="Q39" s="152">
        <f t="shared" si="7"/>
        <v>0</v>
      </c>
      <c r="R39" s="152">
        <f t="shared" si="7"/>
        <v>0</v>
      </c>
      <c r="S39" s="152">
        <f t="shared" si="7"/>
        <v>0</v>
      </c>
      <c r="T39" s="152">
        <f t="shared" si="7"/>
        <v>0</v>
      </c>
      <c r="U39" s="152">
        <f t="shared" si="7"/>
        <v>0</v>
      </c>
      <c r="V39" s="152">
        <f t="shared" si="7"/>
        <v>0</v>
      </c>
      <c r="W39" s="152">
        <f t="shared" si="7"/>
        <v>0</v>
      </c>
      <c r="X39" s="152">
        <f t="shared" si="7"/>
        <v>0</v>
      </c>
    </row>
    <row r="40" spans="1:24" ht="15" thickBot="1" x14ac:dyDescent="0.35"/>
    <row r="41" spans="1:24" x14ac:dyDescent="0.3">
      <c r="A41" s="157">
        <v>46127</v>
      </c>
      <c r="B41" s="157">
        <f>A41+1</f>
        <v>46128</v>
      </c>
      <c r="C41" s="157">
        <f t="shared" ref="C41:G41" si="8">B41+1</f>
        <v>46129</v>
      </c>
      <c r="D41" s="157">
        <f t="shared" si="8"/>
        <v>46130</v>
      </c>
      <c r="E41" s="157">
        <f t="shared" si="8"/>
        <v>46131</v>
      </c>
      <c r="F41" s="157">
        <f t="shared" si="8"/>
        <v>46132</v>
      </c>
      <c r="G41" s="157">
        <f t="shared" si="8"/>
        <v>46133</v>
      </c>
      <c r="H41" s="157"/>
      <c r="I41" s="13" t="s">
        <v>8</v>
      </c>
      <c r="K41" s="59">
        <v>46127</v>
      </c>
      <c r="L41" s="59"/>
      <c r="M41" s="59">
        <f>K41+1</f>
        <v>46128</v>
      </c>
      <c r="N41" s="59"/>
      <c r="O41" s="59">
        <f>M41+1</f>
        <v>46129</v>
      </c>
      <c r="P41" s="59"/>
      <c r="Q41" s="59">
        <f>O41+1</f>
        <v>46130</v>
      </c>
      <c r="R41" s="59"/>
      <c r="S41" s="59">
        <f>Q41+1</f>
        <v>46131</v>
      </c>
      <c r="T41" s="59"/>
      <c r="U41" s="59">
        <f>S41+1</f>
        <v>46132</v>
      </c>
      <c r="V41" s="59"/>
      <c r="W41" s="59">
        <f>U41+1</f>
        <v>46133</v>
      </c>
      <c r="X41" s="59"/>
    </row>
    <row r="42" spans="1:24" ht="15" thickBot="1" x14ac:dyDescent="0.35">
      <c r="A42" s="22">
        <v>364</v>
      </c>
      <c r="B42" s="22">
        <v>185</v>
      </c>
      <c r="C42" s="22">
        <v>270</v>
      </c>
      <c r="D42" s="22">
        <v>1190</v>
      </c>
      <c r="E42" s="22">
        <v>455</v>
      </c>
      <c r="F42" s="22">
        <v>1198.29</v>
      </c>
      <c r="G42" s="22">
        <v>1458.51</v>
      </c>
      <c r="H42" s="160"/>
      <c r="I42" s="15">
        <v>3012.8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 t="s">
        <v>10</v>
      </c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2">
        <v>1200</v>
      </c>
      <c r="B43" s="22">
        <v>1065</v>
      </c>
      <c r="C43" s="22">
        <v>960</v>
      </c>
      <c r="D43" s="22">
        <v>1589.33</v>
      </c>
      <c r="E43" s="22"/>
      <c r="F43" s="22">
        <v>1345</v>
      </c>
      <c r="G43" s="22">
        <v>1000</v>
      </c>
      <c r="H43" s="65"/>
      <c r="I43" s="15">
        <v>6235.7</v>
      </c>
      <c r="K43" s="24">
        <v>250</v>
      </c>
      <c r="L43" s="56">
        <v>15</v>
      </c>
      <c r="M43" s="22">
        <v>370</v>
      </c>
      <c r="N43" s="22">
        <v>15</v>
      </c>
      <c r="O43" s="43">
        <v>260</v>
      </c>
      <c r="P43" s="22">
        <v>44</v>
      </c>
      <c r="Q43" s="22">
        <v>2770</v>
      </c>
      <c r="R43" s="22">
        <v>213</v>
      </c>
      <c r="S43" s="22">
        <v>80</v>
      </c>
      <c r="T43" s="37">
        <v>15</v>
      </c>
      <c r="U43" s="22">
        <v>930</v>
      </c>
      <c r="V43" s="22">
        <v>15</v>
      </c>
      <c r="W43" s="22">
        <v>1060</v>
      </c>
      <c r="X43" s="22">
        <v>15</v>
      </c>
    </row>
    <row r="44" spans="1:24" x14ac:dyDescent="0.3">
      <c r="A44" s="22">
        <v>1246.21</v>
      </c>
      <c r="B44" s="44">
        <v>1458.51</v>
      </c>
      <c r="C44" s="22">
        <v>1458.51</v>
      </c>
      <c r="D44" s="22">
        <v>260</v>
      </c>
      <c r="E44" s="46"/>
      <c r="F44" s="22">
        <v>170</v>
      </c>
      <c r="G44" s="22">
        <v>255</v>
      </c>
      <c r="H44" s="160"/>
      <c r="I44" s="15">
        <v>260.22000000000003</v>
      </c>
      <c r="K44" s="24">
        <v>490</v>
      </c>
      <c r="L44" s="56"/>
      <c r="M44" s="22">
        <v>278</v>
      </c>
      <c r="N44" s="22"/>
      <c r="O44" s="43">
        <v>182</v>
      </c>
      <c r="P44" s="22">
        <v>15</v>
      </c>
      <c r="Q44" s="22">
        <v>422</v>
      </c>
      <c r="R44" s="22">
        <v>60</v>
      </c>
      <c r="S44" s="22">
        <v>620</v>
      </c>
      <c r="T44" s="37"/>
      <c r="U44" s="22">
        <v>4430</v>
      </c>
      <c r="V44" s="22"/>
      <c r="W44" s="22">
        <v>3220</v>
      </c>
      <c r="X44" s="22"/>
    </row>
    <row r="45" spans="1:24" x14ac:dyDescent="0.3">
      <c r="A45" s="22"/>
      <c r="B45" s="41"/>
      <c r="C45" s="22"/>
      <c r="D45" s="22"/>
      <c r="E45" s="22"/>
      <c r="F45" s="22"/>
      <c r="G45" s="22"/>
      <c r="H45" s="65"/>
      <c r="I45" s="15">
        <v>4100</v>
      </c>
      <c r="K45" s="24">
        <v>4680</v>
      </c>
      <c r="L45" s="56"/>
      <c r="M45" s="22">
        <v>2560</v>
      </c>
      <c r="N45" s="22" t="s">
        <v>9</v>
      </c>
      <c r="O45" s="43">
        <v>3170</v>
      </c>
      <c r="P45" s="22">
        <v>120</v>
      </c>
      <c r="Q45" s="22">
        <v>290</v>
      </c>
      <c r="R45" s="22">
        <v>59</v>
      </c>
      <c r="S45" s="22">
        <v>96</v>
      </c>
      <c r="T45" s="37"/>
      <c r="U45" s="22">
        <v>458</v>
      </c>
      <c r="V45" s="22"/>
      <c r="W45" s="22">
        <v>278</v>
      </c>
      <c r="X45" s="22"/>
    </row>
    <row r="46" spans="1:24" x14ac:dyDescent="0.3">
      <c r="A46" s="22"/>
      <c r="B46" s="22"/>
      <c r="C46" s="22"/>
      <c r="D46" s="22"/>
      <c r="E46" s="22"/>
      <c r="F46" s="22"/>
      <c r="G46" s="22"/>
      <c r="H46" s="160"/>
      <c r="I46" s="15">
        <v>424</v>
      </c>
      <c r="K46" s="24">
        <v>910</v>
      </c>
      <c r="L46" s="56"/>
      <c r="M46" s="22">
        <v>770</v>
      </c>
      <c r="N46" s="22"/>
      <c r="O46" s="43">
        <v>1080</v>
      </c>
      <c r="P46" s="22">
        <v>139.80000000000001</v>
      </c>
      <c r="Q46" s="22">
        <v>26</v>
      </c>
      <c r="R46" s="22"/>
      <c r="S46" s="22"/>
      <c r="T46" s="37"/>
      <c r="U46" s="22">
        <v>320</v>
      </c>
      <c r="V46" s="22"/>
      <c r="W46" s="22">
        <v>340</v>
      </c>
      <c r="X46" s="22"/>
    </row>
    <row r="47" spans="1:24" x14ac:dyDescent="0.3">
      <c r="A47" s="22"/>
      <c r="B47" s="22"/>
      <c r="C47" s="22"/>
      <c r="D47" s="22"/>
      <c r="E47" s="22"/>
      <c r="F47" s="22" t="s">
        <v>9</v>
      </c>
      <c r="G47" s="22"/>
      <c r="H47" s="65"/>
      <c r="I47" s="15">
        <v>1970</v>
      </c>
      <c r="K47" s="24"/>
      <c r="L47" s="56"/>
      <c r="M47" s="22"/>
      <c r="N47" s="22" t="s">
        <v>9</v>
      </c>
      <c r="O47" s="43"/>
      <c r="P47" s="22"/>
      <c r="Q47" s="22"/>
      <c r="R47" s="22"/>
      <c r="S47" s="22"/>
      <c r="T47" s="37"/>
      <c r="U47" s="22">
        <v>32</v>
      </c>
      <c r="V47" s="22"/>
      <c r="W47" s="22"/>
      <c r="X47" s="22"/>
    </row>
    <row r="48" spans="1:24" x14ac:dyDescent="0.3">
      <c r="A48" s="22"/>
      <c r="B48" s="22"/>
      <c r="C48" s="22"/>
      <c r="D48" s="22"/>
      <c r="E48" s="22"/>
      <c r="F48" s="22"/>
      <c r="G48" s="22"/>
      <c r="H48" s="160"/>
      <c r="I48" s="15">
        <v>6360</v>
      </c>
      <c r="K48" s="24"/>
      <c r="L48" s="56"/>
      <c r="M48" s="22"/>
      <c r="N48" s="22" t="s">
        <v>9</v>
      </c>
      <c r="O48" s="43"/>
      <c r="P48" s="22"/>
      <c r="Q48" s="22"/>
      <c r="R48" s="22"/>
      <c r="S48" s="22"/>
      <c r="T48" s="37"/>
      <c r="U48" s="22"/>
      <c r="V48" s="22"/>
      <c r="W48" s="22"/>
      <c r="X48" s="22"/>
    </row>
    <row r="49" spans="1:24" x14ac:dyDescent="0.3">
      <c r="A49" s="22"/>
      <c r="B49" s="22"/>
      <c r="C49" s="22"/>
      <c r="D49" s="22"/>
      <c r="E49" s="22"/>
      <c r="F49" s="22"/>
      <c r="G49" s="22"/>
      <c r="H49" s="65"/>
      <c r="I49" s="15">
        <v>864</v>
      </c>
      <c r="K49" s="24"/>
      <c r="L49" s="56"/>
      <c r="M49" s="22"/>
      <c r="N49" s="22"/>
      <c r="O49" s="43"/>
      <c r="P49" s="22"/>
      <c r="Q49" s="22"/>
      <c r="R49" s="22"/>
      <c r="S49" s="22"/>
      <c r="T49" s="37"/>
      <c r="U49" s="22"/>
      <c r="V49" s="22"/>
      <c r="W49" s="22"/>
      <c r="X49" s="22"/>
    </row>
    <row r="50" spans="1:24" x14ac:dyDescent="0.3">
      <c r="A50" s="22"/>
      <c r="B50" s="22"/>
      <c r="C50" s="22"/>
      <c r="D50" s="22"/>
      <c r="E50" s="22"/>
      <c r="F50" s="22"/>
      <c r="G50" s="22"/>
      <c r="H50" s="160"/>
      <c r="I50" s="15">
        <v>1381.6</v>
      </c>
      <c r="K50" s="24"/>
      <c r="L50" s="56"/>
      <c r="M50" s="22"/>
      <c r="N50" s="22" t="s">
        <v>9</v>
      </c>
      <c r="O50" s="43"/>
      <c r="P50" s="22"/>
      <c r="Q50" s="22"/>
      <c r="R50" s="22"/>
      <c r="S50" s="22"/>
      <c r="T50" s="37"/>
      <c r="U50" s="22"/>
      <c r="V50" s="22"/>
      <c r="W50" s="22"/>
      <c r="X50" s="22"/>
    </row>
    <row r="51" spans="1:24" x14ac:dyDescent="0.3">
      <c r="A51" s="22"/>
      <c r="B51" s="22"/>
      <c r="C51" s="22"/>
      <c r="D51" s="22"/>
      <c r="E51" s="22"/>
      <c r="F51" s="22"/>
      <c r="G51" s="22"/>
      <c r="H51" s="65"/>
      <c r="I51" s="15">
        <v>1079</v>
      </c>
      <c r="K51" s="24"/>
      <c r="L51" s="56"/>
      <c r="M51" s="22"/>
      <c r="N51" s="22"/>
      <c r="O51" s="43"/>
      <c r="P51" s="22"/>
      <c r="Q51" s="22"/>
      <c r="R51" s="22"/>
      <c r="S51" s="22"/>
      <c r="T51" s="37"/>
      <c r="U51" s="22"/>
      <c r="V51" s="22"/>
      <c r="W51" s="22"/>
      <c r="X51" s="22"/>
    </row>
    <row r="52" spans="1:24" x14ac:dyDescent="0.3">
      <c r="A52" s="22"/>
      <c r="B52" s="22"/>
      <c r="C52" s="22"/>
      <c r="D52" s="22"/>
      <c r="E52" s="22"/>
      <c r="F52" s="22"/>
      <c r="G52" s="22"/>
      <c r="H52" s="160"/>
      <c r="I52" s="15">
        <v>927</v>
      </c>
      <c r="K52" s="24"/>
      <c r="L52" s="56"/>
      <c r="M52" s="22"/>
      <c r="N52" s="22" t="s">
        <v>9</v>
      </c>
      <c r="O52" s="43"/>
      <c r="P52" s="22"/>
      <c r="Q52" s="22"/>
      <c r="R52" s="22"/>
      <c r="S52" s="22"/>
      <c r="T52" s="37"/>
      <c r="U52" s="22"/>
      <c r="V52" s="22"/>
      <c r="W52" s="22"/>
      <c r="X52" s="22"/>
    </row>
    <row r="53" spans="1:24" x14ac:dyDescent="0.3">
      <c r="A53" s="22"/>
      <c r="B53" s="22"/>
      <c r="C53" s="22"/>
      <c r="D53" s="22"/>
      <c r="E53" s="22"/>
      <c r="F53" s="22"/>
      <c r="G53" s="22"/>
      <c r="H53" s="65"/>
      <c r="I53" s="40">
        <v>1272</v>
      </c>
      <c r="K53" s="24"/>
      <c r="L53" s="56"/>
      <c r="M53" s="22"/>
      <c r="N53" s="22"/>
      <c r="O53" s="43"/>
      <c r="P53" s="22"/>
      <c r="Q53" s="22"/>
      <c r="R53" s="22"/>
      <c r="S53" s="22"/>
      <c r="T53" s="37"/>
      <c r="U53" s="22"/>
      <c r="V53" s="22"/>
      <c r="W53" s="22"/>
      <c r="X53" s="22"/>
    </row>
    <row r="54" spans="1:24" ht="15" thickBot="1" x14ac:dyDescent="0.35">
      <c r="A54" s="22"/>
      <c r="B54" s="22"/>
      <c r="C54" s="22"/>
      <c r="D54" s="22"/>
      <c r="E54" s="22"/>
      <c r="F54" s="22"/>
      <c r="G54" s="22"/>
      <c r="H54" s="160"/>
      <c r="I54" s="168">
        <f>424+190</f>
        <v>614</v>
      </c>
      <c r="K54" s="24"/>
      <c r="L54" s="56"/>
      <c r="M54" s="22"/>
      <c r="N54" s="22" t="s">
        <v>9</v>
      </c>
      <c r="O54" s="43"/>
      <c r="P54" s="22"/>
      <c r="Q54" s="22"/>
      <c r="R54" s="22"/>
      <c r="S54" s="22"/>
      <c r="T54" s="37"/>
      <c r="U54" s="22"/>
      <c r="V54" s="22"/>
      <c r="W54" s="22"/>
      <c r="X54" s="22"/>
    </row>
    <row r="55" spans="1:24" ht="15.6" thickTop="1" thickBot="1" x14ac:dyDescent="0.35">
      <c r="A55" s="22"/>
      <c r="B55" s="22"/>
      <c r="C55" s="22"/>
      <c r="D55" s="22"/>
      <c r="E55" s="22"/>
      <c r="F55" s="22"/>
      <c r="G55" s="22"/>
      <c r="H55" s="65"/>
      <c r="I55" s="132">
        <f>SUM(I42:I54)</f>
        <v>28500.32</v>
      </c>
      <c r="K55" s="24"/>
      <c r="L55" s="56"/>
      <c r="M55" s="22"/>
      <c r="N55" s="22"/>
      <c r="O55" s="43"/>
      <c r="P55" s="22"/>
      <c r="Q55" s="22"/>
      <c r="R55" s="22"/>
      <c r="S55" s="22"/>
      <c r="T55" s="37"/>
      <c r="U55" s="22"/>
      <c r="V55" s="22"/>
      <c r="W55" s="22"/>
      <c r="X55" s="22"/>
    </row>
    <row r="56" spans="1:24" ht="15.6" thickTop="1" thickBot="1" x14ac:dyDescent="0.35">
      <c r="A56" s="22"/>
      <c r="B56" s="22"/>
      <c r="C56" s="22"/>
      <c r="D56" s="22"/>
      <c r="E56" s="22"/>
      <c r="F56" s="22"/>
      <c r="G56" s="22"/>
      <c r="H56" s="160"/>
      <c r="I56" s="27"/>
      <c r="K56" s="133"/>
      <c r="L56" s="166"/>
      <c r="M56" s="166"/>
      <c r="N56" s="166"/>
      <c r="O56" s="166"/>
      <c r="P56" s="166"/>
      <c r="Q56" s="166"/>
      <c r="R56" s="166"/>
      <c r="S56" s="166"/>
      <c r="T56" s="167"/>
      <c r="U56" s="22"/>
      <c r="V56" s="166"/>
      <c r="W56" s="166"/>
      <c r="X56" s="166"/>
    </row>
    <row r="57" spans="1:24" ht="15" thickBot="1" x14ac:dyDescent="0.35">
      <c r="A57" s="140">
        <f>SUM(A42:A56)</f>
        <v>2810.21</v>
      </c>
      <c r="B57" s="140">
        <f t="shared" ref="B57:G57" si="9">SUM(B42:B56)</f>
        <v>2708.51</v>
      </c>
      <c r="C57" s="140">
        <f t="shared" si="9"/>
        <v>2688.51</v>
      </c>
      <c r="D57" s="140">
        <f t="shared" si="9"/>
        <v>3039.33</v>
      </c>
      <c r="E57" s="140">
        <f t="shared" si="9"/>
        <v>455</v>
      </c>
      <c r="F57" s="140">
        <f t="shared" si="9"/>
        <v>2713.29</v>
      </c>
      <c r="G57" s="140">
        <f t="shared" si="9"/>
        <v>2713.51</v>
      </c>
      <c r="H57" s="29">
        <f>SUM(A57:G57)+I55</f>
        <v>45628.68</v>
      </c>
      <c r="I57" s="150" t="s">
        <v>64</v>
      </c>
      <c r="K57" s="152">
        <f t="shared" ref="K57:X57" si="10">SUM(K42:K56)</f>
        <v>6330</v>
      </c>
      <c r="L57" s="153">
        <f t="shared" si="10"/>
        <v>15</v>
      </c>
      <c r="M57" s="153">
        <f t="shared" si="10"/>
        <v>3978</v>
      </c>
      <c r="N57" s="153">
        <f t="shared" si="10"/>
        <v>15</v>
      </c>
      <c r="O57" s="153">
        <f t="shared" si="10"/>
        <v>4692</v>
      </c>
      <c r="P57" s="153">
        <f t="shared" si="10"/>
        <v>318.8</v>
      </c>
      <c r="Q57" s="153">
        <f t="shared" si="10"/>
        <v>3508</v>
      </c>
      <c r="R57" s="153">
        <f t="shared" si="10"/>
        <v>332</v>
      </c>
      <c r="S57" s="153">
        <f t="shared" si="10"/>
        <v>796</v>
      </c>
      <c r="T57" s="153">
        <f t="shared" si="10"/>
        <v>15</v>
      </c>
      <c r="U57" s="153">
        <f t="shared" si="10"/>
        <v>6170</v>
      </c>
      <c r="V57" s="153">
        <f t="shared" si="10"/>
        <v>15</v>
      </c>
      <c r="W57" s="153">
        <f t="shared" si="10"/>
        <v>4898</v>
      </c>
      <c r="X57" s="154">
        <f t="shared" si="10"/>
        <v>15</v>
      </c>
    </row>
    <row r="58" spans="1:24" ht="15" thickBot="1" x14ac:dyDescent="0.35">
      <c r="A58" s="140">
        <v>2810.21</v>
      </c>
      <c r="B58" s="140">
        <v>2708.51</v>
      </c>
      <c r="C58" s="140">
        <v>2688.51</v>
      </c>
      <c r="D58" s="140">
        <v>3039.33</v>
      </c>
      <c r="E58" s="140">
        <v>455</v>
      </c>
      <c r="F58" s="140">
        <v>2713.29</v>
      </c>
      <c r="G58" s="140">
        <v>2713.51</v>
      </c>
      <c r="H58" s="140">
        <f>SUM(A58:G58)+I55</f>
        <v>45628.68</v>
      </c>
      <c r="I58" s="140"/>
      <c r="K58" s="140">
        <v>6330</v>
      </c>
      <c r="L58" s="140">
        <v>15</v>
      </c>
      <c r="M58" s="140">
        <v>3978</v>
      </c>
      <c r="N58" s="140">
        <v>15</v>
      </c>
      <c r="O58" s="140">
        <v>4692</v>
      </c>
      <c r="P58" s="140">
        <v>318.8</v>
      </c>
      <c r="Q58" s="140">
        <v>3508</v>
      </c>
      <c r="R58" s="140">
        <v>332</v>
      </c>
      <c r="S58" s="140">
        <v>796</v>
      </c>
      <c r="T58" s="140">
        <v>15</v>
      </c>
      <c r="U58" s="140">
        <v>6170</v>
      </c>
      <c r="V58" s="140">
        <v>15</v>
      </c>
      <c r="W58" s="140">
        <v>4898</v>
      </c>
      <c r="X58" s="140">
        <v>15</v>
      </c>
    </row>
    <row r="59" spans="1:24" ht="15" thickBot="1" x14ac:dyDescent="0.35">
      <c r="A59" s="63">
        <f t="shared" ref="A59:H59" si="11">A57-A58</f>
        <v>0</v>
      </c>
      <c r="B59" s="63">
        <f t="shared" si="11"/>
        <v>0</v>
      </c>
      <c r="C59" s="63">
        <f t="shared" si="11"/>
        <v>0</v>
      </c>
      <c r="D59" s="63">
        <f t="shared" si="11"/>
        <v>0</v>
      </c>
      <c r="E59" s="63">
        <f t="shared" si="11"/>
        <v>0</v>
      </c>
      <c r="F59" s="63">
        <f t="shared" si="11"/>
        <v>0</v>
      </c>
      <c r="G59" s="63">
        <f t="shared" si="11"/>
        <v>0</v>
      </c>
      <c r="H59" s="63">
        <f t="shared" si="11"/>
        <v>0</v>
      </c>
      <c r="I59" s="63">
        <f>SUM(B59:H59)+J56</f>
        <v>0</v>
      </c>
      <c r="K59" s="152">
        <f>K57-K58</f>
        <v>0</v>
      </c>
      <c r="L59" s="152">
        <f>L57-L58</f>
        <v>0</v>
      </c>
      <c r="M59" s="152">
        <f t="shared" ref="M59:N59" si="12">M57-M58</f>
        <v>0</v>
      </c>
      <c r="N59" s="152">
        <f t="shared" si="12"/>
        <v>0</v>
      </c>
      <c r="O59" s="152">
        <f t="shared" ref="O59:X59" si="13">O58-O57</f>
        <v>0</v>
      </c>
      <c r="P59" s="152">
        <f t="shared" si="13"/>
        <v>0</v>
      </c>
      <c r="Q59" s="152">
        <f t="shared" si="13"/>
        <v>0</v>
      </c>
      <c r="R59" s="152">
        <f t="shared" si="13"/>
        <v>0</v>
      </c>
      <c r="S59" s="152">
        <f t="shared" si="13"/>
        <v>0</v>
      </c>
      <c r="T59" s="152">
        <f t="shared" si="13"/>
        <v>0</v>
      </c>
      <c r="U59" s="152">
        <f t="shared" si="13"/>
        <v>0</v>
      </c>
      <c r="V59" s="152">
        <f t="shared" si="13"/>
        <v>0</v>
      </c>
      <c r="W59" s="152">
        <f t="shared" si="13"/>
        <v>0</v>
      </c>
      <c r="X59" s="152">
        <f t="shared" si="13"/>
        <v>0</v>
      </c>
    </row>
    <row r="60" spans="1:24" ht="15" thickBot="1" x14ac:dyDescent="0.35"/>
    <row r="61" spans="1:24" x14ac:dyDescent="0.3">
      <c r="A61" s="157">
        <v>46134</v>
      </c>
      <c r="B61" s="157">
        <f>A61+1</f>
        <v>46135</v>
      </c>
      <c r="C61" s="157">
        <f t="shared" ref="C61:G61" si="14">B61+1</f>
        <v>46136</v>
      </c>
      <c r="D61" s="157">
        <f t="shared" si="14"/>
        <v>46137</v>
      </c>
      <c r="E61" s="157">
        <f t="shared" si="14"/>
        <v>46138</v>
      </c>
      <c r="F61" s="157">
        <f t="shared" si="14"/>
        <v>46139</v>
      </c>
      <c r="G61" s="157">
        <f t="shared" si="14"/>
        <v>46140</v>
      </c>
      <c r="H61" s="157"/>
      <c r="I61" s="13" t="s">
        <v>8</v>
      </c>
      <c r="K61" s="59">
        <v>46134</v>
      </c>
      <c r="L61" s="59"/>
      <c r="M61" s="59">
        <f>K61+1</f>
        <v>46135</v>
      </c>
      <c r="N61" s="59"/>
      <c r="O61" s="59">
        <f>M61+1</f>
        <v>46136</v>
      </c>
      <c r="P61" s="59"/>
      <c r="Q61" s="59">
        <f>O61+1</f>
        <v>46137</v>
      </c>
      <c r="R61" s="59"/>
      <c r="S61" s="59">
        <f>Q61+1</f>
        <v>46138</v>
      </c>
      <c r="T61" s="59"/>
      <c r="U61" s="59">
        <f>S61+1</f>
        <v>46139</v>
      </c>
      <c r="V61" s="59"/>
      <c r="W61" s="59">
        <f>U61+1</f>
        <v>46140</v>
      </c>
      <c r="X61" s="59"/>
    </row>
    <row r="62" spans="1:24" ht="15" thickBot="1" x14ac:dyDescent="0.35">
      <c r="A62" s="22">
        <v>1368.29</v>
      </c>
      <c r="B62" s="22">
        <v>1458.51</v>
      </c>
      <c r="C62" s="22">
        <v>200</v>
      </c>
      <c r="D62" s="22">
        <v>115</v>
      </c>
      <c r="E62" s="22">
        <v>480</v>
      </c>
      <c r="F62" s="22">
        <v>1130</v>
      </c>
      <c r="G62" s="22">
        <v>1724.35</v>
      </c>
      <c r="H62" s="160"/>
      <c r="I62" s="15">
        <v>3012.8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 t="s">
        <v>10</v>
      </c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1360</v>
      </c>
      <c r="B63" s="22">
        <v>1165</v>
      </c>
      <c r="C63" s="22">
        <v>1670</v>
      </c>
      <c r="D63" s="22">
        <v>1020</v>
      </c>
      <c r="E63" s="22"/>
      <c r="F63" s="22">
        <v>510</v>
      </c>
      <c r="G63" s="22">
        <v>1140</v>
      </c>
      <c r="H63" s="65"/>
      <c r="I63" s="15">
        <v>5879.64</v>
      </c>
      <c r="K63" s="24">
        <v>1050</v>
      </c>
      <c r="L63" s="56">
        <v>15</v>
      </c>
      <c r="M63" s="22">
        <v>1080</v>
      </c>
      <c r="N63" s="22">
        <v>15</v>
      </c>
      <c r="O63" s="43">
        <v>290</v>
      </c>
      <c r="P63" s="22">
        <v>515</v>
      </c>
      <c r="Q63" s="22">
        <v>32</v>
      </c>
      <c r="R63" s="22">
        <v>475</v>
      </c>
      <c r="S63" s="22">
        <v>660</v>
      </c>
      <c r="T63" s="37">
        <v>15</v>
      </c>
      <c r="U63" s="22">
        <v>3670</v>
      </c>
      <c r="V63" s="22">
        <v>15</v>
      </c>
      <c r="W63" s="22">
        <v>3770</v>
      </c>
      <c r="X63" s="22">
        <v>720</v>
      </c>
    </row>
    <row r="64" spans="1:24" x14ac:dyDescent="0.3">
      <c r="A64" s="22">
        <v>314</v>
      </c>
      <c r="B64" s="44">
        <v>155</v>
      </c>
      <c r="C64" s="22">
        <v>1458.51</v>
      </c>
      <c r="D64" s="22">
        <v>2335.7199999999998</v>
      </c>
      <c r="E64" s="46"/>
      <c r="F64" s="22"/>
      <c r="G64" s="22">
        <v>510</v>
      </c>
      <c r="H64" s="160"/>
      <c r="I64" s="15">
        <v>1266.83</v>
      </c>
      <c r="K64" s="24">
        <v>3940</v>
      </c>
      <c r="L64" s="56"/>
      <c r="M64" s="22">
        <v>2510</v>
      </c>
      <c r="N64" s="22">
        <v>30</v>
      </c>
      <c r="O64" s="43">
        <v>458</v>
      </c>
      <c r="P64" s="22"/>
      <c r="Q64" s="22">
        <v>340</v>
      </c>
      <c r="R64" s="22">
        <v>15</v>
      </c>
      <c r="S64" s="22">
        <v>80</v>
      </c>
      <c r="T64" s="37"/>
      <c r="U64" s="22">
        <v>458</v>
      </c>
      <c r="V64" s="22"/>
      <c r="W64" s="22">
        <v>1080</v>
      </c>
      <c r="X64" s="22">
        <v>15</v>
      </c>
    </row>
    <row r="65" spans="1:24" x14ac:dyDescent="0.3">
      <c r="A65" s="22"/>
      <c r="B65" s="41"/>
      <c r="C65" s="22"/>
      <c r="D65" s="22"/>
      <c r="E65" s="22"/>
      <c r="F65" s="22"/>
      <c r="G65" s="22"/>
      <c r="H65" s="65"/>
      <c r="I65" s="15">
        <v>4280</v>
      </c>
      <c r="K65" s="24">
        <v>398</v>
      </c>
      <c r="L65" s="56"/>
      <c r="M65" s="22">
        <v>278</v>
      </c>
      <c r="N65" s="22"/>
      <c r="O65" s="43">
        <v>4200</v>
      </c>
      <c r="P65" s="22"/>
      <c r="Q65" s="22">
        <v>218</v>
      </c>
      <c r="R65" s="22">
        <v>17</v>
      </c>
      <c r="S65" s="22">
        <v>122</v>
      </c>
      <c r="T65" s="37"/>
      <c r="U65" s="22">
        <v>260</v>
      </c>
      <c r="V65" s="22"/>
      <c r="W65" s="22">
        <v>290</v>
      </c>
      <c r="X65" s="22"/>
    </row>
    <row r="66" spans="1:24" x14ac:dyDescent="0.3">
      <c r="A66" s="22"/>
      <c r="B66" s="22"/>
      <c r="C66" s="22"/>
      <c r="D66" s="22"/>
      <c r="E66" s="22"/>
      <c r="F66" s="22"/>
      <c r="G66" s="22"/>
      <c r="H66" s="160"/>
      <c r="I66" s="15">
        <v>848</v>
      </c>
      <c r="K66" s="24">
        <v>290</v>
      </c>
      <c r="L66" s="56"/>
      <c r="M66" s="22">
        <v>420</v>
      </c>
      <c r="N66" s="22"/>
      <c r="O66" s="43">
        <v>1050</v>
      </c>
      <c r="P66" s="22"/>
      <c r="Q66" s="22">
        <v>1810</v>
      </c>
      <c r="R66" s="22">
        <v>60</v>
      </c>
      <c r="S66" s="22"/>
      <c r="T66" s="37"/>
      <c r="U66" s="22">
        <v>26</v>
      </c>
      <c r="V66" s="22"/>
      <c r="W66" s="22">
        <v>340</v>
      </c>
      <c r="X66" s="22"/>
    </row>
    <row r="67" spans="1:24" x14ac:dyDescent="0.3">
      <c r="A67" s="22"/>
      <c r="B67" s="22"/>
      <c r="C67" s="22"/>
      <c r="D67" s="22"/>
      <c r="E67" s="22"/>
      <c r="F67" s="22" t="s">
        <v>9</v>
      </c>
      <c r="G67" s="22"/>
      <c r="H67" s="65"/>
      <c r="I67" s="15">
        <v>2160</v>
      </c>
      <c r="K67" s="24"/>
      <c r="L67" s="56"/>
      <c r="M67" s="22">
        <v>32</v>
      </c>
      <c r="N67" s="22"/>
      <c r="O67" s="43"/>
      <c r="P67" s="22"/>
      <c r="Q67" s="22"/>
      <c r="R67" s="22"/>
      <c r="S67" s="22"/>
      <c r="T67" s="37"/>
      <c r="U67" s="22"/>
      <c r="V67" s="22"/>
      <c r="W67" s="22">
        <v>26</v>
      </c>
      <c r="X67" s="22"/>
    </row>
    <row r="68" spans="1:24" x14ac:dyDescent="0.3">
      <c r="A68" s="22"/>
      <c r="B68" s="22"/>
      <c r="C68" s="22"/>
      <c r="D68" s="22"/>
      <c r="E68" s="22"/>
      <c r="F68" s="22"/>
      <c r="G68" s="22"/>
      <c r="H68" s="160"/>
      <c r="I68" s="15">
        <v>6360</v>
      </c>
      <c r="K68" s="24"/>
      <c r="L68" s="56"/>
      <c r="M68" s="22"/>
      <c r="N68" s="22" t="s">
        <v>9</v>
      </c>
      <c r="O68" s="43"/>
      <c r="P68" s="22"/>
      <c r="Q68" s="22"/>
      <c r="R68" s="22"/>
      <c r="S68" s="22"/>
      <c r="T68" s="37"/>
      <c r="U68" s="22"/>
      <c r="V68" s="22"/>
      <c r="W68" s="22"/>
      <c r="X68" s="22"/>
    </row>
    <row r="69" spans="1:24" x14ac:dyDescent="0.3">
      <c r="A69" s="22"/>
      <c r="B69" s="22"/>
      <c r="C69" s="22"/>
      <c r="D69" s="22"/>
      <c r="E69" s="22"/>
      <c r="F69" s="22"/>
      <c r="G69" s="22"/>
      <c r="H69" s="65"/>
      <c r="I69" s="15">
        <v>1068</v>
      </c>
      <c r="K69" s="24"/>
      <c r="L69" s="56"/>
      <c r="M69" s="22"/>
      <c r="N69" s="22"/>
      <c r="O69" s="43"/>
      <c r="P69" s="22"/>
      <c r="Q69" s="22"/>
      <c r="R69" s="22"/>
      <c r="S69" s="22"/>
      <c r="T69" s="37"/>
      <c r="U69" s="22"/>
      <c r="V69" s="22"/>
      <c r="W69" s="22"/>
      <c r="X69" s="22"/>
    </row>
    <row r="70" spans="1:24" x14ac:dyDescent="0.3">
      <c r="A70" s="22"/>
      <c r="B70" s="22"/>
      <c r="C70" s="22"/>
      <c r="D70" s="22"/>
      <c r="E70" s="22"/>
      <c r="F70" s="22"/>
      <c r="G70" s="22"/>
      <c r="H70" s="160"/>
      <c r="I70" s="15">
        <v>1704.63</v>
      </c>
      <c r="K70" s="24"/>
      <c r="L70" s="56"/>
      <c r="M70" s="22"/>
      <c r="N70" s="22" t="s">
        <v>9</v>
      </c>
      <c r="O70" s="43"/>
      <c r="P70" s="22"/>
      <c r="Q70" s="22"/>
      <c r="R70" s="22"/>
      <c r="S70" s="22"/>
      <c r="T70" s="37"/>
      <c r="U70" s="22"/>
      <c r="V70" s="22"/>
      <c r="W70" s="22"/>
      <c r="X70" s="22"/>
    </row>
    <row r="71" spans="1:24" x14ac:dyDescent="0.3">
      <c r="A71" s="22"/>
      <c r="B71" s="22"/>
      <c r="C71" s="22"/>
      <c r="D71" s="22"/>
      <c r="E71" s="22"/>
      <c r="F71" s="22"/>
      <c r="G71" s="22"/>
      <c r="H71" s="65"/>
      <c r="I71" s="15">
        <v>1076</v>
      </c>
      <c r="K71" s="24"/>
      <c r="L71" s="56"/>
      <c r="M71" s="22"/>
      <c r="N71" s="22"/>
      <c r="O71" s="43"/>
      <c r="P71" s="22"/>
      <c r="Q71" s="22"/>
      <c r="R71" s="22"/>
      <c r="S71" s="22" t="s">
        <v>54</v>
      </c>
      <c r="T71" s="37"/>
      <c r="U71" s="22"/>
      <c r="V71" s="22"/>
      <c r="W71" s="22"/>
      <c r="X71" s="22"/>
    </row>
    <row r="72" spans="1:24" x14ac:dyDescent="0.3">
      <c r="A72" s="22"/>
      <c r="B72" s="22"/>
      <c r="C72" s="22"/>
      <c r="D72" s="22"/>
      <c r="E72" s="22"/>
      <c r="F72" s="22"/>
      <c r="G72" s="22"/>
      <c r="H72" s="160"/>
      <c r="I72" s="15">
        <v>870</v>
      </c>
      <c r="K72" s="24"/>
      <c r="L72" s="56"/>
      <c r="M72" s="22"/>
      <c r="N72" s="22" t="s">
        <v>9</v>
      </c>
      <c r="O72" s="43"/>
      <c r="P72" s="22"/>
      <c r="Q72" s="22"/>
      <c r="R72" s="22"/>
      <c r="S72" s="22"/>
      <c r="T72" s="37"/>
      <c r="U72" s="22"/>
      <c r="V72" s="22"/>
      <c r="W72" s="22"/>
      <c r="X72" s="22"/>
    </row>
    <row r="73" spans="1:24" x14ac:dyDescent="0.3">
      <c r="A73" s="22"/>
      <c r="B73" s="22"/>
      <c r="C73" s="22"/>
      <c r="D73" s="22"/>
      <c r="E73" s="22"/>
      <c r="F73" s="22"/>
      <c r="G73" s="22"/>
      <c r="H73" s="65"/>
      <c r="I73" s="40">
        <v>424</v>
      </c>
      <c r="K73" s="24"/>
      <c r="L73" s="56"/>
      <c r="M73" s="22"/>
      <c r="N73" s="22"/>
      <c r="O73" s="43"/>
      <c r="P73" s="22"/>
      <c r="Q73" s="22"/>
      <c r="R73" s="22"/>
      <c r="S73" s="22"/>
      <c r="T73" s="37"/>
      <c r="U73" s="22"/>
      <c r="V73" s="22"/>
      <c r="W73" s="22"/>
      <c r="X73" s="22"/>
    </row>
    <row r="74" spans="1:24" ht="15" thickBot="1" x14ac:dyDescent="0.35">
      <c r="A74" s="22"/>
      <c r="B74" s="22"/>
      <c r="C74" s="22"/>
      <c r="D74" s="22"/>
      <c r="E74" s="22"/>
      <c r="F74" s="22"/>
      <c r="G74" s="22"/>
      <c r="H74" s="160"/>
      <c r="I74" s="27"/>
      <c r="K74" s="24"/>
      <c r="L74" s="56"/>
      <c r="M74" s="22"/>
      <c r="N74" s="22" t="s">
        <v>9</v>
      </c>
      <c r="O74" s="43"/>
      <c r="P74" s="22"/>
      <c r="Q74" s="22"/>
      <c r="R74" s="22"/>
      <c r="S74" s="22"/>
      <c r="T74" s="37"/>
      <c r="U74" s="22"/>
      <c r="V74" s="22"/>
      <c r="W74" s="22"/>
      <c r="X74" s="22"/>
    </row>
    <row r="75" spans="1:24" ht="15.6" thickTop="1" thickBot="1" x14ac:dyDescent="0.35">
      <c r="A75" s="22"/>
      <c r="B75" s="22"/>
      <c r="C75" s="22"/>
      <c r="D75" s="22"/>
      <c r="E75" s="22"/>
      <c r="F75" s="22"/>
      <c r="G75" s="22"/>
      <c r="H75" s="65"/>
      <c r="I75" s="132">
        <f>SUM(I62:I74)</f>
        <v>28949.9</v>
      </c>
      <c r="K75" s="24"/>
      <c r="L75" s="56"/>
      <c r="M75" s="22"/>
      <c r="N75" s="22"/>
      <c r="O75" s="43"/>
      <c r="P75" s="22"/>
      <c r="Q75" s="22"/>
      <c r="R75" s="22"/>
      <c r="S75" s="22"/>
      <c r="T75" s="37"/>
      <c r="U75" s="22"/>
      <c r="V75" s="22"/>
      <c r="W75" s="22"/>
      <c r="X75" s="22"/>
    </row>
    <row r="76" spans="1:24" ht="15.6" thickTop="1" thickBot="1" x14ac:dyDescent="0.35">
      <c r="A76" s="22"/>
      <c r="B76" s="22"/>
      <c r="C76" s="22"/>
      <c r="D76" s="22"/>
      <c r="E76" s="22"/>
      <c r="F76" s="22"/>
      <c r="G76" s="22"/>
      <c r="H76" s="160"/>
      <c r="I76" s="27"/>
      <c r="K76" s="133"/>
      <c r="L76" s="166"/>
      <c r="M76" s="166"/>
      <c r="N76" s="166"/>
      <c r="O76" s="166"/>
      <c r="P76" s="166"/>
      <c r="Q76" s="166"/>
      <c r="R76" s="166"/>
      <c r="S76" s="166"/>
      <c r="T76" s="167"/>
      <c r="U76" s="22"/>
      <c r="V76" s="166"/>
      <c r="W76" s="166"/>
      <c r="X76" s="166"/>
    </row>
    <row r="77" spans="1:24" ht="15" thickBot="1" x14ac:dyDescent="0.35">
      <c r="A77" s="140">
        <f>SUM(A62:A76)</f>
        <v>3042.29</v>
      </c>
      <c r="B77" s="140">
        <f t="shared" ref="B77:G77" si="15">SUM(B62:B76)</f>
        <v>2778.51</v>
      </c>
      <c r="C77" s="140">
        <f t="shared" si="15"/>
        <v>3328.51</v>
      </c>
      <c r="D77" s="140">
        <f t="shared" si="15"/>
        <v>3470.72</v>
      </c>
      <c r="E77" s="140">
        <f t="shared" si="15"/>
        <v>480</v>
      </c>
      <c r="F77" s="140">
        <f t="shared" si="15"/>
        <v>1640</v>
      </c>
      <c r="G77" s="140">
        <f t="shared" si="15"/>
        <v>3374.35</v>
      </c>
      <c r="H77" s="29">
        <f>SUM(A77:G77)+I75</f>
        <v>47064.28</v>
      </c>
      <c r="I77" s="150" t="s">
        <v>64</v>
      </c>
      <c r="K77" s="152">
        <f t="shared" ref="K77:X77" si="16">SUM(K62:K76)</f>
        <v>5678</v>
      </c>
      <c r="L77" s="153">
        <f t="shared" si="16"/>
        <v>15</v>
      </c>
      <c r="M77" s="153">
        <f t="shared" si="16"/>
        <v>4320</v>
      </c>
      <c r="N77" s="153">
        <f t="shared" si="16"/>
        <v>45</v>
      </c>
      <c r="O77" s="153">
        <f t="shared" si="16"/>
        <v>5998</v>
      </c>
      <c r="P77" s="153">
        <f t="shared" si="16"/>
        <v>515</v>
      </c>
      <c r="Q77" s="153">
        <f t="shared" si="16"/>
        <v>2400</v>
      </c>
      <c r="R77" s="153">
        <f t="shared" si="16"/>
        <v>567</v>
      </c>
      <c r="S77" s="153">
        <f t="shared" si="16"/>
        <v>862</v>
      </c>
      <c r="T77" s="153">
        <f t="shared" si="16"/>
        <v>15</v>
      </c>
      <c r="U77" s="153">
        <f t="shared" si="16"/>
        <v>4414</v>
      </c>
      <c r="V77" s="153">
        <f t="shared" si="16"/>
        <v>15</v>
      </c>
      <c r="W77" s="153">
        <f t="shared" si="16"/>
        <v>5506</v>
      </c>
      <c r="X77" s="154">
        <f t="shared" si="16"/>
        <v>735</v>
      </c>
    </row>
    <row r="78" spans="1:24" ht="15" thickBot="1" x14ac:dyDescent="0.35">
      <c r="A78" s="140">
        <v>3042.29</v>
      </c>
      <c r="B78" s="140">
        <v>2778.51</v>
      </c>
      <c r="C78" s="140">
        <v>3328.51</v>
      </c>
      <c r="D78" s="140">
        <v>3470.72</v>
      </c>
      <c r="E78" s="140">
        <v>480</v>
      </c>
      <c r="F78" s="140">
        <v>1640</v>
      </c>
      <c r="G78" s="140">
        <v>3374.35</v>
      </c>
      <c r="H78" s="140">
        <f>SUM(A78:G78)+I75</f>
        <v>47064.28</v>
      </c>
      <c r="I78" s="140"/>
      <c r="K78" s="140">
        <v>5678</v>
      </c>
      <c r="L78" s="140">
        <v>15</v>
      </c>
      <c r="M78" s="140">
        <v>4320</v>
      </c>
      <c r="N78" s="140">
        <v>45</v>
      </c>
      <c r="O78" s="140">
        <v>5998</v>
      </c>
      <c r="P78" s="140">
        <v>515</v>
      </c>
      <c r="Q78" s="140">
        <v>2400</v>
      </c>
      <c r="R78" s="140">
        <v>567</v>
      </c>
      <c r="S78" s="140">
        <v>862</v>
      </c>
      <c r="T78" s="140">
        <v>15</v>
      </c>
      <c r="U78" s="140">
        <v>4414</v>
      </c>
      <c r="V78" s="140">
        <v>15</v>
      </c>
      <c r="W78" s="140">
        <v>5506</v>
      </c>
      <c r="X78" s="140"/>
    </row>
    <row r="79" spans="1:24" ht="15" thickBot="1" x14ac:dyDescent="0.35">
      <c r="A79" s="63">
        <f t="shared" ref="A79:H79" si="17">A77-A78</f>
        <v>0</v>
      </c>
      <c r="B79" s="63">
        <f t="shared" si="17"/>
        <v>0</v>
      </c>
      <c r="C79" s="63">
        <f t="shared" si="17"/>
        <v>0</v>
      </c>
      <c r="D79" s="63">
        <f t="shared" si="17"/>
        <v>0</v>
      </c>
      <c r="E79" s="63">
        <f t="shared" si="17"/>
        <v>0</v>
      </c>
      <c r="F79" s="63">
        <f t="shared" si="17"/>
        <v>0</v>
      </c>
      <c r="G79" s="63">
        <f t="shared" si="17"/>
        <v>0</v>
      </c>
      <c r="H79" s="63">
        <f t="shared" si="17"/>
        <v>0</v>
      </c>
      <c r="I79" s="63">
        <f>SUM(B79:H79)+J76</f>
        <v>0</v>
      </c>
      <c r="K79" s="152">
        <f>K77-K78</f>
        <v>0</v>
      </c>
      <c r="L79" s="152">
        <f>L77-L78</f>
        <v>0</v>
      </c>
      <c r="M79" s="152">
        <f t="shared" ref="M79:N79" si="18">M77-M78</f>
        <v>0</v>
      </c>
      <c r="N79" s="152">
        <f t="shared" si="18"/>
        <v>0</v>
      </c>
      <c r="O79" s="152">
        <f t="shared" ref="O79:X79" si="19">O78-O77</f>
        <v>0</v>
      </c>
      <c r="P79" s="152">
        <f t="shared" si="19"/>
        <v>0</v>
      </c>
      <c r="Q79" s="152">
        <f t="shared" si="19"/>
        <v>0</v>
      </c>
      <c r="R79" s="152">
        <f t="shared" si="19"/>
        <v>0</v>
      </c>
      <c r="S79" s="152">
        <f t="shared" si="19"/>
        <v>0</v>
      </c>
      <c r="T79" s="152">
        <f t="shared" si="19"/>
        <v>0</v>
      </c>
      <c r="U79" s="152">
        <f t="shared" si="19"/>
        <v>0</v>
      </c>
      <c r="V79" s="152">
        <f t="shared" si="19"/>
        <v>0</v>
      </c>
      <c r="W79" s="152">
        <f t="shared" si="19"/>
        <v>0</v>
      </c>
      <c r="X79" s="152">
        <f t="shared" si="19"/>
        <v>-735</v>
      </c>
    </row>
    <row r="82" spans="1:24" ht="15" thickBot="1" x14ac:dyDescent="0.35"/>
    <row r="83" spans="1:24" x14ac:dyDescent="0.3">
      <c r="A83" s="157">
        <v>46141</v>
      </c>
      <c r="B83" s="157">
        <f>A83+1</f>
        <v>46142</v>
      </c>
      <c r="C83" s="157">
        <f t="shared" ref="C83" si="20">B83+1</f>
        <v>46143</v>
      </c>
      <c r="D83" s="157">
        <f t="shared" ref="D83" si="21">C83+1</f>
        <v>46144</v>
      </c>
      <c r="E83" s="157">
        <f t="shared" ref="E83" si="22">D83+1</f>
        <v>46145</v>
      </c>
      <c r="F83" s="157">
        <f t="shared" ref="F83" si="23">E83+1</f>
        <v>46146</v>
      </c>
      <c r="G83" s="157">
        <f t="shared" ref="G83" si="24">F83+1</f>
        <v>46147</v>
      </c>
      <c r="H83" s="157"/>
      <c r="I83" s="13" t="s">
        <v>8</v>
      </c>
      <c r="K83" s="59">
        <v>46141</v>
      </c>
      <c r="L83" s="59"/>
      <c r="M83" s="59">
        <f>K83+1</f>
        <v>46142</v>
      </c>
      <c r="N83" s="59"/>
      <c r="O83" s="59">
        <f>M83+1</f>
        <v>46143</v>
      </c>
      <c r="P83" s="59"/>
      <c r="Q83" s="59">
        <f>O83+1</f>
        <v>46144</v>
      </c>
      <c r="R83" s="59"/>
      <c r="S83" s="59">
        <f>Q83+1</f>
        <v>46145</v>
      </c>
      <c r="T83" s="59"/>
      <c r="U83" s="59">
        <f>S83+1</f>
        <v>46146</v>
      </c>
      <c r="V83" s="59"/>
      <c r="W83" s="59">
        <f>U83+1</f>
        <v>46147</v>
      </c>
      <c r="X83" s="59"/>
    </row>
    <row r="84" spans="1:24" ht="15" thickBot="1" x14ac:dyDescent="0.35">
      <c r="A84" s="22">
        <v>475</v>
      </c>
      <c r="B84" s="22">
        <v>300</v>
      </c>
      <c r="C84" s="22">
        <v>180</v>
      </c>
      <c r="D84" s="22">
        <v>210</v>
      </c>
      <c r="E84" s="22">
        <v>40</v>
      </c>
      <c r="F84" s="22">
        <v>510</v>
      </c>
      <c r="G84" s="22">
        <v>405</v>
      </c>
      <c r="H84" s="160"/>
      <c r="I84" s="15">
        <v>3012.7999999999997</v>
      </c>
      <c r="K84" s="124" t="s">
        <v>10</v>
      </c>
      <c r="L84" s="125" t="s">
        <v>11</v>
      </c>
      <c r="M84" s="126" t="s">
        <v>10</v>
      </c>
      <c r="N84" s="126" t="s">
        <v>11</v>
      </c>
      <c r="O84" s="126" t="s">
        <v>10</v>
      </c>
      <c r="P84" s="126" t="s">
        <v>11</v>
      </c>
      <c r="Q84" s="126" t="s">
        <v>10</v>
      </c>
      <c r="R84" s="126" t="s">
        <v>11</v>
      </c>
      <c r="S84" s="126" t="s">
        <v>10</v>
      </c>
      <c r="T84" s="126" t="s">
        <v>11</v>
      </c>
      <c r="U84" s="126" t="s">
        <v>10</v>
      </c>
      <c r="V84" s="126" t="s">
        <v>11</v>
      </c>
      <c r="W84" s="126" t="s">
        <v>10</v>
      </c>
      <c r="X84" s="143" t="s">
        <v>11</v>
      </c>
    </row>
    <row r="85" spans="1:24" x14ac:dyDescent="0.3">
      <c r="A85" s="22">
        <v>590</v>
      </c>
      <c r="B85" s="22">
        <v>385</v>
      </c>
      <c r="C85" s="22">
        <v>940</v>
      </c>
      <c r="D85" s="22">
        <v>420</v>
      </c>
      <c r="E85" s="22">
        <v>530</v>
      </c>
      <c r="F85" s="22">
        <v>650</v>
      </c>
      <c r="G85" s="22">
        <v>325</v>
      </c>
      <c r="H85" s="65"/>
      <c r="I85" s="15">
        <v>5879.64</v>
      </c>
      <c r="K85" s="24">
        <v>280</v>
      </c>
      <c r="L85" s="56">
        <v>15</v>
      </c>
      <c r="M85" s="22">
        <v>310</v>
      </c>
      <c r="N85" s="22">
        <v>115</v>
      </c>
      <c r="O85" s="43">
        <v>320</v>
      </c>
      <c r="P85" s="22">
        <v>15</v>
      </c>
      <c r="Q85" s="22">
        <v>32</v>
      </c>
      <c r="R85" s="22">
        <v>15</v>
      </c>
      <c r="S85" s="22">
        <v>80</v>
      </c>
      <c r="T85" s="37">
        <v>15</v>
      </c>
      <c r="U85" s="22">
        <v>58</v>
      </c>
      <c r="V85" s="22">
        <v>15</v>
      </c>
      <c r="W85" s="22">
        <v>26</v>
      </c>
      <c r="X85" s="22">
        <v>315</v>
      </c>
    </row>
    <row r="86" spans="1:24" x14ac:dyDescent="0.3">
      <c r="A86" s="22">
        <v>1458.51</v>
      </c>
      <c r="B86" s="44">
        <v>1628.51</v>
      </c>
      <c r="C86" s="22"/>
      <c r="D86" s="22">
        <v>1849.55</v>
      </c>
      <c r="E86" s="46"/>
      <c r="F86" s="22">
        <v>1012.23</v>
      </c>
      <c r="G86" s="22">
        <v>1150.3699999999999</v>
      </c>
      <c r="H86" s="160"/>
      <c r="I86" s="15">
        <v>1266.83</v>
      </c>
      <c r="K86" s="24">
        <v>26</v>
      </c>
      <c r="L86" s="56">
        <v>2160</v>
      </c>
      <c r="M86" s="22">
        <v>3590</v>
      </c>
      <c r="N86" s="22">
        <v>30</v>
      </c>
      <c r="O86" s="43">
        <v>430</v>
      </c>
      <c r="P86" s="22"/>
      <c r="Q86" s="22">
        <v>260</v>
      </c>
      <c r="R86" s="22"/>
      <c r="S86" s="22">
        <v>96</v>
      </c>
      <c r="T86" s="37"/>
      <c r="U86" s="22">
        <v>260</v>
      </c>
      <c r="V86" s="22"/>
      <c r="W86" s="22">
        <v>340</v>
      </c>
      <c r="X86" s="22">
        <v>470</v>
      </c>
    </row>
    <row r="87" spans="1:24" x14ac:dyDescent="0.3">
      <c r="A87" s="22"/>
      <c r="B87" s="41"/>
      <c r="C87" s="22"/>
      <c r="D87" s="22"/>
      <c r="E87" s="22"/>
      <c r="F87" s="22"/>
      <c r="G87" s="22"/>
      <c r="H87" s="65"/>
      <c r="I87" s="15">
        <v>4360</v>
      </c>
      <c r="K87" s="24">
        <v>290</v>
      </c>
      <c r="L87" s="56"/>
      <c r="M87" s="22">
        <v>398</v>
      </c>
      <c r="N87" s="22"/>
      <c r="O87" s="43">
        <v>4120</v>
      </c>
      <c r="P87" s="22"/>
      <c r="Q87" s="22">
        <v>192</v>
      </c>
      <c r="R87" s="22"/>
      <c r="S87" s="22">
        <v>600</v>
      </c>
      <c r="T87" s="37"/>
      <c r="U87" s="22">
        <v>458</v>
      </c>
      <c r="V87" s="22"/>
      <c r="W87" s="22">
        <v>278</v>
      </c>
      <c r="X87" s="22">
        <v>1550</v>
      </c>
    </row>
    <row r="88" spans="1:24" x14ac:dyDescent="0.3">
      <c r="A88" s="22"/>
      <c r="B88" s="22"/>
      <c r="C88" s="22"/>
      <c r="D88" s="22"/>
      <c r="E88" s="22"/>
      <c r="F88" s="22"/>
      <c r="G88" s="22"/>
      <c r="H88" s="160"/>
      <c r="I88" s="15">
        <v>848</v>
      </c>
      <c r="K88" s="24">
        <v>3560</v>
      </c>
      <c r="L88" s="56"/>
      <c r="M88" s="22">
        <v>1050</v>
      </c>
      <c r="N88" s="22"/>
      <c r="O88" s="43"/>
      <c r="P88" s="22"/>
      <c r="Q88" s="22">
        <v>1700</v>
      </c>
      <c r="R88" s="22"/>
      <c r="S88" s="22"/>
      <c r="T88" s="37"/>
      <c r="U88" s="22">
        <v>4840</v>
      </c>
      <c r="V88" s="22"/>
      <c r="W88" s="22">
        <v>3760</v>
      </c>
      <c r="X88" s="22"/>
    </row>
    <row r="89" spans="1:24" x14ac:dyDescent="0.3">
      <c r="A89" s="22"/>
      <c r="B89" s="22"/>
      <c r="C89" s="22"/>
      <c r="D89" s="22"/>
      <c r="E89" s="22"/>
      <c r="F89" s="22"/>
      <c r="G89" s="22"/>
      <c r="H89" s="65"/>
      <c r="I89" s="15">
        <v>6360</v>
      </c>
      <c r="K89" s="24">
        <v>920</v>
      </c>
      <c r="L89" s="56"/>
      <c r="M89" s="22"/>
      <c r="N89" s="22"/>
      <c r="O89" s="43"/>
      <c r="P89" s="22"/>
      <c r="Q89" s="22"/>
      <c r="R89" s="22"/>
      <c r="S89" s="22"/>
      <c r="T89" s="37"/>
      <c r="U89" s="22">
        <v>770</v>
      </c>
      <c r="V89" s="22"/>
      <c r="W89" s="22">
        <v>490</v>
      </c>
      <c r="X89" s="22"/>
    </row>
    <row r="90" spans="1:24" x14ac:dyDescent="0.3">
      <c r="A90" s="22"/>
      <c r="B90" s="22"/>
      <c r="C90" s="22"/>
      <c r="D90" s="22"/>
      <c r="E90" s="22"/>
      <c r="F90" s="22"/>
      <c r="G90" s="22"/>
      <c r="H90" s="160"/>
      <c r="I90" s="15">
        <v>1068</v>
      </c>
      <c r="K90" s="24"/>
      <c r="L90" s="56"/>
      <c r="M90" s="22"/>
      <c r="N90" s="22"/>
      <c r="O90" s="43"/>
      <c r="P90" s="22"/>
      <c r="Q90" s="22"/>
      <c r="R90" s="22"/>
      <c r="S90" s="22"/>
      <c r="T90" s="37"/>
      <c r="U90" s="22"/>
      <c r="V90" s="22"/>
      <c r="W90" s="22"/>
      <c r="X90" s="22"/>
    </row>
    <row r="91" spans="1:24" x14ac:dyDescent="0.3">
      <c r="A91" s="22"/>
      <c r="B91" s="22"/>
      <c r="C91" s="22"/>
      <c r="D91" s="22"/>
      <c r="E91" s="22"/>
      <c r="F91" s="22"/>
      <c r="G91" s="22"/>
      <c r="H91" s="65"/>
      <c r="I91" s="15">
        <v>1671.6</v>
      </c>
      <c r="K91" s="24"/>
      <c r="L91" s="56"/>
      <c r="M91" s="22"/>
      <c r="N91" s="22"/>
      <c r="O91" s="43"/>
      <c r="P91" s="22"/>
      <c r="Q91" s="22"/>
      <c r="R91" s="22"/>
      <c r="S91" s="22"/>
      <c r="T91" s="37"/>
      <c r="U91" s="22"/>
      <c r="V91" s="22"/>
      <c r="W91" s="22"/>
      <c r="X91" s="22"/>
    </row>
    <row r="92" spans="1:24" x14ac:dyDescent="0.3">
      <c r="A92" s="22"/>
      <c r="B92" s="22"/>
      <c r="C92" s="22"/>
      <c r="D92" s="22"/>
      <c r="E92" s="22"/>
      <c r="F92" s="22"/>
      <c r="G92" s="22"/>
      <c r="H92" s="160"/>
      <c r="I92" s="15">
        <v>848</v>
      </c>
      <c r="K92" s="24"/>
      <c r="L92" s="56"/>
      <c r="M92" s="22"/>
      <c r="N92" s="22"/>
      <c r="O92" s="43"/>
      <c r="P92" s="22"/>
      <c r="Q92" s="22"/>
      <c r="R92" s="22"/>
      <c r="S92" s="22"/>
      <c r="T92" s="37"/>
      <c r="U92" s="22"/>
      <c r="V92" s="22"/>
      <c r="W92" s="22"/>
      <c r="X92" s="22"/>
    </row>
    <row r="93" spans="1:24" x14ac:dyDescent="0.3">
      <c r="A93" s="22"/>
      <c r="B93" s="22"/>
      <c r="C93" s="22"/>
      <c r="D93" s="22"/>
      <c r="E93" s="22"/>
      <c r="F93" s="22"/>
      <c r="G93" s="22"/>
      <c r="H93" s="65"/>
      <c r="I93" s="15">
        <v>2394</v>
      </c>
      <c r="K93" s="24"/>
      <c r="L93" s="56"/>
      <c r="M93" s="22"/>
      <c r="N93" s="22"/>
      <c r="O93" s="43"/>
      <c r="P93" s="22"/>
      <c r="Q93" s="22"/>
      <c r="R93" s="22"/>
      <c r="S93" s="22" t="s">
        <v>54</v>
      </c>
      <c r="T93" s="37"/>
      <c r="U93" s="22"/>
      <c r="V93" s="22"/>
      <c r="W93" s="22"/>
      <c r="X93" s="22"/>
    </row>
    <row r="94" spans="1:24" x14ac:dyDescent="0.3">
      <c r="A94" s="22"/>
      <c r="B94" s="22"/>
      <c r="C94" s="22"/>
      <c r="D94" s="22"/>
      <c r="E94" s="22"/>
      <c r="F94" s="22"/>
      <c r="G94" s="22"/>
      <c r="H94" s="160"/>
      <c r="I94" s="15">
        <v>1057</v>
      </c>
      <c r="K94" s="24"/>
      <c r="L94" s="56"/>
      <c r="M94" s="22"/>
      <c r="N94" s="22" t="s">
        <v>9</v>
      </c>
      <c r="O94" s="43"/>
      <c r="P94" s="22"/>
      <c r="Q94" s="22"/>
      <c r="R94" s="22"/>
      <c r="S94" s="22"/>
      <c r="T94" s="37"/>
      <c r="U94" s="22"/>
      <c r="V94" s="22"/>
      <c r="W94" s="22"/>
      <c r="X94" s="22"/>
    </row>
    <row r="95" spans="1:24" x14ac:dyDescent="0.3">
      <c r="A95" s="22"/>
      <c r="B95" s="22"/>
      <c r="C95" s="22"/>
      <c r="D95" s="22"/>
      <c r="E95" s="22"/>
      <c r="F95" s="22"/>
      <c r="G95" s="22"/>
      <c r="H95" s="65"/>
      <c r="I95" s="40">
        <v>460</v>
      </c>
      <c r="K95" s="24"/>
      <c r="L95" s="56"/>
      <c r="M95" s="22"/>
      <c r="N95" s="22"/>
      <c r="O95" s="43"/>
      <c r="P95" s="22"/>
      <c r="Q95" s="22"/>
      <c r="R95" s="22"/>
      <c r="S95" s="22"/>
      <c r="T95" s="37"/>
      <c r="U95" s="22"/>
      <c r="V95" s="22"/>
      <c r="W95" s="22"/>
      <c r="X95" s="22"/>
    </row>
    <row r="96" spans="1:24" ht="15" thickBot="1" x14ac:dyDescent="0.35">
      <c r="A96" s="22"/>
      <c r="B96" s="22"/>
      <c r="C96" s="22"/>
      <c r="D96" s="22"/>
      <c r="E96" s="22"/>
      <c r="F96" s="22"/>
      <c r="G96" s="22"/>
      <c r="H96" s="160"/>
      <c r="I96" s="27"/>
      <c r="K96" s="24"/>
      <c r="L96" s="56"/>
      <c r="M96" s="22"/>
      <c r="N96" s="22" t="s">
        <v>9</v>
      </c>
      <c r="O96" s="43"/>
      <c r="P96" s="22"/>
      <c r="Q96" s="22"/>
      <c r="R96" s="22"/>
      <c r="S96" s="22"/>
      <c r="T96" s="37"/>
      <c r="U96" s="22"/>
      <c r="V96" s="22"/>
      <c r="W96" s="22"/>
      <c r="X96" s="22"/>
    </row>
    <row r="97" spans="1:24" ht="15.6" thickTop="1" thickBot="1" x14ac:dyDescent="0.35">
      <c r="A97" s="22"/>
      <c r="B97" s="22"/>
      <c r="C97" s="22"/>
      <c r="D97" s="22"/>
      <c r="E97" s="22"/>
      <c r="F97" s="22"/>
      <c r="G97" s="22"/>
      <c r="H97" s="65"/>
      <c r="I97" s="132">
        <f>SUM(I84:I96)</f>
        <v>29225.87</v>
      </c>
      <c r="K97" s="24"/>
      <c r="L97" s="56"/>
      <c r="M97" s="22"/>
      <c r="N97" s="22"/>
      <c r="O97" s="43"/>
      <c r="P97" s="22"/>
      <c r="Q97" s="22"/>
      <c r="R97" s="22"/>
      <c r="S97" s="22"/>
      <c r="T97" s="37"/>
      <c r="U97" s="22"/>
      <c r="V97" s="22"/>
      <c r="W97" s="22"/>
      <c r="X97" s="22"/>
    </row>
    <row r="98" spans="1:24" ht="15.6" thickTop="1" thickBot="1" x14ac:dyDescent="0.35">
      <c r="A98" s="22"/>
      <c r="B98" s="22"/>
      <c r="C98" s="22"/>
      <c r="D98" s="22"/>
      <c r="E98" s="22"/>
      <c r="F98" s="22"/>
      <c r="G98" s="22"/>
      <c r="H98" s="160"/>
      <c r="I98" s="27"/>
      <c r="K98" s="133"/>
      <c r="L98" s="166"/>
      <c r="M98" s="166"/>
      <c r="N98" s="166"/>
      <c r="O98" s="166"/>
      <c r="P98" s="166"/>
      <c r="Q98" s="166"/>
      <c r="R98" s="166"/>
      <c r="S98" s="166"/>
      <c r="T98" s="167"/>
      <c r="U98" s="22"/>
      <c r="V98" s="166"/>
      <c r="W98" s="166"/>
      <c r="X98" s="166"/>
    </row>
    <row r="99" spans="1:24" ht="15" thickBot="1" x14ac:dyDescent="0.35">
      <c r="A99" s="140">
        <f>SUM(A84:A98)</f>
        <v>2523.5100000000002</v>
      </c>
      <c r="B99" s="140">
        <f t="shared" ref="B99:I100" si="25">SUM(B84:B98)</f>
        <v>2313.5100000000002</v>
      </c>
      <c r="C99" s="140">
        <f t="shared" si="25"/>
        <v>1120</v>
      </c>
      <c r="D99" s="140">
        <f t="shared" si="25"/>
        <v>2479.5500000000002</v>
      </c>
      <c r="E99" s="140">
        <f t="shared" si="25"/>
        <v>570</v>
      </c>
      <c r="F99" s="140">
        <f t="shared" si="25"/>
        <v>2172.23</v>
      </c>
      <c r="G99" s="140">
        <f t="shared" si="25"/>
        <v>1880.37</v>
      </c>
      <c r="H99" s="29">
        <f>SUM(A99:G99)+I97+424</f>
        <v>42709.039999999994</v>
      </c>
      <c r="I99" s="150" t="s">
        <v>64</v>
      </c>
      <c r="K99" s="152">
        <f t="shared" ref="K99:X99" si="26">SUM(K84:K98)</f>
        <v>5076</v>
      </c>
      <c r="L99" s="153">
        <f t="shared" si="26"/>
        <v>2175</v>
      </c>
      <c r="M99" s="153">
        <f t="shared" si="26"/>
        <v>5348</v>
      </c>
      <c r="N99" s="153">
        <f t="shared" si="26"/>
        <v>145</v>
      </c>
      <c r="O99" s="153">
        <f t="shared" si="26"/>
        <v>4870</v>
      </c>
      <c r="P99" s="153">
        <f t="shared" si="26"/>
        <v>15</v>
      </c>
      <c r="Q99" s="153">
        <f t="shared" si="26"/>
        <v>2184</v>
      </c>
      <c r="R99" s="153">
        <f t="shared" si="26"/>
        <v>15</v>
      </c>
      <c r="S99" s="153">
        <f t="shared" si="26"/>
        <v>776</v>
      </c>
      <c r="T99" s="153">
        <f t="shared" si="26"/>
        <v>15</v>
      </c>
      <c r="U99" s="153">
        <f t="shared" si="26"/>
        <v>6386</v>
      </c>
      <c r="V99" s="153">
        <f t="shared" si="26"/>
        <v>15</v>
      </c>
      <c r="W99" s="153">
        <f t="shared" si="26"/>
        <v>4894</v>
      </c>
      <c r="X99" s="154">
        <f t="shared" si="26"/>
        <v>2335</v>
      </c>
    </row>
    <row r="100" spans="1:24" ht="15" thickBot="1" x14ac:dyDescent="0.35">
      <c r="A100" s="140">
        <v>2523.5100000000002</v>
      </c>
      <c r="B100" s="140">
        <v>2313.5100000000002</v>
      </c>
      <c r="C100" s="140">
        <v>1160</v>
      </c>
      <c r="D100" s="140">
        <v>2479.5500000000002</v>
      </c>
      <c r="E100" s="140">
        <v>570</v>
      </c>
      <c r="F100" s="140">
        <v>2172.23</v>
      </c>
      <c r="G100" s="140">
        <v>1880.37</v>
      </c>
      <c r="H100" s="140">
        <f>SUM(A100:G100)+I97</f>
        <v>42325.039999999994</v>
      </c>
      <c r="I100" s="140">
        <f t="shared" si="25"/>
        <v>55438.94</v>
      </c>
      <c r="K100" s="140">
        <v>5076</v>
      </c>
      <c r="L100" s="140">
        <v>2175</v>
      </c>
      <c r="M100" s="140">
        <v>5348</v>
      </c>
      <c r="N100" s="140">
        <v>145</v>
      </c>
      <c r="O100" s="140">
        <v>4870</v>
      </c>
      <c r="P100" s="140">
        <v>15</v>
      </c>
      <c r="Q100" s="140">
        <v>2184</v>
      </c>
      <c r="R100" s="140">
        <v>15</v>
      </c>
      <c r="S100" s="140">
        <v>776</v>
      </c>
      <c r="T100" s="140">
        <v>15</v>
      </c>
      <c r="U100" s="153">
        <v>6386</v>
      </c>
      <c r="V100" s="153">
        <v>15</v>
      </c>
      <c r="W100" s="153">
        <v>4894</v>
      </c>
      <c r="X100" s="153">
        <v>2335</v>
      </c>
    </row>
    <row r="101" spans="1:24" ht="15" thickBot="1" x14ac:dyDescent="0.35">
      <c r="A101" s="63">
        <f t="shared" ref="A101:H101" si="27">A99-A100</f>
        <v>0</v>
      </c>
      <c r="B101" s="63">
        <f t="shared" si="27"/>
        <v>0</v>
      </c>
      <c r="C101" s="63">
        <f t="shared" si="27"/>
        <v>-40</v>
      </c>
      <c r="D101" s="63">
        <f t="shared" si="27"/>
        <v>0</v>
      </c>
      <c r="E101" s="63">
        <f t="shared" si="27"/>
        <v>0</v>
      </c>
      <c r="F101" s="63">
        <f t="shared" si="27"/>
        <v>0</v>
      </c>
      <c r="G101" s="63">
        <f t="shared" si="27"/>
        <v>0</v>
      </c>
      <c r="H101" s="63">
        <f t="shared" si="27"/>
        <v>384</v>
      </c>
      <c r="I101" s="63">
        <f>SUM(B101:H101)+J98</f>
        <v>344</v>
      </c>
      <c r="K101" s="152">
        <f>K99-K100</f>
        <v>0</v>
      </c>
      <c r="L101" s="152">
        <f>L99-L100</f>
        <v>0</v>
      </c>
      <c r="M101" s="152">
        <f t="shared" ref="M101:N101" si="28">M99-M100</f>
        <v>0</v>
      </c>
      <c r="N101" s="152">
        <f t="shared" si="28"/>
        <v>0</v>
      </c>
      <c r="O101" s="152">
        <f t="shared" ref="O101:X101" si="29">O100-O99</f>
        <v>0</v>
      </c>
      <c r="P101" s="152">
        <f t="shared" si="29"/>
        <v>0</v>
      </c>
      <c r="Q101" s="152">
        <f t="shared" si="29"/>
        <v>0</v>
      </c>
      <c r="R101" s="152">
        <f t="shared" si="29"/>
        <v>0</v>
      </c>
      <c r="S101" s="152">
        <f t="shared" si="29"/>
        <v>0</v>
      </c>
      <c r="T101" s="152">
        <f t="shared" si="29"/>
        <v>0</v>
      </c>
      <c r="U101" s="152">
        <f t="shared" si="29"/>
        <v>0</v>
      </c>
      <c r="V101" s="152">
        <f t="shared" si="29"/>
        <v>0</v>
      </c>
      <c r="W101" s="152">
        <f t="shared" si="29"/>
        <v>0</v>
      </c>
      <c r="X101" s="152">
        <f t="shared" si="29"/>
        <v>0</v>
      </c>
    </row>
    <row r="102" spans="1:24" ht="15" thickBot="1" x14ac:dyDescent="0.35"/>
    <row r="103" spans="1:24" x14ac:dyDescent="0.3">
      <c r="A103" s="157">
        <v>46148</v>
      </c>
      <c r="B103" s="157">
        <f>A103+1</f>
        <v>46149</v>
      </c>
      <c r="C103" s="157">
        <f t="shared" ref="C103" si="30">B103+1</f>
        <v>46150</v>
      </c>
      <c r="D103" s="157">
        <f t="shared" ref="D103" si="31">C103+1</f>
        <v>46151</v>
      </c>
      <c r="E103" s="157">
        <f t="shared" ref="E103" si="32">D103+1</f>
        <v>46152</v>
      </c>
      <c r="F103" s="157">
        <f t="shared" ref="F103" si="33">E103+1</f>
        <v>46153</v>
      </c>
      <c r="G103" s="157">
        <f t="shared" ref="G103" si="34">F103+1</f>
        <v>46154</v>
      </c>
      <c r="H103" s="157"/>
      <c r="I103" s="13" t="s">
        <v>8</v>
      </c>
      <c r="K103" s="59">
        <v>46148</v>
      </c>
      <c r="L103" s="59"/>
      <c r="M103" s="59">
        <f>K103+1</f>
        <v>46149</v>
      </c>
      <c r="N103" s="59"/>
      <c r="O103" s="59">
        <f>M103+1</f>
        <v>46150</v>
      </c>
      <c r="P103" s="59"/>
      <c r="Q103" s="59">
        <f>O103+1</f>
        <v>46151</v>
      </c>
      <c r="R103" s="59"/>
      <c r="S103" s="59">
        <f>Q103+1</f>
        <v>46152</v>
      </c>
      <c r="T103" s="59"/>
      <c r="U103" s="59">
        <f>S103+1</f>
        <v>46153</v>
      </c>
      <c r="V103" s="59"/>
      <c r="W103" s="59">
        <f>U103+1</f>
        <v>46154</v>
      </c>
      <c r="X103" s="59"/>
    </row>
    <row r="104" spans="1:24" ht="15" thickBot="1" x14ac:dyDescent="0.35">
      <c r="A104" s="22">
        <v>505</v>
      </c>
      <c r="B104" s="22">
        <v>575</v>
      </c>
      <c r="C104" s="22">
        <v>590</v>
      </c>
      <c r="D104" s="22">
        <v>150</v>
      </c>
      <c r="E104" s="22">
        <v>575</v>
      </c>
      <c r="F104" s="22">
        <v>545</v>
      </c>
      <c r="G104" s="22">
        <v>270</v>
      </c>
      <c r="H104" s="160"/>
      <c r="I104" s="169">
        <v>3012.8</v>
      </c>
      <c r="K104" s="124" t="s">
        <v>10</v>
      </c>
      <c r="L104" s="125" t="s">
        <v>11</v>
      </c>
      <c r="M104" s="126" t="s">
        <v>10</v>
      </c>
      <c r="N104" s="126" t="s">
        <v>11</v>
      </c>
      <c r="O104" s="126" t="s">
        <v>10</v>
      </c>
      <c r="P104" s="126" t="s">
        <v>11</v>
      </c>
      <c r="Q104" s="126" t="s">
        <v>10</v>
      </c>
      <c r="R104" s="126" t="s">
        <v>11</v>
      </c>
      <c r="S104" s="126" t="s">
        <v>10</v>
      </c>
      <c r="T104" s="126" t="s">
        <v>11</v>
      </c>
      <c r="U104" s="126" t="s">
        <v>10</v>
      </c>
      <c r="V104" s="126" t="s">
        <v>11</v>
      </c>
      <c r="W104" s="126" t="s">
        <v>10</v>
      </c>
      <c r="X104" s="143" t="s">
        <v>11</v>
      </c>
    </row>
    <row r="105" spans="1:24" x14ac:dyDescent="0.3">
      <c r="A105" s="22">
        <v>745</v>
      </c>
      <c r="B105" s="22">
        <v>145</v>
      </c>
      <c r="C105" s="22">
        <v>975</v>
      </c>
      <c r="D105" s="22">
        <v>660</v>
      </c>
      <c r="E105" s="22"/>
      <c r="F105" s="22">
        <v>530</v>
      </c>
      <c r="G105" s="22">
        <v>650</v>
      </c>
      <c r="H105" s="65"/>
      <c r="I105" s="169">
        <v>6235.7</v>
      </c>
      <c r="K105" s="24">
        <v>56</v>
      </c>
      <c r="L105" s="56">
        <v>15</v>
      </c>
      <c r="M105" s="22">
        <v>58</v>
      </c>
      <c r="N105" s="22">
        <v>15</v>
      </c>
      <c r="O105" s="43">
        <v>26</v>
      </c>
      <c r="P105" s="22">
        <v>15</v>
      </c>
      <c r="Q105" s="22">
        <v>58</v>
      </c>
      <c r="R105" s="22">
        <v>15</v>
      </c>
      <c r="S105" s="22">
        <v>80</v>
      </c>
      <c r="T105" s="37">
        <v>15</v>
      </c>
      <c r="U105" s="22">
        <v>26</v>
      </c>
      <c r="V105" s="22">
        <v>15</v>
      </c>
      <c r="W105" s="22">
        <v>340</v>
      </c>
      <c r="X105" s="22">
        <v>15</v>
      </c>
    </row>
    <row r="106" spans="1:24" x14ac:dyDescent="0.3">
      <c r="A106" s="22">
        <v>1198.29</v>
      </c>
      <c r="B106" s="44">
        <v>1368.29</v>
      </c>
      <c r="C106" s="22">
        <v>1368.29</v>
      </c>
      <c r="D106" s="22">
        <v>2465.83</v>
      </c>
      <c r="E106" s="46"/>
      <c r="F106" s="22">
        <v>1676.43</v>
      </c>
      <c r="G106" s="22">
        <v>1532.67</v>
      </c>
      <c r="H106" s="160"/>
      <c r="I106" s="169">
        <v>520.44000000000005</v>
      </c>
      <c r="K106" s="24">
        <v>250</v>
      </c>
      <c r="L106" s="56">
        <v>175.4</v>
      </c>
      <c r="M106" s="22">
        <v>330</v>
      </c>
      <c r="N106" s="22">
        <v>400</v>
      </c>
      <c r="O106" s="43">
        <v>260</v>
      </c>
      <c r="P106" s="22">
        <v>664.2</v>
      </c>
      <c r="Q106" s="22">
        <v>270</v>
      </c>
      <c r="R106" s="22"/>
      <c r="S106" s="22">
        <v>148</v>
      </c>
      <c r="T106" s="37"/>
      <c r="U106" s="22">
        <v>230</v>
      </c>
      <c r="V106" s="22">
        <v>300</v>
      </c>
      <c r="W106" s="22">
        <v>336</v>
      </c>
      <c r="X106" s="22">
        <v>75.5</v>
      </c>
    </row>
    <row r="107" spans="1:24" x14ac:dyDescent="0.3">
      <c r="A107" s="22"/>
      <c r="B107" s="41"/>
      <c r="C107" s="22"/>
      <c r="D107" s="22"/>
      <c r="E107" s="22"/>
      <c r="F107" s="22"/>
      <c r="G107" s="22"/>
      <c r="H107" s="65"/>
      <c r="I107" s="169">
        <v>4280</v>
      </c>
      <c r="K107" s="24">
        <v>424</v>
      </c>
      <c r="L107" s="56"/>
      <c r="M107" s="22">
        <v>304</v>
      </c>
      <c r="N107" s="22">
        <v>1800</v>
      </c>
      <c r="O107" s="43">
        <v>432</v>
      </c>
      <c r="P107" s="22">
        <v>52</v>
      </c>
      <c r="Q107" s="22">
        <v>404</v>
      </c>
      <c r="R107" s="22"/>
      <c r="S107" s="22">
        <v>670</v>
      </c>
      <c r="T107" s="37"/>
      <c r="U107" s="22">
        <v>182</v>
      </c>
      <c r="V107" s="22"/>
      <c r="W107" s="22">
        <v>3980</v>
      </c>
      <c r="X107" s="22"/>
    </row>
    <row r="108" spans="1:24" x14ac:dyDescent="0.3">
      <c r="A108" s="22"/>
      <c r="B108" s="22"/>
      <c r="C108" s="22"/>
      <c r="D108" s="22"/>
      <c r="E108" s="22"/>
      <c r="F108" s="22"/>
      <c r="G108" s="22"/>
      <c r="H108" s="160"/>
      <c r="I108" s="169">
        <v>848</v>
      </c>
      <c r="K108" s="24">
        <v>3900</v>
      </c>
      <c r="L108" s="56"/>
      <c r="M108" s="22">
        <v>3250</v>
      </c>
      <c r="N108" s="22"/>
      <c r="O108" s="43">
        <v>4720</v>
      </c>
      <c r="P108" s="22">
        <v>316</v>
      </c>
      <c r="Q108" s="22">
        <v>2520</v>
      </c>
      <c r="R108" s="22"/>
      <c r="S108" s="22"/>
      <c r="T108" s="37"/>
      <c r="U108" s="22">
        <v>2520</v>
      </c>
      <c r="V108" s="22"/>
      <c r="W108" s="22">
        <v>670</v>
      </c>
      <c r="X108" s="22"/>
    </row>
    <row r="109" spans="1:24" x14ac:dyDescent="0.3">
      <c r="A109" s="22"/>
      <c r="B109" s="22"/>
      <c r="C109" s="22"/>
      <c r="D109" s="22"/>
      <c r="E109" s="22"/>
      <c r="F109" s="22"/>
      <c r="G109" s="22"/>
      <c r="H109" s="65"/>
      <c r="I109" s="169">
        <v>1068</v>
      </c>
      <c r="K109" s="24">
        <v>630</v>
      </c>
      <c r="L109" s="56"/>
      <c r="M109" s="22">
        <v>940</v>
      </c>
      <c r="N109" s="22"/>
      <c r="O109" s="43">
        <v>650</v>
      </c>
      <c r="P109" s="22"/>
      <c r="Q109" s="22">
        <v>140</v>
      </c>
      <c r="R109" s="22"/>
      <c r="S109" s="22"/>
      <c r="T109" s="37"/>
      <c r="U109" s="22">
        <v>490</v>
      </c>
      <c r="V109" s="22"/>
      <c r="W109" s="22"/>
      <c r="X109" s="22"/>
    </row>
    <row r="110" spans="1:24" x14ac:dyDescent="0.3">
      <c r="A110" s="22"/>
      <c r="B110" s="22"/>
      <c r="C110" s="22"/>
      <c r="D110" s="22"/>
      <c r="E110" s="22"/>
      <c r="F110" s="22"/>
      <c r="G110" s="22"/>
      <c r="H110" s="160"/>
      <c r="I110" s="169">
        <v>1315.54</v>
      </c>
      <c r="K110" s="133"/>
      <c r="L110" s="166"/>
      <c r="M110" s="166"/>
      <c r="N110" s="166"/>
      <c r="O110" s="166"/>
      <c r="P110" s="166"/>
      <c r="Q110" s="166"/>
      <c r="R110" s="166"/>
      <c r="S110" s="166"/>
      <c r="T110" s="167"/>
      <c r="U110" s="22"/>
      <c r="V110" s="166"/>
      <c r="W110" s="166"/>
      <c r="X110" s="166"/>
    </row>
    <row r="111" spans="1:24" x14ac:dyDescent="0.3">
      <c r="A111" s="22"/>
      <c r="B111" s="22"/>
      <c r="C111" s="22"/>
      <c r="D111" s="22"/>
      <c r="E111" s="22"/>
      <c r="F111" s="22"/>
      <c r="G111" s="22"/>
      <c r="H111" s="65"/>
      <c r="I111" s="169">
        <v>864</v>
      </c>
      <c r="K111" s="24"/>
      <c r="L111" s="56"/>
      <c r="M111" s="22"/>
      <c r="N111" s="22"/>
      <c r="O111" s="43"/>
      <c r="P111" s="22"/>
      <c r="Q111" s="22"/>
      <c r="R111" s="22"/>
      <c r="S111" s="22"/>
      <c r="T111" s="37"/>
      <c r="U111" s="22"/>
      <c r="V111" s="22"/>
      <c r="W111" s="22"/>
      <c r="X111" s="22"/>
    </row>
    <row r="112" spans="1:24" x14ac:dyDescent="0.3">
      <c r="A112" s="22"/>
      <c r="B112" s="22"/>
      <c r="C112" s="22"/>
      <c r="D112" s="22"/>
      <c r="E112" s="22"/>
      <c r="F112" s="22"/>
      <c r="G112" s="22"/>
      <c r="H112" s="160"/>
      <c r="I112" s="169">
        <v>2484</v>
      </c>
      <c r="K112" s="24"/>
      <c r="L112" s="56"/>
      <c r="M112" s="22"/>
      <c r="N112" s="22"/>
      <c r="O112" s="43"/>
      <c r="P112" s="22"/>
      <c r="Q112" s="22"/>
      <c r="R112" s="22"/>
      <c r="S112" s="22"/>
      <c r="T112" s="37"/>
      <c r="U112" s="22"/>
      <c r="V112" s="22"/>
      <c r="W112" s="22"/>
      <c r="X112" s="22"/>
    </row>
    <row r="113" spans="1:24" x14ac:dyDescent="0.3">
      <c r="A113" s="22"/>
      <c r="B113" s="22"/>
      <c r="C113" s="22"/>
      <c r="D113" s="22"/>
      <c r="E113" s="22"/>
      <c r="F113" s="22"/>
      <c r="G113" s="22"/>
      <c r="H113" s="65"/>
      <c r="I113" s="169">
        <v>982</v>
      </c>
      <c r="K113" s="24"/>
      <c r="L113" s="56"/>
      <c r="M113" s="22"/>
      <c r="N113" s="22"/>
      <c r="O113" s="43"/>
      <c r="P113" s="22"/>
      <c r="Q113" s="22"/>
      <c r="R113" s="22"/>
      <c r="S113" s="22" t="s">
        <v>54</v>
      </c>
      <c r="T113" s="37"/>
      <c r="U113" s="22"/>
      <c r="V113" s="22"/>
      <c r="W113" s="22"/>
      <c r="X113" s="22"/>
    </row>
    <row r="114" spans="1:24" x14ac:dyDescent="0.3">
      <c r="A114" s="22"/>
      <c r="B114" s="22"/>
      <c r="C114" s="22"/>
      <c r="D114" s="22"/>
      <c r="E114" s="22"/>
      <c r="F114" s="22"/>
      <c r="G114" s="22"/>
      <c r="H114" s="160"/>
      <c r="I114" s="169">
        <v>760</v>
      </c>
      <c r="K114" s="24"/>
      <c r="L114" s="56"/>
      <c r="M114" s="22"/>
      <c r="N114" s="22" t="s">
        <v>9</v>
      </c>
      <c r="O114" s="43"/>
      <c r="P114" s="22"/>
      <c r="Q114" s="22"/>
      <c r="R114" s="22"/>
      <c r="S114" s="22"/>
      <c r="T114" s="37"/>
      <c r="U114" s="22"/>
      <c r="V114" s="22"/>
      <c r="W114" s="22"/>
      <c r="X114" s="22"/>
    </row>
    <row r="115" spans="1:24" x14ac:dyDescent="0.3">
      <c r="A115" s="22"/>
      <c r="B115" s="22"/>
      <c r="C115" s="22"/>
      <c r="D115" s="22"/>
      <c r="E115" s="22"/>
      <c r="F115" s="22"/>
      <c r="G115" s="22"/>
      <c r="H115" s="65"/>
      <c r="I115" s="170">
        <v>4240</v>
      </c>
      <c r="K115" s="24"/>
      <c r="L115" s="56"/>
      <c r="M115" s="22"/>
      <c r="N115" s="22"/>
      <c r="O115" s="43"/>
      <c r="P115" s="22"/>
      <c r="Q115" s="22"/>
      <c r="R115" s="22"/>
      <c r="S115" s="22"/>
      <c r="T115" s="37"/>
      <c r="U115" s="22"/>
      <c r="V115" s="22"/>
      <c r="W115" s="22"/>
      <c r="X115" s="22"/>
    </row>
    <row r="116" spans="1:24" ht="15" thickBot="1" x14ac:dyDescent="0.35">
      <c r="A116" s="22"/>
      <c r="B116" s="22"/>
      <c r="C116" s="22"/>
      <c r="D116" s="22"/>
      <c r="E116" s="22"/>
      <c r="F116" s="22"/>
      <c r="G116" s="22"/>
      <c r="H116" s="160"/>
      <c r="I116" s="27"/>
      <c r="K116" s="24"/>
      <c r="L116" s="56"/>
      <c r="M116" s="22"/>
      <c r="N116" s="22" t="s">
        <v>9</v>
      </c>
      <c r="O116" s="43"/>
      <c r="P116" s="22"/>
      <c r="Q116" s="22"/>
      <c r="R116" s="22"/>
      <c r="S116" s="22"/>
      <c r="T116" s="37"/>
      <c r="U116" s="22"/>
      <c r="V116" s="22"/>
      <c r="W116" s="22"/>
      <c r="X116" s="22"/>
    </row>
    <row r="117" spans="1:24" ht="15.6" thickTop="1" thickBot="1" x14ac:dyDescent="0.35">
      <c r="A117" s="22"/>
      <c r="B117" s="22"/>
      <c r="C117" s="22"/>
      <c r="D117" s="22"/>
      <c r="E117" s="22"/>
      <c r="F117" s="22"/>
      <c r="G117" s="22"/>
      <c r="H117" s="65"/>
      <c r="I117" s="132">
        <f>SUM(I104:I116)</f>
        <v>26610.48</v>
      </c>
      <c r="K117" s="24"/>
      <c r="L117" s="56"/>
      <c r="M117" s="22"/>
      <c r="N117" s="22"/>
      <c r="O117" s="43"/>
      <c r="P117" s="22"/>
      <c r="Q117" s="22"/>
      <c r="R117" s="22"/>
      <c r="S117" s="22"/>
      <c r="T117" s="37"/>
      <c r="U117" s="22"/>
      <c r="V117" s="22"/>
      <c r="W117" s="22"/>
      <c r="X117" s="22"/>
    </row>
    <row r="118" spans="1:24" ht="15.6" thickTop="1" thickBot="1" x14ac:dyDescent="0.35">
      <c r="A118" s="22"/>
      <c r="B118" s="22"/>
      <c r="C118" s="22"/>
      <c r="D118" s="22"/>
      <c r="E118" s="22"/>
      <c r="F118" s="22"/>
      <c r="G118" s="22"/>
      <c r="H118" s="160"/>
      <c r="I118" s="27"/>
      <c r="K118" s="133"/>
      <c r="L118" s="166"/>
      <c r="M118" s="166"/>
      <c r="N118" s="166"/>
      <c r="O118" s="166"/>
      <c r="P118" s="166"/>
      <c r="Q118" s="166"/>
      <c r="R118" s="166"/>
      <c r="S118" s="166"/>
      <c r="T118" s="167"/>
      <c r="U118" s="22"/>
      <c r="V118" s="166"/>
      <c r="W118" s="166"/>
      <c r="X118" s="166"/>
    </row>
    <row r="119" spans="1:24" ht="15" thickBot="1" x14ac:dyDescent="0.35">
      <c r="A119" s="140">
        <f>SUM(A104:A118)</f>
        <v>2448.29</v>
      </c>
      <c r="B119" s="140">
        <f t="shared" ref="B119:G119" si="35">SUM(B104:B118)</f>
        <v>2088.29</v>
      </c>
      <c r="C119" s="140">
        <f t="shared" si="35"/>
        <v>2933.29</v>
      </c>
      <c r="D119" s="140">
        <f t="shared" si="35"/>
        <v>3275.83</v>
      </c>
      <c r="E119" s="140">
        <f t="shared" si="35"/>
        <v>575</v>
      </c>
      <c r="F119" s="140">
        <f t="shared" si="35"/>
        <v>2751.4300000000003</v>
      </c>
      <c r="G119" s="140">
        <f t="shared" si="35"/>
        <v>2452.67</v>
      </c>
      <c r="H119" s="29">
        <f>SUM(A119:G119)+I117</f>
        <v>43135.28</v>
      </c>
      <c r="I119" s="150" t="s">
        <v>64</v>
      </c>
      <c r="K119" s="152">
        <f t="shared" ref="K119" si="36">SUM(K104:K118)</f>
        <v>5260</v>
      </c>
      <c r="L119" s="152">
        <f t="shared" ref="L119:V119" si="37">SUM(L104:L118)</f>
        <v>190.4</v>
      </c>
      <c r="M119" s="152">
        <f t="shared" si="37"/>
        <v>4882</v>
      </c>
      <c r="N119" s="152">
        <f t="shared" si="37"/>
        <v>2215</v>
      </c>
      <c r="O119" s="152">
        <f t="shared" si="37"/>
        <v>6088</v>
      </c>
      <c r="P119" s="152">
        <v>1047.2</v>
      </c>
      <c r="Q119" s="152">
        <f t="shared" si="37"/>
        <v>3392</v>
      </c>
      <c r="R119" s="152">
        <f t="shared" si="37"/>
        <v>15</v>
      </c>
      <c r="S119" s="152">
        <f t="shared" si="37"/>
        <v>898</v>
      </c>
      <c r="T119" s="152">
        <f t="shared" si="37"/>
        <v>15</v>
      </c>
      <c r="U119" s="152">
        <f t="shared" si="37"/>
        <v>3448</v>
      </c>
      <c r="V119" s="152">
        <f t="shared" si="37"/>
        <v>315</v>
      </c>
      <c r="W119" s="152">
        <f>SUM(W104:W118)</f>
        <v>5326</v>
      </c>
      <c r="X119" s="154">
        <f t="shared" ref="X119" si="38">SUM(X104:X118)</f>
        <v>90.5</v>
      </c>
    </row>
    <row r="120" spans="1:24" ht="15" thickBot="1" x14ac:dyDescent="0.35">
      <c r="A120" s="140">
        <v>2448.29</v>
      </c>
      <c r="B120" s="140">
        <v>2088.29</v>
      </c>
      <c r="C120" s="140">
        <v>2933.29</v>
      </c>
      <c r="D120" s="140">
        <v>3275.83</v>
      </c>
      <c r="E120" s="140">
        <v>575</v>
      </c>
      <c r="F120" s="140">
        <v>2751.43</v>
      </c>
      <c r="G120" s="140">
        <v>2452.67</v>
      </c>
      <c r="H120" s="140">
        <f>SUM(A120:G120)+I117</f>
        <v>43135.28</v>
      </c>
      <c r="I120" s="140">
        <f t="shared" ref="I120" si="39">SUM(I105:I119)</f>
        <v>50208.160000000003</v>
      </c>
      <c r="K120" s="152">
        <v>5260</v>
      </c>
      <c r="L120" s="152">
        <v>190.4</v>
      </c>
      <c r="M120" s="152">
        <v>4882</v>
      </c>
      <c r="N120" s="152">
        <v>2215</v>
      </c>
      <c r="O120" s="152">
        <v>6088</v>
      </c>
      <c r="P120" s="152">
        <v>1047.2</v>
      </c>
      <c r="Q120" s="152">
        <v>3392</v>
      </c>
      <c r="R120" s="152">
        <v>15</v>
      </c>
      <c r="S120" s="152">
        <v>898</v>
      </c>
      <c r="T120" s="152">
        <v>15</v>
      </c>
      <c r="U120" s="152">
        <v>3448</v>
      </c>
      <c r="V120" s="152">
        <v>315</v>
      </c>
      <c r="W120" s="152">
        <v>5326</v>
      </c>
      <c r="X120" s="152">
        <v>90.5</v>
      </c>
    </row>
    <row r="121" spans="1:24" ht="15" thickBot="1" x14ac:dyDescent="0.35">
      <c r="A121" s="63">
        <f t="shared" ref="A121:H121" si="40">A119-A120</f>
        <v>0</v>
      </c>
      <c r="B121" s="63">
        <f t="shared" si="40"/>
        <v>0</v>
      </c>
      <c r="C121" s="63">
        <f t="shared" si="40"/>
        <v>0</v>
      </c>
      <c r="D121" s="63">
        <f t="shared" si="40"/>
        <v>0</v>
      </c>
      <c r="E121" s="63">
        <f t="shared" si="40"/>
        <v>0</v>
      </c>
      <c r="F121" s="63">
        <f t="shared" si="40"/>
        <v>0</v>
      </c>
      <c r="G121" s="63">
        <f t="shared" si="40"/>
        <v>0</v>
      </c>
      <c r="H121" s="63">
        <f t="shared" si="40"/>
        <v>0</v>
      </c>
      <c r="I121" s="63">
        <f>SUM(B121:H121)+J118</f>
        <v>0</v>
      </c>
      <c r="K121" s="152">
        <f>K119-K120</f>
        <v>0</v>
      </c>
      <c r="L121" s="152">
        <f>L119-L120</f>
        <v>0</v>
      </c>
      <c r="M121" s="152">
        <f t="shared" ref="M121:N121" si="41">M119-M120</f>
        <v>0</v>
      </c>
      <c r="N121" s="152">
        <f t="shared" si="41"/>
        <v>0</v>
      </c>
      <c r="O121" s="152">
        <f t="shared" ref="O121:V121" si="42">O120-O119</f>
        <v>0</v>
      </c>
      <c r="P121" s="152">
        <f t="shared" si="42"/>
        <v>0</v>
      </c>
      <c r="Q121" s="152">
        <f t="shared" si="42"/>
        <v>0</v>
      </c>
      <c r="R121" s="152">
        <f t="shared" si="42"/>
        <v>0</v>
      </c>
      <c r="S121" s="152">
        <f t="shared" si="42"/>
        <v>0</v>
      </c>
      <c r="T121" s="152">
        <f t="shared" si="42"/>
        <v>0</v>
      </c>
      <c r="U121" s="152">
        <f t="shared" si="42"/>
        <v>0</v>
      </c>
      <c r="V121" s="152">
        <f t="shared" si="42"/>
        <v>0</v>
      </c>
      <c r="W121" s="152">
        <f>W120-W119</f>
        <v>0</v>
      </c>
      <c r="X121" s="152">
        <f>X120-X119</f>
        <v>0</v>
      </c>
    </row>
    <row r="122" spans="1:24" ht="15" thickBot="1" x14ac:dyDescent="0.35"/>
    <row r="123" spans="1:24" x14ac:dyDescent="0.3">
      <c r="A123" s="157">
        <v>46155</v>
      </c>
      <c r="B123" s="157">
        <v>46156</v>
      </c>
      <c r="C123" s="157">
        <v>46157</v>
      </c>
      <c r="D123" s="157">
        <v>46158</v>
      </c>
      <c r="E123" s="157">
        <v>46159</v>
      </c>
      <c r="F123" s="157">
        <v>46160</v>
      </c>
      <c r="G123" s="157">
        <v>46161</v>
      </c>
      <c r="H123" s="157"/>
      <c r="I123" s="13" t="s">
        <v>8</v>
      </c>
      <c r="K123" s="59">
        <v>46155</v>
      </c>
      <c r="L123" s="59"/>
      <c r="M123" s="59">
        <f>K123+1</f>
        <v>46156</v>
      </c>
      <c r="N123" s="59"/>
      <c r="O123" s="59">
        <f>M123+1</f>
        <v>46157</v>
      </c>
      <c r="P123" s="59"/>
      <c r="Q123" s="59">
        <f>O123+1</f>
        <v>46158</v>
      </c>
      <c r="R123" s="59"/>
      <c r="S123" s="59">
        <f>Q123+1</f>
        <v>46159</v>
      </c>
      <c r="T123" s="59"/>
      <c r="U123" s="59">
        <f>S123+1</f>
        <v>46160</v>
      </c>
      <c r="V123" s="59"/>
      <c r="W123" s="59">
        <f>U123+1</f>
        <v>46161</v>
      </c>
      <c r="X123" s="59"/>
    </row>
    <row r="124" spans="1:24" ht="15" thickBot="1" x14ac:dyDescent="0.35">
      <c r="A124" s="22">
        <v>555</v>
      </c>
      <c r="B124" s="22">
        <v>475</v>
      </c>
      <c r="C124" s="22">
        <v>505</v>
      </c>
      <c r="D124" s="22">
        <v>305</v>
      </c>
      <c r="E124" s="22">
        <v>360</v>
      </c>
      <c r="F124" s="22">
        <v>725</v>
      </c>
      <c r="G124" s="22">
        <v>830</v>
      </c>
      <c r="H124" s="160"/>
      <c r="I124" s="169">
        <v>3012.8</v>
      </c>
      <c r="K124" s="124" t="s">
        <v>10</v>
      </c>
      <c r="L124" s="125" t="s">
        <v>11</v>
      </c>
      <c r="M124" s="126" t="s">
        <v>10</v>
      </c>
      <c r="N124" s="126" t="s">
        <v>11</v>
      </c>
      <c r="O124" s="126" t="s">
        <v>10</v>
      </c>
      <c r="P124" s="126" t="s">
        <v>11</v>
      </c>
      <c r="Q124" s="126" t="s">
        <v>10</v>
      </c>
      <c r="R124" s="126" t="s">
        <v>11</v>
      </c>
      <c r="S124" s="126" t="s">
        <v>10</v>
      </c>
      <c r="T124" s="126" t="s">
        <v>11</v>
      </c>
      <c r="U124" s="126" t="s">
        <v>10</v>
      </c>
      <c r="V124" s="126" t="s">
        <v>11</v>
      </c>
      <c r="W124" s="126" t="s">
        <v>10</v>
      </c>
      <c r="X124" s="143" t="s">
        <v>11</v>
      </c>
    </row>
    <row r="125" spans="1:24" x14ac:dyDescent="0.3">
      <c r="A125" s="22">
        <v>820</v>
      </c>
      <c r="B125" s="22">
        <v>590</v>
      </c>
      <c r="C125" s="22">
        <v>530</v>
      </c>
      <c r="D125" s="22">
        <v>1106</v>
      </c>
      <c r="E125" s="22"/>
      <c r="F125" s="22">
        <v>940</v>
      </c>
      <c r="G125" s="22">
        <v>820</v>
      </c>
      <c r="H125" s="65"/>
      <c r="I125" s="169">
        <v>6235.7</v>
      </c>
      <c r="K125" s="24">
        <v>62</v>
      </c>
      <c r="L125" s="56">
        <v>15</v>
      </c>
      <c r="M125" s="22">
        <v>30</v>
      </c>
      <c r="N125" s="22">
        <v>15</v>
      </c>
      <c r="O125" s="43">
        <v>30</v>
      </c>
      <c r="P125" s="22">
        <v>15</v>
      </c>
      <c r="Q125" s="22">
        <v>32</v>
      </c>
      <c r="R125" s="22">
        <v>15</v>
      </c>
      <c r="S125" s="22">
        <v>80</v>
      </c>
      <c r="T125" s="37">
        <v>15</v>
      </c>
      <c r="U125" s="22">
        <v>30</v>
      </c>
      <c r="V125" s="22">
        <v>15</v>
      </c>
      <c r="W125" s="22">
        <v>30</v>
      </c>
      <c r="X125" s="22">
        <v>15</v>
      </c>
    </row>
    <row r="126" spans="1:24" x14ac:dyDescent="0.3">
      <c r="A126" s="22">
        <v>1628.51</v>
      </c>
      <c r="B126" s="44">
        <v>1628.51</v>
      </c>
      <c r="C126" s="22">
        <v>1362.67</v>
      </c>
      <c r="D126" s="22">
        <v>1328.11</v>
      </c>
      <c r="E126" s="46"/>
      <c r="F126" s="22">
        <v>1458.51</v>
      </c>
      <c r="G126" s="22">
        <v>1458.51</v>
      </c>
      <c r="H126" s="160"/>
      <c r="I126" s="169">
        <v>3970</v>
      </c>
      <c r="K126" s="24">
        <v>280</v>
      </c>
      <c r="L126" s="56">
        <v>870</v>
      </c>
      <c r="M126" s="22">
        <v>425</v>
      </c>
      <c r="N126" s="22">
        <v>32</v>
      </c>
      <c r="O126" s="43">
        <v>280</v>
      </c>
      <c r="P126" s="22">
        <v>179.9</v>
      </c>
      <c r="Q126" s="22">
        <v>250</v>
      </c>
      <c r="R126" s="22">
        <v>55</v>
      </c>
      <c r="S126" s="22">
        <v>96</v>
      </c>
      <c r="T126" s="37"/>
      <c r="U126" s="22">
        <v>370</v>
      </c>
      <c r="V126" s="22"/>
      <c r="W126" s="22">
        <v>230</v>
      </c>
      <c r="X126" s="22">
        <v>198</v>
      </c>
    </row>
    <row r="127" spans="1:24" x14ac:dyDescent="0.3">
      <c r="A127" s="22"/>
      <c r="B127" s="41"/>
      <c r="C127" s="22"/>
      <c r="D127" s="22"/>
      <c r="E127" s="22"/>
      <c r="F127" s="22"/>
      <c r="G127" s="22"/>
      <c r="H127" s="65"/>
      <c r="I127" s="169">
        <v>424</v>
      </c>
      <c r="K127" s="24">
        <v>666</v>
      </c>
      <c r="L127" s="56"/>
      <c r="M127" s="22">
        <v>336</v>
      </c>
      <c r="N127" s="22"/>
      <c r="O127" s="43">
        <v>546</v>
      </c>
      <c r="P127" s="22"/>
      <c r="Q127" s="22">
        <v>384</v>
      </c>
      <c r="R127" s="22"/>
      <c r="S127" s="22">
        <v>700</v>
      </c>
      <c r="T127" s="37"/>
      <c r="U127" s="22">
        <v>516</v>
      </c>
      <c r="V127" s="22"/>
      <c r="W127" s="22">
        <v>306</v>
      </c>
      <c r="X127" s="22"/>
    </row>
    <row r="128" spans="1:24" x14ac:dyDescent="0.3">
      <c r="A128" s="22"/>
      <c r="B128" s="22"/>
      <c r="C128" s="22"/>
      <c r="D128" s="22"/>
      <c r="E128" s="22"/>
      <c r="F128" s="22"/>
      <c r="G128" s="22"/>
      <c r="H128" s="160"/>
      <c r="I128" s="169">
        <v>4664</v>
      </c>
      <c r="K128" s="24">
        <v>5180</v>
      </c>
      <c r="L128" s="56"/>
      <c r="M128" s="22">
        <v>3455</v>
      </c>
      <c r="N128" s="22"/>
      <c r="O128" s="43">
        <v>4950</v>
      </c>
      <c r="P128" s="22"/>
      <c r="Q128" s="22">
        <v>2050</v>
      </c>
      <c r="R128" s="22"/>
      <c r="S128" s="22"/>
      <c r="T128" s="37"/>
      <c r="U128" s="22">
        <v>4750</v>
      </c>
      <c r="V128" s="22"/>
      <c r="W128" s="22">
        <v>3290</v>
      </c>
      <c r="X128" s="22"/>
    </row>
    <row r="129" spans="1:24" x14ac:dyDescent="0.3">
      <c r="A129" s="22"/>
      <c r="B129" s="22" t="s">
        <v>68</v>
      </c>
      <c r="C129" s="22"/>
      <c r="D129" s="22"/>
      <c r="E129" s="22" t="s">
        <v>66</v>
      </c>
      <c r="F129" s="22"/>
      <c r="G129" s="22"/>
      <c r="H129" s="65"/>
      <c r="I129" s="169">
        <v>1794.5</v>
      </c>
      <c r="K129" s="24">
        <v>500</v>
      </c>
      <c r="L129" s="56"/>
      <c r="M129" s="22">
        <v>770</v>
      </c>
      <c r="N129" s="22"/>
      <c r="O129" s="43">
        <v>790</v>
      </c>
      <c r="P129" s="22"/>
      <c r="Q129" s="22"/>
      <c r="R129" s="22"/>
      <c r="S129" s="22"/>
      <c r="T129" s="37"/>
      <c r="U129" s="22">
        <v>650</v>
      </c>
      <c r="V129" s="22"/>
      <c r="W129" s="22">
        <v>1220</v>
      </c>
      <c r="X129" s="22"/>
    </row>
    <row r="130" spans="1:24" x14ac:dyDescent="0.3">
      <c r="A130" s="22"/>
      <c r="B130" s="22"/>
      <c r="C130" s="22"/>
      <c r="D130" s="22"/>
      <c r="E130" s="22"/>
      <c r="F130" s="22"/>
      <c r="G130" s="22"/>
      <c r="H130" s="160"/>
      <c r="I130" s="169">
        <v>1348.57</v>
      </c>
      <c r="K130" s="133"/>
      <c r="L130" s="166"/>
      <c r="M130" s="166"/>
      <c r="N130" s="166"/>
      <c r="O130" s="166"/>
      <c r="P130" s="166"/>
      <c r="Q130" s="166"/>
      <c r="R130" s="166"/>
      <c r="S130" s="166"/>
      <c r="T130" s="167"/>
      <c r="U130" s="22"/>
      <c r="V130" s="166"/>
      <c r="W130" s="166"/>
      <c r="X130" s="166"/>
    </row>
    <row r="131" spans="1:24" x14ac:dyDescent="0.3">
      <c r="A131" s="22"/>
      <c r="B131" s="22"/>
      <c r="C131" s="22"/>
      <c r="D131" s="22"/>
      <c r="E131" s="22"/>
      <c r="F131" s="22"/>
      <c r="G131" s="22"/>
      <c r="H131" s="65"/>
      <c r="I131" s="169">
        <v>864</v>
      </c>
      <c r="K131" s="24"/>
      <c r="L131" s="56"/>
      <c r="M131" s="22"/>
      <c r="N131" s="22"/>
      <c r="O131" s="43"/>
      <c r="P131" s="22"/>
      <c r="Q131" s="22"/>
      <c r="R131" s="22"/>
      <c r="S131" s="22"/>
      <c r="T131" s="37"/>
      <c r="U131" s="22"/>
      <c r="V131" s="22"/>
      <c r="W131" s="22"/>
      <c r="X131" s="22"/>
    </row>
    <row r="132" spans="1:24" x14ac:dyDescent="0.3">
      <c r="A132" s="22"/>
      <c r="B132" s="22"/>
      <c r="C132" s="22"/>
      <c r="D132" s="22"/>
      <c r="E132" s="22"/>
      <c r="F132" s="22"/>
      <c r="G132" s="22"/>
      <c r="H132" s="160"/>
      <c r="I132" s="169">
        <v>2484</v>
      </c>
      <c r="K132" s="24"/>
      <c r="L132" s="56"/>
      <c r="M132" s="22"/>
      <c r="N132" s="22"/>
      <c r="O132" s="43"/>
      <c r="P132" s="22"/>
      <c r="Q132" s="22"/>
      <c r="R132" s="22"/>
      <c r="S132" s="22"/>
      <c r="T132" s="37"/>
      <c r="U132" s="22"/>
      <c r="V132" s="22"/>
      <c r="W132" s="22"/>
      <c r="X132" s="22"/>
    </row>
    <row r="133" spans="1:24" x14ac:dyDescent="0.3">
      <c r="A133" s="22"/>
      <c r="B133" s="22"/>
      <c r="C133" s="22"/>
      <c r="D133" s="22"/>
      <c r="E133" s="22"/>
      <c r="F133" s="22"/>
      <c r="G133" s="22"/>
      <c r="H133" s="65"/>
      <c r="I133" s="169">
        <v>1257</v>
      </c>
      <c r="K133" s="24"/>
      <c r="L133" s="56"/>
      <c r="M133" s="22"/>
      <c r="N133" s="22"/>
      <c r="O133" s="43"/>
      <c r="P133" s="22"/>
      <c r="Q133" s="22"/>
      <c r="R133" s="22"/>
      <c r="S133" s="22"/>
      <c r="T133" s="37"/>
      <c r="U133" s="22"/>
      <c r="V133" s="22"/>
      <c r="W133" s="22"/>
      <c r="X133" s="22"/>
    </row>
    <row r="134" spans="1:24" x14ac:dyDescent="0.3">
      <c r="A134" s="22"/>
      <c r="B134" s="22"/>
      <c r="C134" s="22"/>
      <c r="D134" s="22" t="s">
        <v>70</v>
      </c>
      <c r="E134" s="22"/>
      <c r="F134" s="22" t="s">
        <v>67</v>
      </c>
      <c r="G134" s="22" t="s">
        <v>69</v>
      </c>
      <c r="H134" s="160"/>
      <c r="I134" s="169">
        <v>575</v>
      </c>
      <c r="K134" s="24"/>
      <c r="L134" s="56"/>
      <c r="M134" s="22"/>
      <c r="N134" s="22"/>
      <c r="O134" s="43"/>
      <c r="P134" s="22"/>
      <c r="Q134" s="22"/>
      <c r="R134" s="22"/>
      <c r="S134" s="22"/>
      <c r="T134" s="37"/>
      <c r="U134" s="22"/>
      <c r="V134" s="22"/>
      <c r="W134" s="22"/>
      <c r="X134" s="22"/>
    </row>
    <row r="135" spans="1:24" x14ac:dyDescent="0.3">
      <c r="A135" s="22"/>
      <c r="B135" s="22"/>
      <c r="C135" s="22"/>
      <c r="D135" s="22"/>
      <c r="E135" s="22"/>
      <c r="F135" s="22"/>
      <c r="G135" s="22"/>
      <c r="H135" s="65"/>
      <c r="I135" s="170"/>
      <c r="K135" s="24"/>
      <c r="L135" s="56"/>
      <c r="M135" s="22"/>
      <c r="N135" s="22"/>
      <c r="O135" s="43"/>
      <c r="P135" s="22"/>
      <c r="Q135" s="22"/>
      <c r="R135" s="22" t="s">
        <v>65</v>
      </c>
      <c r="S135" s="22"/>
      <c r="T135" s="37"/>
      <c r="U135" s="22"/>
      <c r="V135" s="22"/>
      <c r="W135" s="22"/>
      <c r="X135" s="22"/>
    </row>
    <row r="136" spans="1:24" ht="15" thickBot="1" x14ac:dyDescent="0.35">
      <c r="A136" s="22"/>
      <c r="B136" s="22"/>
      <c r="C136" s="22"/>
      <c r="D136" s="22"/>
      <c r="E136" s="22"/>
      <c r="F136" s="22"/>
      <c r="G136" s="22"/>
      <c r="H136" s="160"/>
      <c r="I136" s="27"/>
      <c r="K136" s="24"/>
      <c r="L136" s="56"/>
      <c r="M136" s="22"/>
      <c r="N136" s="22" t="s">
        <v>9</v>
      </c>
      <c r="O136" s="43"/>
      <c r="P136" s="22"/>
      <c r="Q136" s="22"/>
      <c r="R136" s="22"/>
      <c r="S136" s="22"/>
      <c r="T136" s="37"/>
      <c r="U136" s="22"/>
      <c r="V136" s="22"/>
      <c r="W136" s="22"/>
      <c r="X136" s="22"/>
    </row>
    <row r="137" spans="1:24" ht="15.6" thickTop="1" thickBot="1" x14ac:dyDescent="0.35">
      <c r="A137" s="22"/>
      <c r="B137" s="22"/>
      <c r="C137" s="22"/>
      <c r="D137" s="22"/>
      <c r="E137" s="22"/>
      <c r="F137" s="22"/>
      <c r="G137" s="22"/>
      <c r="H137" s="65">
        <v>424</v>
      </c>
      <c r="I137" s="132">
        <f>SUM(I124:I136)</f>
        <v>26629.57</v>
      </c>
      <c r="K137" s="24"/>
      <c r="L137" s="56"/>
      <c r="M137" s="22"/>
      <c r="N137" s="22"/>
      <c r="O137" s="43"/>
      <c r="P137" s="22"/>
      <c r="Q137" s="22"/>
      <c r="R137" s="22"/>
      <c r="S137" s="22"/>
      <c r="T137" s="37"/>
      <c r="U137" s="22"/>
      <c r="V137" s="22"/>
      <c r="W137" s="22"/>
      <c r="X137" s="22"/>
    </row>
    <row r="138" spans="1:24" ht="15.6" thickTop="1" thickBot="1" x14ac:dyDescent="0.35">
      <c r="A138" s="22"/>
      <c r="B138" s="22"/>
      <c r="C138" s="22"/>
      <c r="D138" s="22"/>
      <c r="E138" s="22"/>
      <c r="F138" s="22"/>
      <c r="G138" s="22"/>
      <c r="H138" s="160"/>
      <c r="I138" s="27"/>
      <c r="K138" s="133"/>
      <c r="L138" s="166"/>
      <c r="M138" s="166"/>
      <c r="N138" s="166"/>
      <c r="O138" s="166"/>
      <c r="P138" s="166"/>
      <c r="Q138" s="166"/>
      <c r="R138" s="166"/>
      <c r="S138" s="166"/>
      <c r="T138" s="167"/>
      <c r="U138" s="22"/>
      <c r="V138" s="166"/>
      <c r="W138" s="166"/>
      <c r="X138" s="166"/>
    </row>
    <row r="139" spans="1:24" ht="15" thickBot="1" x14ac:dyDescent="0.35">
      <c r="A139" s="140">
        <f>SUM(A124:A138)</f>
        <v>3003.51</v>
      </c>
      <c r="B139" s="140">
        <f t="shared" ref="B139:G139" si="43">SUM(B124:B138)</f>
        <v>2693.51</v>
      </c>
      <c r="C139" s="140">
        <f t="shared" si="43"/>
        <v>2397.67</v>
      </c>
      <c r="D139" s="140">
        <f t="shared" si="43"/>
        <v>2739.1099999999997</v>
      </c>
      <c r="E139" s="140">
        <f t="shared" si="43"/>
        <v>360</v>
      </c>
      <c r="F139" s="140">
        <f t="shared" si="43"/>
        <v>3123.51</v>
      </c>
      <c r="G139" s="140">
        <f t="shared" si="43"/>
        <v>3108.51</v>
      </c>
      <c r="H139" s="29">
        <f>SUM(A139:G139)+SUM(H137:I137)</f>
        <v>44479.39</v>
      </c>
      <c r="I139" s="150" t="s">
        <v>64</v>
      </c>
      <c r="K139" s="152">
        <f t="shared" ref="K139:P139" si="44">SUM(K124:K138)</f>
        <v>6688</v>
      </c>
      <c r="L139" s="152">
        <f t="shared" si="44"/>
        <v>885</v>
      </c>
      <c r="M139" s="152">
        <f t="shared" si="44"/>
        <v>5016</v>
      </c>
      <c r="N139" s="152">
        <f t="shared" si="44"/>
        <v>47</v>
      </c>
      <c r="O139" s="152">
        <f t="shared" si="44"/>
        <v>6596</v>
      </c>
      <c r="P139" s="152">
        <f t="shared" si="44"/>
        <v>194.9</v>
      </c>
      <c r="Q139" s="152">
        <f t="shared" ref="Q139:V139" si="45">SUM(Q124:Q138)</f>
        <v>2716</v>
      </c>
      <c r="R139" s="152">
        <f t="shared" si="45"/>
        <v>70</v>
      </c>
      <c r="S139" s="152">
        <f t="shared" si="45"/>
        <v>876</v>
      </c>
      <c r="T139" s="152">
        <f t="shared" si="45"/>
        <v>15</v>
      </c>
      <c r="U139" s="152">
        <f t="shared" si="45"/>
        <v>6316</v>
      </c>
      <c r="V139" s="152">
        <f t="shared" si="45"/>
        <v>15</v>
      </c>
      <c r="W139" s="152">
        <f>SUM(W124:W138)</f>
        <v>5076</v>
      </c>
      <c r="X139" s="154">
        <f t="shared" ref="X139" si="46">SUM(X124:X138)</f>
        <v>213</v>
      </c>
    </row>
    <row r="140" spans="1:24" ht="15" thickBot="1" x14ac:dyDescent="0.35">
      <c r="A140" s="140">
        <v>3003.51</v>
      </c>
      <c r="B140" s="140">
        <v>2693.51</v>
      </c>
      <c r="C140" s="140">
        <v>2397.67</v>
      </c>
      <c r="D140" s="140">
        <v>2739.11</v>
      </c>
      <c r="E140" s="140">
        <v>360</v>
      </c>
      <c r="F140" s="140">
        <v>3123.51</v>
      </c>
      <c r="G140" s="140">
        <v>3108.51</v>
      </c>
      <c r="H140" s="140">
        <f>SUM(A140:G140)+I137</f>
        <v>44055.39</v>
      </c>
      <c r="I140" s="140"/>
      <c r="K140" s="152">
        <v>6688</v>
      </c>
      <c r="L140" s="152">
        <v>885</v>
      </c>
      <c r="M140" s="152">
        <v>5016</v>
      </c>
      <c r="N140" s="152">
        <v>47</v>
      </c>
      <c r="O140" s="152">
        <v>6596</v>
      </c>
      <c r="P140" s="152">
        <v>194.9</v>
      </c>
      <c r="Q140" s="152">
        <v>2716</v>
      </c>
      <c r="R140" s="152">
        <v>70</v>
      </c>
      <c r="S140" s="152">
        <v>876</v>
      </c>
      <c r="T140" s="152">
        <v>15</v>
      </c>
      <c r="U140" s="152">
        <v>6316</v>
      </c>
      <c r="V140" s="152">
        <v>15</v>
      </c>
      <c r="W140" s="152">
        <v>5076</v>
      </c>
      <c r="X140" s="152">
        <v>213</v>
      </c>
    </row>
    <row r="141" spans="1:24" ht="15" thickBot="1" x14ac:dyDescent="0.35">
      <c r="A141" s="63">
        <f t="shared" ref="A141:H141" si="47">A139-A140</f>
        <v>0</v>
      </c>
      <c r="B141" s="63">
        <f t="shared" si="47"/>
        <v>0</v>
      </c>
      <c r="C141" s="63">
        <f t="shared" si="47"/>
        <v>0</v>
      </c>
      <c r="D141" s="63">
        <f t="shared" si="47"/>
        <v>0</v>
      </c>
      <c r="E141" s="63">
        <f t="shared" si="47"/>
        <v>0</v>
      </c>
      <c r="F141" s="63">
        <f t="shared" si="47"/>
        <v>0</v>
      </c>
      <c r="G141" s="63">
        <f t="shared" si="47"/>
        <v>0</v>
      </c>
      <c r="H141" s="63">
        <f t="shared" si="47"/>
        <v>424</v>
      </c>
      <c r="I141" s="63">
        <f>SUM(B141:H141)+J138</f>
        <v>424</v>
      </c>
      <c r="K141" s="152">
        <f>K139-K140</f>
        <v>0</v>
      </c>
      <c r="L141" s="152">
        <f>L139-L140</f>
        <v>0</v>
      </c>
      <c r="M141" s="152">
        <f t="shared" ref="M141:X141" si="48">M139-M140</f>
        <v>0</v>
      </c>
      <c r="N141" s="152">
        <f t="shared" si="48"/>
        <v>0</v>
      </c>
      <c r="O141" s="152">
        <f t="shared" si="48"/>
        <v>0</v>
      </c>
      <c r="P141" s="152">
        <f t="shared" si="48"/>
        <v>0</v>
      </c>
      <c r="Q141" s="152">
        <f t="shared" si="48"/>
        <v>0</v>
      </c>
      <c r="R141" s="152">
        <f t="shared" si="48"/>
        <v>0</v>
      </c>
      <c r="S141" s="152">
        <f t="shared" si="48"/>
        <v>0</v>
      </c>
      <c r="T141" s="152">
        <f t="shared" si="48"/>
        <v>0</v>
      </c>
      <c r="U141" s="152">
        <f t="shared" si="48"/>
        <v>0</v>
      </c>
      <c r="V141" s="152">
        <f t="shared" si="48"/>
        <v>0</v>
      </c>
      <c r="W141" s="152">
        <f t="shared" si="48"/>
        <v>0</v>
      </c>
      <c r="X141" s="152">
        <f t="shared" si="48"/>
        <v>0</v>
      </c>
    </row>
    <row r="142" spans="1:24" ht="15" thickBot="1" x14ac:dyDescent="0.35"/>
    <row r="143" spans="1:24" x14ac:dyDescent="0.3">
      <c r="A143" s="157">
        <v>46162</v>
      </c>
      <c r="B143" s="157">
        <v>46163</v>
      </c>
      <c r="C143" s="157">
        <v>46164</v>
      </c>
      <c r="D143" s="157">
        <v>46165</v>
      </c>
      <c r="E143" s="157">
        <v>46166</v>
      </c>
      <c r="F143" s="157">
        <v>46167</v>
      </c>
      <c r="G143" s="157">
        <v>46168</v>
      </c>
      <c r="H143" s="157"/>
      <c r="I143" s="13" t="s">
        <v>8</v>
      </c>
      <c r="K143" s="59">
        <v>46162</v>
      </c>
      <c r="L143" s="59"/>
      <c r="M143" s="59">
        <f>K143+1</f>
        <v>46163</v>
      </c>
      <c r="N143" s="59"/>
      <c r="O143" s="59">
        <f>M143+1</f>
        <v>46164</v>
      </c>
      <c r="P143" s="59"/>
      <c r="Q143" s="59">
        <f>O143+1</f>
        <v>46165</v>
      </c>
      <c r="R143" s="59"/>
      <c r="S143" s="59">
        <f>Q143+1</f>
        <v>46166</v>
      </c>
      <c r="T143" s="59"/>
      <c r="U143" s="59">
        <f>S143+1</f>
        <v>46167</v>
      </c>
      <c r="V143" s="59"/>
      <c r="W143" s="59">
        <f>U143+1</f>
        <v>46168</v>
      </c>
      <c r="X143" s="59"/>
    </row>
    <row r="144" spans="1:24" ht="15" thickBot="1" x14ac:dyDescent="0.35">
      <c r="A144" s="22">
        <v>654</v>
      </c>
      <c r="B144" s="22">
        <v>405</v>
      </c>
      <c r="C144" s="22">
        <v>420</v>
      </c>
      <c r="D144" s="22">
        <v>210</v>
      </c>
      <c r="E144" s="22">
        <v>75</v>
      </c>
      <c r="F144" s="22">
        <v>730</v>
      </c>
      <c r="G144" s="22">
        <v>680</v>
      </c>
      <c r="H144" s="160"/>
      <c r="I144" s="169">
        <v>3615.36</v>
      </c>
      <c r="K144" s="124" t="s">
        <v>10</v>
      </c>
      <c r="L144" s="125" t="s">
        <v>11</v>
      </c>
      <c r="M144" s="126" t="s">
        <v>10</v>
      </c>
      <c r="N144" s="126" t="s">
        <v>11</v>
      </c>
      <c r="O144" s="126" t="s">
        <v>10</v>
      </c>
      <c r="P144" s="126" t="s">
        <v>11</v>
      </c>
      <c r="Q144" s="126"/>
      <c r="R144" s="126" t="s">
        <v>11</v>
      </c>
      <c r="S144" s="126" t="s">
        <v>10</v>
      </c>
      <c r="T144" s="126" t="s">
        <v>11</v>
      </c>
      <c r="U144" s="126" t="s">
        <v>10</v>
      </c>
      <c r="V144" s="126" t="s">
        <v>11</v>
      </c>
      <c r="W144" s="126" t="s">
        <v>10</v>
      </c>
      <c r="X144" s="143" t="s">
        <v>11</v>
      </c>
    </row>
    <row r="145" spans="1:24" x14ac:dyDescent="0.3">
      <c r="A145" s="22">
        <v>675</v>
      </c>
      <c r="B145" s="22">
        <v>660</v>
      </c>
      <c r="C145" s="22">
        <v>1335</v>
      </c>
      <c r="D145" s="22">
        <v>565</v>
      </c>
      <c r="E145" s="22">
        <v>710</v>
      </c>
      <c r="F145" s="22">
        <f>1165+85</f>
        <v>1250</v>
      </c>
      <c r="G145" s="22">
        <v>965</v>
      </c>
      <c r="H145" s="65"/>
      <c r="I145" s="169">
        <v>6235.7</v>
      </c>
      <c r="K145" s="24">
        <v>30</v>
      </c>
      <c r="L145" s="56">
        <v>15</v>
      </c>
      <c r="M145" s="22">
        <v>30</v>
      </c>
      <c r="N145" s="22">
        <v>15</v>
      </c>
      <c r="O145" s="43">
        <v>62</v>
      </c>
      <c r="P145" s="22">
        <v>85</v>
      </c>
      <c r="Q145" s="22">
        <v>30</v>
      </c>
      <c r="R145" s="22">
        <v>15</v>
      </c>
      <c r="S145" s="22">
        <v>80</v>
      </c>
      <c r="T145" s="37">
        <v>15</v>
      </c>
      <c r="U145" s="22">
        <v>30</v>
      </c>
      <c r="V145" s="22">
        <v>15</v>
      </c>
      <c r="W145" s="22">
        <v>62</v>
      </c>
      <c r="X145" s="22">
        <v>15</v>
      </c>
    </row>
    <row r="146" spans="1:24" x14ac:dyDescent="0.3">
      <c r="A146" s="22">
        <v>1362.67</v>
      </c>
      <c r="B146" s="44">
        <v>1102.45</v>
      </c>
      <c r="C146" s="22">
        <v>1198.29</v>
      </c>
      <c r="D146" s="22">
        <v>1945.39</v>
      </c>
      <c r="E146" s="46"/>
      <c r="F146" s="22">
        <v>1232.56</v>
      </c>
      <c r="G146" s="22">
        <v>842.23</v>
      </c>
      <c r="H146" s="160"/>
      <c r="I146" s="169">
        <v>4280</v>
      </c>
      <c r="K146" s="24">
        <v>290</v>
      </c>
      <c r="L146" s="56">
        <v>140</v>
      </c>
      <c r="M146" s="22">
        <v>450</v>
      </c>
      <c r="N146" s="22">
        <v>60</v>
      </c>
      <c r="O146" s="43">
        <v>320</v>
      </c>
      <c r="P146" s="22">
        <v>540</v>
      </c>
      <c r="Q146" s="22">
        <v>370</v>
      </c>
      <c r="R146" s="22">
        <v>90</v>
      </c>
      <c r="S146" s="22">
        <v>156</v>
      </c>
      <c r="T146" s="37"/>
      <c r="U146" s="22">
        <v>680</v>
      </c>
      <c r="V146" s="22">
        <v>55</v>
      </c>
      <c r="W146" s="22">
        <v>340</v>
      </c>
      <c r="X146" s="22">
        <v>460</v>
      </c>
    </row>
    <row r="147" spans="1:24" x14ac:dyDescent="0.3">
      <c r="A147" s="22"/>
      <c r="B147" s="41"/>
      <c r="C147" s="22"/>
      <c r="D147" s="22"/>
      <c r="E147" s="22"/>
      <c r="F147" s="22"/>
      <c r="G147" s="22"/>
      <c r="H147" s="65"/>
      <c r="I147" s="169">
        <v>848</v>
      </c>
      <c r="K147" s="24">
        <v>456</v>
      </c>
      <c r="L147" s="56">
        <v>150</v>
      </c>
      <c r="M147" s="22">
        <v>336</v>
      </c>
      <c r="N147" s="22"/>
      <c r="O147" s="43">
        <v>516</v>
      </c>
      <c r="P147" s="22"/>
      <c r="Q147" s="22">
        <v>252</v>
      </c>
      <c r="R147" s="22"/>
      <c r="S147" s="22">
        <v>580</v>
      </c>
      <c r="T147" s="37"/>
      <c r="U147" s="22">
        <v>498</v>
      </c>
      <c r="V147" s="22">
        <v>200</v>
      </c>
      <c r="W147" s="22">
        <v>336</v>
      </c>
      <c r="X147" s="22"/>
    </row>
    <row r="148" spans="1:24" x14ac:dyDescent="0.3">
      <c r="A148" s="22"/>
      <c r="B148" s="22"/>
      <c r="C148" s="22"/>
      <c r="D148" s="22"/>
      <c r="E148" s="22"/>
      <c r="F148" s="22"/>
      <c r="G148" s="22"/>
      <c r="H148" s="160"/>
      <c r="I148" s="169">
        <v>6360</v>
      </c>
      <c r="K148" s="24">
        <v>4020</v>
      </c>
      <c r="L148" s="56"/>
      <c r="M148" s="22">
        <v>3420</v>
      </c>
      <c r="N148" s="22"/>
      <c r="O148" s="43">
        <v>4770</v>
      </c>
      <c r="P148" s="22"/>
      <c r="Q148" s="22">
        <v>2170</v>
      </c>
      <c r="R148" s="22"/>
      <c r="S148" s="22"/>
      <c r="T148" s="37"/>
      <c r="U148" s="22">
        <v>4610</v>
      </c>
      <c r="V148" s="22"/>
      <c r="W148" s="22">
        <v>3150</v>
      </c>
      <c r="X148" s="22"/>
    </row>
    <row r="149" spans="1:24" x14ac:dyDescent="0.3">
      <c r="A149" s="22"/>
      <c r="B149" s="22"/>
      <c r="C149" s="22"/>
      <c r="D149" s="22"/>
      <c r="E149" s="22"/>
      <c r="F149" s="22"/>
      <c r="G149" s="22"/>
      <c r="H149" s="65"/>
      <c r="I149" s="169">
        <v>2152</v>
      </c>
      <c r="K149" s="24">
        <v>790</v>
      </c>
      <c r="L149" s="56"/>
      <c r="M149" s="22">
        <v>770</v>
      </c>
      <c r="N149" s="22"/>
      <c r="O149" s="43">
        <v>1050</v>
      </c>
      <c r="P149" s="22"/>
      <c r="Q149" s="22">
        <v>420</v>
      </c>
      <c r="R149" s="22"/>
      <c r="S149" s="22"/>
      <c r="T149" s="37"/>
      <c r="U149" s="22">
        <v>720</v>
      </c>
      <c r="V149" s="22"/>
      <c r="W149" s="22">
        <v>780</v>
      </c>
      <c r="X149" s="22"/>
    </row>
    <row r="150" spans="1:24" x14ac:dyDescent="0.3">
      <c r="A150" s="22"/>
      <c r="B150" s="22"/>
      <c r="C150" s="22"/>
      <c r="D150" s="22"/>
      <c r="E150" s="22"/>
      <c r="F150" s="22"/>
      <c r="G150" s="22"/>
      <c r="H150" s="160"/>
      <c r="I150" s="169">
        <v>1605.54</v>
      </c>
      <c r="K150" s="133"/>
      <c r="L150" s="166"/>
      <c r="M150" s="166"/>
      <c r="N150" s="166"/>
      <c r="O150" s="166"/>
      <c r="P150" s="166" t="s">
        <v>9</v>
      </c>
      <c r="Q150" s="166"/>
      <c r="R150" s="166"/>
      <c r="S150" s="166"/>
      <c r="T150" s="167"/>
      <c r="U150" s="22"/>
      <c r="V150" s="166"/>
      <c r="W150" s="166"/>
      <c r="X150" s="166"/>
    </row>
    <row r="151" spans="1:24" x14ac:dyDescent="0.3">
      <c r="A151" s="22"/>
      <c r="B151" s="22"/>
      <c r="C151" s="22"/>
      <c r="D151" s="22"/>
      <c r="E151" s="22"/>
      <c r="F151" s="22"/>
      <c r="G151" s="22"/>
      <c r="H151" s="65"/>
      <c r="I151" s="169">
        <v>424</v>
      </c>
      <c r="K151" s="24"/>
      <c r="L151" s="56"/>
      <c r="M151" s="22"/>
      <c r="N151" s="22"/>
      <c r="O151" s="166"/>
      <c r="P151" s="22"/>
      <c r="Q151" s="22"/>
      <c r="R151" s="22"/>
      <c r="S151" s="22"/>
      <c r="T151" s="37"/>
      <c r="U151" s="22"/>
      <c r="V151" s="22"/>
      <c r="W151" s="22"/>
      <c r="X151" s="22"/>
    </row>
    <row r="152" spans="1:24" x14ac:dyDescent="0.3">
      <c r="A152" s="22"/>
      <c r="B152" s="22"/>
      <c r="C152" s="22"/>
      <c r="D152" s="22"/>
      <c r="E152" s="22"/>
      <c r="F152" s="22"/>
      <c r="G152" s="22"/>
      <c r="H152" s="160"/>
      <c r="I152" s="169">
        <v>2300</v>
      </c>
      <c r="K152" s="24"/>
      <c r="L152" s="56"/>
      <c r="M152" s="22"/>
      <c r="N152" s="22"/>
      <c r="O152" s="43"/>
      <c r="P152" s="22"/>
      <c r="Q152" s="22"/>
      <c r="R152" s="22"/>
      <c r="S152" s="22"/>
      <c r="T152" s="37"/>
      <c r="U152" s="22"/>
      <c r="V152" s="22"/>
      <c r="W152" s="22"/>
      <c r="X152" s="22"/>
    </row>
    <row r="153" spans="1:24" x14ac:dyDescent="0.3">
      <c r="A153" s="22"/>
      <c r="B153" s="22"/>
      <c r="C153" s="22"/>
      <c r="D153" s="22"/>
      <c r="E153" s="22"/>
      <c r="F153" s="22"/>
      <c r="G153" s="22"/>
      <c r="H153" s="65"/>
      <c r="I153" s="169">
        <v>1571</v>
      </c>
      <c r="K153" s="24"/>
      <c r="L153" s="56"/>
      <c r="M153" s="22"/>
      <c r="N153" s="22"/>
      <c r="O153" s="43"/>
      <c r="P153" s="22"/>
      <c r="Q153" s="22"/>
      <c r="R153" s="22"/>
      <c r="S153" s="22"/>
      <c r="T153" s="37"/>
      <c r="U153" s="22"/>
      <c r="V153" s="22"/>
      <c r="W153" s="22"/>
      <c r="X153" s="22"/>
    </row>
    <row r="154" spans="1:24" x14ac:dyDescent="0.3">
      <c r="A154" s="22"/>
      <c r="B154" s="22"/>
      <c r="C154" s="22"/>
      <c r="D154" s="22"/>
      <c r="E154" s="22"/>
      <c r="F154" s="22"/>
      <c r="G154" s="22"/>
      <c r="H154" s="160"/>
      <c r="I154" s="169">
        <v>799</v>
      </c>
      <c r="K154" s="24"/>
      <c r="L154" s="56"/>
      <c r="M154" s="22"/>
      <c r="N154" s="22"/>
      <c r="O154" s="43"/>
      <c r="P154" s="22" t="s">
        <v>14</v>
      </c>
      <c r="Q154" s="22"/>
      <c r="R154" s="22"/>
      <c r="S154" s="22"/>
      <c r="T154" s="37"/>
      <c r="U154" s="22"/>
      <c r="V154" s="22"/>
      <c r="W154" s="22"/>
      <c r="X154" s="22"/>
    </row>
    <row r="155" spans="1:24" x14ac:dyDescent="0.3">
      <c r="A155" s="22"/>
      <c r="B155" s="22"/>
      <c r="C155" s="22"/>
      <c r="D155" s="22"/>
      <c r="E155" s="22"/>
      <c r="F155" s="22"/>
      <c r="G155" s="22"/>
      <c r="H155" s="65"/>
      <c r="I155" s="170">
        <v>520.44000000000005</v>
      </c>
      <c r="K155" s="24"/>
      <c r="L155" s="56"/>
      <c r="M155" s="22"/>
      <c r="N155" s="22" t="s">
        <v>9</v>
      </c>
      <c r="O155" s="43"/>
      <c r="P155" s="22"/>
      <c r="Q155" s="22"/>
      <c r="R155" s="22"/>
      <c r="S155" s="22"/>
      <c r="T155" s="37"/>
      <c r="U155" s="22"/>
      <c r="V155" s="22"/>
      <c r="W155" s="22"/>
      <c r="X155" s="22"/>
    </row>
    <row r="156" spans="1:24" ht="15" thickBot="1" x14ac:dyDescent="0.35">
      <c r="A156" s="22"/>
      <c r="B156" s="22"/>
      <c r="C156" s="22"/>
      <c r="D156" s="22"/>
      <c r="E156" s="22"/>
      <c r="F156" s="22"/>
      <c r="G156" s="22"/>
      <c r="H156" s="160"/>
      <c r="I156" s="27"/>
      <c r="K156" s="24"/>
      <c r="L156" s="56"/>
      <c r="M156" s="22"/>
      <c r="N156" s="22" t="s">
        <v>9</v>
      </c>
      <c r="O156" s="43"/>
      <c r="P156" s="22"/>
      <c r="Q156" s="22"/>
      <c r="R156" s="22"/>
      <c r="S156" s="22"/>
      <c r="T156" s="37"/>
      <c r="U156" s="22"/>
      <c r="V156" s="22"/>
      <c r="W156" s="22"/>
      <c r="X156" s="22"/>
    </row>
    <row r="157" spans="1:24" ht="15.6" thickTop="1" thickBot="1" x14ac:dyDescent="0.35">
      <c r="A157" s="22"/>
      <c r="B157" s="22"/>
      <c r="C157" s="22"/>
      <c r="D157" s="22"/>
      <c r="E157" s="22"/>
      <c r="F157" s="22"/>
      <c r="G157" s="22"/>
      <c r="H157" s="65"/>
      <c r="I157" s="132">
        <f>SUM(I144:I156)</f>
        <v>30711.039999999997</v>
      </c>
      <c r="K157" s="24"/>
      <c r="L157" s="56"/>
      <c r="M157" s="22"/>
      <c r="N157" s="22"/>
      <c r="O157" s="43"/>
      <c r="P157" s="22"/>
      <c r="Q157" s="22"/>
      <c r="R157" s="22"/>
      <c r="S157" s="22"/>
      <c r="T157" s="37"/>
      <c r="U157" s="22"/>
      <c r="V157" s="22"/>
      <c r="W157" s="22"/>
      <c r="X157" s="22"/>
    </row>
    <row r="158" spans="1:24" ht="15.6" thickTop="1" thickBot="1" x14ac:dyDescent="0.35">
      <c r="A158" s="22"/>
      <c r="B158" s="22"/>
      <c r="C158" s="22"/>
      <c r="D158" s="22"/>
      <c r="E158" s="22"/>
      <c r="F158" s="22"/>
      <c r="G158" s="22"/>
      <c r="H158" s="160"/>
      <c r="I158" s="27"/>
      <c r="K158" s="133"/>
      <c r="L158" s="166"/>
      <c r="M158" s="166"/>
      <c r="N158" s="166"/>
      <c r="O158" s="166"/>
      <c r="P158" s="166"/>
      <c r="Q158" s="166"/>
      <c r="R158" s="166"/>
      <c r="S158" s="166"/>
      <c r="T158" s="167"/>
      <c r="U158" s="22"/>
      <c r="V158" s="166"/>
      <c r="W158" s="166"/>
      <c r="X158" s="166"/>
    </row>
    <row r="159" spans="1:24" ht="15" thickBot="1" x14ac:dyDescent="0.35">
      <c r="A159" s="140">
        <f>SUM(A144:A158)</f>
        <v>2691.67</v>
      </c>
      <c r="B159" s="140">
        <f t="shared" ref="B159:G159" si="49">SUM(B144:B158)</f>
        <v>2167.4499999999998</v>
      </c>
      <c r="C159" s="140">
        <f t="shared" si="49"/>
        <v>2953.29</v>
      </c>
      <c r="D159" s="140">
        <f t="shared" si="49"/>
        <v>2720.3900000000003</v>
      </c>
      <c r="E159" s="140">
        <f t="shared" si="49"/>
        <v>785</v>
      </c>
      <c r="F159" s="140">
        <f t="shared" si="49"/>
        <v>3212.56</v>
      </c>
      <c r="G159" s="140">
        <f t="shared" si="49"/>
        <v>2487.23</v>
      </c>
      <c r="H159" s="29">
        <f>SUM(A159:G159)+I157</f>
        <v>47728.63</v>
      </c>
      <c r="I159" s="150" t="s">
        <v>64</v>
      </c>
      <c r="K159" s="152">
        <f t="shared" ref="K159:V159" si="50">SUM(K144:K158)</f>
        <v>5586</v>
      </c>
      <c r="L159" s="152">
        <f t="shared" si="50"/>
        <v>305</v>
      </c>
      <c r="M159" s="152">
        <f t="shared" si="50"/>
        <v>5006</v>
      </c>
      <c r="N159" s="152">
        <f t="shared" si="50"/>
        <v>75</v>
      </c>
      <c r="O159" s="152">
        <f t="shared" si="50"/>
        <v>6718</v>
      </c>
      <c r="P159" s="152">
        <f t="shared" si="50"/>
        <v>625</v>
      </c>
      <c r="Q159" s="152">
        <f t="shared" si="50"/>
        <v>3242</v>
      </c>
      <c r="R159" s="152">
        <f t="shared" si="50"/>
        <v>105</v>
      </c>
      <c r="S159" s="152">
        <f t="shared" si="50"/>
        <v>816</v>
      </c>
      <c r="T159" s="152">
        <f t="shared" si="50"/>
        <v>15</v>
      </c>
      <c r="U159" s="152">
        <f t="shared" si="50"/>
        <v>6538</v>
      </c>
      <c r="V159" s="152">
        <f t="shared" si="50"/>
        <v>270</v>
      </c>
      <c r="W159" s="152">
        <f>SUM(W144:W158)</f>
        <v>4668</v>
      </c>
      <c r="X159" s="154">
        <f t="shared" ref="X159" si="51">SUM(X144:X158)</f>
        <v>475</v>
      </c>
    </row>
    <row r="160" spans="1:24" ht="15" thickBot="1" x14ac:dyDescent="0.35">
      <c r="A160" s="140">
        <v>2691.67</v>
      </c>
      <c r="B160" s="140">
        <v>2167.4499999999998</v>
      </c>
      <c r="C160" s="140">
        <v>2953.29</v>
      </c>
      <c r="D160" s="140">
        <v>2720.39</v>
      </c>
      <c r="E160" s="140">
        <v>785</v>
      </c>
      <c r="F160" s="140">
        <v>3127.56</v>
      </c>
      <c r="G160" s="140">
        <v>2487.23</v>
      </c>
      <c r="H160" s="140">
        <f>SUM(A160:G160)+I157</f>
        <v>47643.63</v>
      </c>
      <c r="I160" s="140"/>
      <c r="K160" s="152">
        <v>5586</v>
      </c>
      <c r="L160" s="152">
        <v>305</v>
      </c>
      <c r="M160" s="152">
        <v>5006</v>
      </c>
      <c r="N160" s="152">
        <v>75</v>
      </c>
      <c r="O160" s="152">
        <v>6718</v>
      </c>
      <c r="P160" s="152">
        <v>625</v>
      </c>
      <c r="Q160" s="152">
        <v>3242</v>
      </c>
      <c r="R160" s="152">
        <v>105</v>
      </c>
      <c r="S160" s="152">
        <v>816</v>
      </c>
      <c r="T160" s="152">
        <v>15</v>
      </c>
      <c r="U160" s="152">
        <v>6538</v>
      </c>
      <c r="V160" s="152">
        <v>270</v>
      </c>
      <c r="W160" s="152">
        <v>4668</v>
      </c>
      <c r="X160" s="152">
        <v>475</v>
      </c>
    </row>
    <row r="161" spans="1:24" ht="15" thickBot="1" x14ac:dyDescent="0.35">
      <c r="A161" s="63">
        <f t="shared" ref="A161:H161" si="52">A159-A160</f>
        <v>0</v>
      </c>
      <c r="B161" s="63">
        <f t="shared" si="52"/>
        <v>0</v>
      </c>
      <c r="C161" s="63">
        <f t="shared" si="52"/>
        <v>0</v>
      </c>
      <c r="D161" s="63">
        <f t="shared" si="52"/>
        <v>0</v>
      </c>
      <c r="E161" s="63">
        <f t="shared" si="52"/>
        <v>0</v>
      </c>
      <c r="F161" s="63">
        <f t="shared" si="52"/>
        <v>85</v>
      </c>
      <c r="G161" s="63">
        <f t="shared" si="52"/>
        <v>0</v>
      </c>
      <c r="H161" s="63">
        <f t="shared" si="52"/>
        <v>85</v>
      </c>
      <c r="I161" s="63">
        <f>SUM(B161:H161)+J158</f>
        <v>170</v>
      </c>
      <c r="K161" s="152">
        <f>K159-K160</f>
        <v>0</v>
      </c>
      <c r="L161" s="152">
        <f>L159-L160</f>
        <v>0</v>
      </c>
      <c r="M161" s="152">
        <f t="shared" ref="M161:X161" si="53">M159-M160</f>
        <v>0</v>
      </c>
      <c r="N161" s="152">
        <f t="shared" si="53"/>
        <v>0</v>
      </c>
      <c r="O161" s="152">
        <f t="shared" si="53"/>
        <v>0</v>
      </c>
      <c r="P161" s="152">
        <f t="shared" si="53"/>
        <v>0</v>
      </c>
      <c r="Q161" s="152">
        <f t="shared" si="53"/>
        <v>0</v>
      </c>
      <c r="R161" s="152">
        <f t="shared" si="53"/>
        <v>0</v>
      </c>
      <c r="S161" s="152">
        <f t="shared" si="53"/>
        <v>0</v>
      </c>
      <c r="T161" s="152">
        <f t="shared" si="53"/>
        <v>0</v>
      </c>
      <c r="U161" s="152">
        <f t="shared" si="53"/>
        <v>0</v>
      </c>
      <c r="V161" s="152">
        <f t="shared" si="53"/>
        <v>0</v>
      </c>
      <c r="W161" s="152">
        <f t="shared" si="53"/>
        <v>0</v>
      </c>
      <c r="X161" s="152">
        <f t="shared" si="53"/>
        <v>0</v>
      </c>
    </row>
    <row r="162" spans="1:24" ht="15" thickBot="1" x14ac:dyDescent="0.35"/>
    <row r="163" spans="1:24" x14ac:dyDescent="0.3">
      <c r="A163" s="157">
        <v>46169</v>
      </c>
      <c r="B163" s="157">
        <v>46170</v>
      </c>
      <c r="C163" s="157">
        <v>46171</v>
      </c>
      <c r="D163" s="157">
        <v>46172</v>
      </c>
      <c r="E163" s="157">
        <v>46173</v>
      </c>
      <c r="F163" s="157">
        <v>46174</v>
      </c>
      <c r="G163" s="157">
        <v>46175</v>
      </c>
      <c r="H163" s="157"/>
      <c r="I163" s="13" t="s">
        <v>8</v>
      </c>
      <c r="K163" s="59">
        <v>46169</v>
      </c>
      <c r="L163" s="59"/>
      <c r="M163" s="59">
        <f>K163+1</f>
        <v>46170</v>
      </c>
      <c r="N163" s="59"/>
      <c r="O163" s="59">
        <f>M163+1</f>
        <v>46171</v>
      </c>
      <c r="P163" s="59"/>
      <c r="Q163" s="59">
        <f>O163+1</f>
        <v>46172</v>
      </c>
      <c r="R163" s="59"/>
      <c r="S163" s="59">
        <f>Q163+1</f>
        <v>46173</v>
      </c>
      <c r="T163" s="59"/>
      <c r="U163" s="59">
        <f>S163+1</f>
        <v>46174</v>
      </c>
      <c r="V163" s="59"/>
      <c r="W163" s="59">
        <f>U163+1</f>
        <v>46175</v>
      </c>
      <c r="X163" s="59"/>
    </row>
    <row r="164" spans="1:24" ht="15" thickBot="1" x14ac:dyDescent="0.35">
      <c r="A164" s="22">
        <v>585</v>
      </c>
      <c r="B164" s="22">
        <v>505</v>
      </c>
      <c r="C164" s="22">
        <v>405</v>
      </c>
      <c r="D164" s="22">
        <v>70</v>
      </c>
      <c r="E164" s="22">
        <v>360</v>
      </c>
      <c r="F164" s="22">
        <v>510</v>
      </c>
      <c r="G164" s="22">
        <v>540</v>
      </c>
      <c r="H164" s="160"/>
      <c r="I164" s="169">
        <v>3916.64</v>
      </c>
      <c r="K164" s="124" t="s">
        <v>10</v>
      </c>
      <c r="L164" s="125" t="s">
        <v>11</v>
      </c>
      <c r="M164" s="126" t="s">
        <v>10</v>
      </c>
      <c r="N164" s="126" t="s">
        <v>11</v>
      </c>
      <c r="O164" s="126" t="s">
        <v>10</v>
      </c>
      <c r="P164" s="126" t="s">
        <v>11</v>
      </c>
      <c r="Q164" s="126"/>
      <c r="R164" s="126" t="s">
        <v>11</v>
      </c>
      <c r="S164" s="126" t="s">
        <v>10</v>
      </c>
      <c r="T164" s="126" t="s">
        <v>11</v>
      </c>
      <c r="U164" s="126" t="s">
        <v>10</v>
      </c>
      <c r="V164" s="126" t="s">
        <v>11</v>
      </c>
      <c r="W164" s="126" t="s">
        <v>10</v>
      </c>
      <c r="X164" s="143" t="s">
        <v>11</v>
      </c>
    </row>
    <row r="165" spans="1:24" x14ac:dyDescent="0.3">
      <c r="A165" s="22">
        <v>805</v>
      </c>
      <c r="B165" s="22">
        <v>590</v>
      </c>
      <c r="C165" s="22">
        <v>855</v>
      </c>
      <c r="D165" s="22">
        <v>590</v>
      </c>
      <c r="E165" s="22"/>
      <c r="F165" s="22">
        <v>1010</v>
      </c>
      <c r="G165" s="22">
        <v>685</v>
      </c>
      <c r="H165" s="65"/>
      <c r="I165" s="169">
        <v>6235.7</v>
      </c>
      <c r="K165" s="24">
        <v>30</v>
      </c>
      <c r="L165" s="56">
        <v>15</v>
      </c>
      <c r="M165" s="22">
        <v>30</v>
      </c>
      <c r="N165" s="22">
        <v>15</v>
      </c>
      <c r="O165" s="43">
        <v>30</v>
      </c>
      <c r="P165" s="22">
        <v>15</v>
      </c>
      <c r="Q165" s="22">
        <v>370</v>
      </c>
      <c r="R165" s="22">
        <v>15</v>
      </c>
      <c r="S165" s="22">
        <v>70</v>
      </c>
      <c r="T165" s="37">
        <v>15</v>
      </c>
      <c r="U165" s="22">
        <v>62</v>
      </c>
      <c r="V165" s="22">
        <v>186</v>
      </c>
      <c r="W165" s="22">
        <v>30</v>
      </c>
      <c r="X165" s="22">
        <v>15</v>
      </c>
    </row>
    <row r="166" spans="1:24" x14ac:dyDescent="0.3">
      <c r="A166" s="22">
        <v>746.39</v>
      </c>
      <c r="B166" s="44">
        <v>1362.67</v>
      </c>
      <c r="C166" s="22">
        <v>1362.67</v>
      </c>
      <c r="D166" s="22">
        <v>1329.11</v>
      </c>
      <c r="E166" s="46"/>
      <c r="F166" s="22">
        <v>1458.51</v>
      </c>
      <c r="G166" s="22">
        <v>1554.35</v>
      </c>
      <c r="H166" s="160"/>
      <c r="I166" s="169">
        <v>260.22000000000003</v>
      </c>
      <c r="K166" s="24">
        <v>440</v>
      </c>
      <c r="L166" s="56">
        <v>28.75</v>
      </c>
      <c r="M166" s="22">
        <v>330</v>
      </c>
      <c r="N166" s="22"/>
      <c r="O166" s="43">
        <v>360</v>
      </c>
      <c r="P166" s="22">
        <v>131</v>
      </c>
      <c r="Q166" s="22">
        <v>192</v>
      </c>
      <c r="R166" s="22">
        <v>65</v>
      </c>
      <c r="S166" s="22">
        <v>96</v>
      </c>
      <c r="T166" s="37"/>
      <c r="U166" s="22">
        <v>290</v>
      </c>
      <c r="V166" s="22"/>
      <c r="W166" s="22">
        <v>330</v>
      </c>
      <c r="X166" s="22">
        <v>214.6</v>
      </c>
    </row>
    <row r="167" spans="1:24" x14ac:dyDescent="0.3">
      <c r="A167" s="22"/>
      <c r="B167" s="41"/>
      <c r="C167" s="22"/>
      <c r="D167" s="22"/>
      <c r="E167" s="22"/>
      <c r="F167" s="22"/>
      <c r="G167" s="22"/>
      <c r="H167" s="65"/>
      <c r="I167" s="169">
        <v>4260</v>
      </c>
      <c r="K167" s="24">
        <v>456</v>
      </c>
      <c r="L167" s="56">
        <v>420</v>
      </c>
      <c r="M167" s="22">
        <v>366</v>
      </c>
      <c r="N167" s="22"/>
      <c r="O167" s="43">
        <v>546</v>
      </c>
      <c r="P167" s="22">
        <v>839</v>
      </c>
      <c r="Q167" s="22">
        <v>1640</v>
      </c>
      <c r="R167" s="22"/>
      <c r="S167" s="22">
        <v>730</v>
      </c>
      <c r="T167" s="37"/>
      <c r="U167" s="22">
        <v>516</v>
      </c>
      <c r="V167" s="22"/>
      <c r="W167" s="22">
        <v>336</v>
      </c>
      <c r="X167" s="22">
        <v>1240</v>
      </c>
    </row>
    <row r="168" spans="1:24" x14ac:dyDescent="0.3">
      <c r="A168" s="22"/>
      <c r="B168" s="22"/>
      <c r="C168" s="22"/>
      <c r="D168" s="22"/>
      <c r="E168" s="22"/>
      <c r="F168" s="22"/>
      <c r="G168" s="22"/>
      <c r="H168" s="160"/>
      <c r="I168" s="169">
        <v>848</v>
      </c>
      <c r="K168" s="24">
        <v>3840</v>
      </c>
      <c r="L168" s="56"/>
      <c r="M168" s="22">
        <v>3150</v>
      </c>
      <c r="N168" s="22"/>
      <c r="O168" s="43">
        <v>4420</v>
      </c>
      <c r="P168" s="22"/>
      <c r="Q168" s="22"/>
      <c r="R168" s="22"/>
      <c r="S168" s="22"/>
      <c r="T168" s="37"/>
      <c r="U168" s="22">
        <v>4480</v>
      </c>
      <c r="V168" s="22"/>
      <c r="W168" s="22">
        <v>3740</v>
      </c>
      <c r="X168" s="22"/>
    </row>
    <row r="169" spans="1:24" x14ac:dyDescent="0.3">
      <c r="A169" s="22"/>
      <c r="B169" s="22"/>
      <c r="C169" s="22"/>
      <c r="D169" s="22"/>
      <c r="E169" s="22"/>
      <c r="F169" s="22"/>
      <c r="G169" s="22"/>
      <c r="H169" s="65"/>
      <c r="I169" s="169">
        <v>2484</v>
      </c>
      <c r="K169" s="24">
        <v>780</v>
      </c>
      <c r="L169" s="56"/>
      <c r="M169" s="22">
        <v>490</v>
      </c>
      <c r="N169" s="22"/>
      <c r="O169" s="43">
        <v>500</v>
      </c>
      <c r="P169" s="22"/>
      <c r="Q169" s="22"/>
      <c r="R169" s="22"/>
      <c r="S169" s="22"/>
      <c r="T169" s="37"/>
      <c r="U169" s="22">
        <v>1210</v>
      </c>
      <c r="V169" s="22"/>
      <c r="W169" s="22">
        <v>770</v>
      </c>
      <c r="X169" s="22"/>
    </row>
    <row r="170" spans="1:24" x14ac:dyDescent="0.3">
      <c r="A170" s="22"/>
      <c r="B170" s="22"/>
      <c r="C170" s="22"/>
      <c r="D170" s="22"/>
      <c r="E170" s="22"/>
      <c r="F170" s="22"/>
      <c r="G170" s="22" t="s">
        <v>9</v>
      </c>
      <c r="H170" s="160"/>
      <c r="I170" s="169">
        <v>6996</v>
      </c>
      <c r="K170" s="133"/>
      <c r="L170" s="166"/>
      <c r="M170" s="166"/>
      <c r="N170" s="166"/>
      <c r="O170" s="166"/>
      <c r="P170" s="166" t="s">
        <v>9</v>
      </c>
      <c r="Q170" s="166"/>
      <c r="R170" s="166"/>
      <c r="S170" s="166"/>
      <c r="T170" s="167"/>
      <c r="U170" s="22"/>
      <c r="V170" s="166"/>
      <c r="W170" s="166"/>
      <c r="X170" s="166"/>
    </row>
    <row r="171" spans="1:24" x14ac:dyDescent="0.3">
      <c r="A171" s="22"/>
      <c r="B171" s="22"/>
      <c r="C171" s="22"/>
      <c r="D171" s="22"/>
      <c r="E171" s="22"/>
      <c r="F171" s="22"/>
      <c r="G171" s="22"/>
      <c r="H171" s="65"/>
      <c r="I171" s="169">
        <v>1508</v>
      </c>
      <c r="K171" s="24"/>
      <c r="L171" s="56"/>
      <c r="M171" s="22"/>
      <c r="N171" s="22"/>
      <c r="O171" s="166"/>
      <c r="P171" s="22"/>
      <c r="Q171" s="22"/>
      <c r="R171" s="22"/>
      <c r="S171" s="22"/>
      <c r="T171" s="37"/>
      <c r="U171" s="22"/>
      <c r="V171" s="22"/>
      <c r="W171" s="22"/>
      <c r="X171" s="22"/>
    </row>
    <row r="172" spans="1:24" x14ac:dyDescent="0.3">
      <c r="A172" s="22"/>
      <c r="B172" s="22"/>
      <c r="C172" s="22"/>
      <c r="D172" s="22"/>
      <c r="E172" s="22"/>
      <c r="F172" s="22"/>
      <c r="G172" s="22"/>
      <c r="H172" s="160"/>
      <c r="I172" s="169">
        <v>1315.54</v>
      </c>
      <c r="K172" s="24"/>
      <c r="L172" s="56"/>
      <c r="M172" s="22"/>
      <c r="N172" s="22"/>
      <c r="O172" s="43"/>
      <c r="P172" s="22"/>
      <c r="Q172" s="22"/>
      <c r="R172" s="22"/>
      <c r="S172" s="22"/>
      <c r="T172" s="37"/>
      <c r="U172" s="22"/>
      <c r="V172" s="22"/>
      <c r="W172" s="22"/>
      <c r="X172" s="22"/>
    </row>
    <row r="173" spans="1:24" x14ac:dyDescent="0.3">
      <c r="A173" s="22"/>
      <c r="B173" s="22"/>
      <c r="C173" s="22"/>
      <c r="D173" s="22"/>
      <c r="E173" s="22"/>
      <c r="F173" s="22"/>
      <c r="G173" s="22"/>
      <c r="H173" s="65"/>
      <c r="I173" s="169">
        <v>1744</v>
      </c>
      <c r="K173" s="24"/>
      <c r="L173" s="56"/>
      <c r="M173" s="22"/>
      <c r="N173" s="22"/>
      <c r="O173" s="43"/>
      <c r="P173" s="22"/>
      <c r="Q173" s="22"/>
      <c r="R173" s="22"/>
      <c r="S173" s="22"/>
      <c r="T173" s="37"/>
      <c r="U173" s="22"/>
      <c r="V173" s="22"/>
      <c r="W173" s="22"/>
      <c r="X173" s="22"/>
    </row>
    <row r="174" spans="1:24" x14ac:dyDescent="0.3">
      <c r="A174" s="22"/>
      <c r="B174" s="22"/>
      <c r="C174" s="22"/>
      <c r="D174" s="22"/>
      <c r="E174" s="22"/>
      <c r="F174" s="22"/>
      <c r="G174" s="22"/>
      <c r="H174" s="160"/>
      <c r="I174" s="169">
        <v>606</v>
      </c>
      <c r="K174" s="24"/>
      <c r="L174" s="56"/>
      <c r="M174" s="22"/>
      <c r="N174" s="22"/>
      <c r="O174" s="43"/>
      <c r="P174" s="22" t="s">
        <v>14</v>
      </c>
      <c r="Q174" s="22"/>
      <c r="R174" s="22"/>
      <c r="S174" s="22"/>
      <c r="T174" s="37"/>
      <c r="U174" s="22"/>
      <c r="V174" s="22"/>
      <c r="W174" s="22"/>
      <c r="X174" s="22"/>
    </row>
    <row r="175" spans="1:24" x14ac:dyDescent="0.3">
      <c r="A175" s="22"/>
      <c r="B175" s="22"/>
      <c r="C175" s="22"/>
      <c r="D175" s="22"/>
      <c r="E175" s="22"/>
      <c r="F175" s="22"/>
      <c r="G175" s="22"/>
      <c r="H175" s="65"/>
      <c r="I175" s="170"/>
      <c r="K175" s="24"/>
      <c r="L175" s="56"/>
      <c r="M175" s="22"/>
      <c r="N175" s="22" t="s">
        <v>9</v>
      </c>
      <c r="O175" s="43"/>
      <c r="P175" s="22"/>
      <c r="Q175" s="22"/>
      <c r="R175" s="22"/>
      <c r="S175" s="22"/>
      <c r="T175" s="37"/>
      <c r="U175" s="22"/>
      <c r="V175" s="22"/>
      <c r="W175" s="22"/>
      <c r="X175" s="22"/>
    </row>
    <row r="176" spans="1:24" ht="15" thickBot="1" x14ac:dyDescent="0.35">
      <c r="A176" s="22"/>
      <c r="B176" s="22"/>
      <c r="C176" s="22"/>
      <c r="D176" s="22"/>
      <c r="E176" s="22"/>
      <c r="F176" s="22"/>
      <c r="G176" s="22"/>
      <c r="H176" s="160"/>
      <c r="I176" s="27"/>
      <c r="K176" s="24"/>
      <c r="L176" s="56"/>
      <c r="M176" s="22"/>
      <c r="N176" s="22" t="s">
        <v>9</v>
      </c>
      <c r="O176" s="43"/>
      <c r="P176" s="22"/>
      <c r="Q176" s="22"/>
      <c r="R176" s="22"/>
      <c r="S176" s="22"/>
      <c r="T176" s="37"/>
      <c r="U176" s="22"/>
      <c r="V176" s="22"/>
      <c r="W176" s="22"/>
      <c r="X176" s="22"/>
    </row>
    <row r="177" spans="1:24" ht="15.6" thickTop="1" thickBot="1" x14ac:dyDescent="0.35">
      <c r="A177" s="22"/>
      <c r="B177" s="22"/>
      <c r="C177" s="22"/>
      <c r="D177" s="22"/>
      <c r="E177" s="22"/>
      <c r="F177" s="22"/>
      <c r="G177" s="22"/>
      <c r="H177" s="65"/>
      <c r="I177" s="132">
        <f>SUM(I164:I176)</f>
        <v>30174.1</v>
      </c>
      <c r="K177" s="24"/>
      <c r="L177" s="56"/>
      <c r="M177" s="22"/>
      <c r="N177" s="22"/>
      <c r="O177" s="43"/>
      <c r="P177" s="22"/>
      <c r="Q177" s="22"/>
      <c r="R177" s="22"/>
      <c r="S177" s="22"/>
      <c r="T177" s="37"/>
      <c r="U177" s="22"/>
      <c r="V177" s="22"/>
      <c r="W177" s="22"/>
      <c r="X177" s="22"/>
    </row>
    <row r="178" spans="1:24" ht="15.6" thickTop="1" thickBot="1" x14ac:dyDescent="0.35">
      <c r="A178" s="22"/>
      <c r="B178" s="22"/>
      <c r="C178" s="22"/>
      <c r="D178" s="22"/>
      <c r="E178" s="22"/>
      <c r="F178" s="22"/>
      <c r="G178" s="22"/>
      <c r="H178" s="160"/>
      <c r="I178" s="27"/>
      <c r="K178" s="133"/>
      <c r="L178" s="166"/>
      <c r="M178" s="166"/>
      <c r="N178" s="166"/>
      <c r="O178" s="166"/>
      <c r="P178" s="166"/>
      <c r="Q178" s="166"/>
      <c r="R178" s="166"/>
      <c r="S178" s="166"/>
      <c r="T178" s="167"/>
      <c r="U178" s="22"/>
      <c r="V178" s="166"/>
      <c r="W178" s="166"/>
      <c r="X178" s="166"/>
    </row>
    <row r="179" spans="1:24" ht="15" thickBot="1" x14ac:dyDescent="0.35">
      <c r="A179" s="140">
        <f>SUM(A164:A178)</f>
        <v>2136.39</v>
      </c>
      <c r="B179" s="140">
        <f t="shared" ref="B179:G179" si="54">SUM(B164:B178)</f>
        <v>2457.67</v>
      </c>
      <c r="C179" s="140">
        <f t="shared" si="54"/>
        <v>2622.67</v>
      </c>
      <c r="D179" s="140">
        <f t="shared" si="54"/>
        <v>1989.11</v>
      </c>
      <c r="E179" s="140">
        <f t="shared" si="54"/>
        <v>360</v>
      </c>
      <c r="F179" s="140">
        <f t="shared" si="54"/>
        <v>2978.51</v>
      </c>
      <c r="G179" s="140">
        <f t="shared" si="54"/>
        <v>2779.35</v>
      </c>
      <c r="H179" s="29">
        <f>SUM(A179:G179)+I177</f>
        <v>45497.8</v>
      </c>
      <c r="I179" s="150" t="s">
        <v>64</v>
      </c>
      <c r="K179" s="152">
        <f t="shared" ref="K179:V179" si="55">SUM(K164:K178)</f>
        <v>5546</v>
      </c>
      <c r="L179" s="152">
        <f t="shared" si="55"/>
        <v>463.75</v>
      </c>
      <c r="M179" s="152">
        <f t="shared" si="55"/>
        <v>4366</v>
      </c>
      <c r="N179" s="152">
        <f t="shared" si="55"/>
        <v>15</v>
      </c>
      <c r="O179" s="152">
        <f t="shared" si="55"/>
        <v>5856</v>
      </c>
      <c r="P179" s="152">
        <f t="shared" si="55"/>
        <v>985</v>
      </c>
      <c r="Q179" s="152">
        <f t="shared" si="55"/>
        <v>2202</v>
      </c>
      <c r="R179" s="152">
        <f t="shared" si="55"/>
        <v>80</v>
      </c>
      <c r="S179" s="152">
        <f t="shared" si="55"/>
        <v>896</v>
      </c>
      <c r="T179" s="152">
        <f t="shared" si="55"/>
        <v>15</v>
      </c>
      <c r="U179" s="152">
        <f t="shared" si="55"/>
        <v>6558</v>
      </c>
      <c r="V179" s="152">
        <f t="shared" si="55"/>
        <v>186</v>
      </c>
      <c r="W179" s="152">
        <f>SUM(W164:W178)</f>
        <v>5206</v>
      </c>
      <c r="X179" s="154">
        <f t="shared" ref="X179" si="56">SUM(X164:X178)</f>
        <v>1469.6</v>
      </c>
    </row>
    <row r="180" spans="1:24" ht="15" thickBot="1" x14ac:dyDescent="0.35">
      <c r="A180" s="140">
        <v>2136.39</v>
      </c>
      <c r="B180" s="140">
        <v>2457.67</v>
      </c>
      <c r="C180" s="140">
        <v>2622.67</v>
      </c>
      <c r="D180" s="140">
        <v>1989.11</v>
      </c>
      <c r="E180" s="140">
        <f t="shared" ref="E180" si="57">SUM(E165:E179)</f>
        <v>360</v>
      </c>
      <c r="F180" s="140">
        <v>2978.51</v>
      </c>
      <c r="G180" s="140">
        <v>2779.35</v>
      </c>
      <c r="H180" s="140">
        <f>SUM(A180:G180)+I177</f>
        <v>45497.8</v>
      </c>
      <c r="I180" s="140"/>
      <c r="K180" s="152">
        <v>5546</v>
      </c>
      <c r="L180" s="152">
        <v>463.75</v>
      </c>
      <c r="M180" s="152">
        <v>4366</v>
      </c>
      <c r="N180" s="152">
        <v>15</v>
      </c>
      <c r="O180" s="152">
        <v>5856</v>
      </c>
      <c r="P180" s="152">
        <v>985</v>
      </c>
      <c r="Q180" s="152">
        <v>2202</v>
      </c>
      <c r="R180" s="152">
        <v>80</v>
      </c>
      <c r="S180" s="152">
        <v>896</v>
      </c>
      <c r="T180" s="152">
        <v>15</v>
      </c>
      <c r="U180" s="152">
        <v>6558</v>
      </c>
      <c r="V180" s="152">
        <v>186</v>
      </c>
      <c r="W180" s="152">
        <v>5206</v>
      </c>
      <c r="X180" s="152">
        <v>1469.6</v>
      </c>
    </row>
    <row r="181" spans="1:24" ht="15" thickBot="1" x14ac:dyDescent="0.35">
      <c r="A181" s="63">
        <f t="shared" ref="A181:H181" si="58">A179-A180</f>
        <v>0</v>
      </c>
      <c r="B181" s="63">
        <f t="shared" si="58"/>
        <v>0</v>
      </c>
      <c r="C181" s="63">
        <f t="shared" si="58"/>
        <v>0</v>
      </c>
      <c r="D181" s="63">
        <f t="shared" si="58"/>
        <v>0</v>
      </c>
      <c r="E181" s="63">
        <f t="shared" si="58"/>
        <v>0</v>
      </c>
      <c r="F181" s="63">
        <f t="shared" si="58"/>
        <v>0</v>
      </c>
      <c r="G181" s="63">
        <f t="shared" si="58"/>
        <v>0</v>
      </c>
      <c r="H181" s="63">
        <f t="shared" si="58"/>
        <v>0</v>
      </c>
      <c r="I181" s="63">
        <f>SUM(B181:H181)+J178</f>
        <v>0</v>
      </c>
      <c r="K181" s="152">
        <f>K179-K180</f>
        <v>0</v>
      </c>
      <c r="L181" s="152">
        <f>L179-L180</f>
        <v>0</v>
      </c>
      <c r="M181" s="152">
        <f t="shared" ref="M181:X181" si="59">M179-M180</f>
        <v>0</v>
      </c>
      <c r="N181" s="152">
        <f t="shared" si="59"/>
        <v>0</v>
      </c>
      <c r="O181" s="152">
        <f t="shared" si="59"/>
        <v>0</v>
      </c>
      <c r="P181" s="152">
        <f t="shared" si="59"/>
        <v>0</v>
      </c>
      <c r="Q181" s="152">
        <f t="shared" si="59"/>
        <v>0</v>
      </c>
      <c r="R181" s="152">
        <f t="shared" si="59"/>
        <v>0</v>
      </c>
      <c r="S181" s="152">
        <f t="shared" si="59"/>
        <v>0</v>
      </c>
      <c r="T181" s="152">
        <f t="shared" si="59"/>
        <v>0</v>
      </c>
      <c r="U181" s="152">
        <f t="shared" si="59"/>
        <v>0</v>
      </c>
      <c r="V181" s="152">
        <f t="shared" si="59"/>
        <v>0</v>
      </c>
      <c r="W181" s="152">
        <f t="shared" si="59"/>
        <v>0</v>
      </c>
      <c r="X181" s="152">
        <f t="shared" si="59"/>
        <v>0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7F50-9812-4360-9831-E230A771D8F4}">
  <dimension ref="A1:X259"/>
  <sheetViews>
    <sheetView tabSelected="1" topLeftCell="A236" workbookViewId="0">
      <selection activeCell="N248" sqref="N248"/>
    </sheetView>
  </sheetViews>
  <sheetFormatPr defaultRowHeight="14.4" x14ac:dyDescent="0.3"/>
  <cols>
    <col min="1" max="1" width="10.33203125" bestFit="1" customWidth="1"/>
    <col min="2" max="2" width="11" bestFit="1" customWidth="1"/>
    <col min="3" max="7" width="10.33203125" bestFit="1" customWidth="1"/>
    <col min="8" max="8" width="10.6640625" bestFit="1" customWidth="1"/>
    <col min="9" max="9" width="11.33203125" bestFit="1" customWidth="1"/>
    <col min="11" max="11" width="12.6640625" customWidth="1"/>
    <col min="12" max="12" width="10.77734375" bestFit="1" customWidth="1"/>
    <col min="13" max="13" width="9.6640625" bestFit="1" customWidth="1"/>
    <col min="14" max="14" width="10.77734375" bestFit="1" customWidth="1"/>
    <col min="15" max="15" width="9.6640625" bestFit="1" customWidth="1"/>
    <col min="16" max="16" width="10" customWidth="1"/>
    <col min="17" max="17" width="11.88671875" customWidth="1"/>
    <col min="18" max="18" width="10.77734375" bestFit="1" customWidth="1"/>
    <col min="19" max="19" width="10.44140625" customWidth="1"/>
    <col min="20" max="20" width="10.77734375" bestFit="1" customWidth="1"/>
    <col min="21" max="21" width="9.6640625" bestFit="1" customWidth="1"/>
    <col min="22" max="22" width="10.77734375" bestFit="1" customWidth="1"/>
    <col min="23" max="23" width="11.44140625" customWidth="1"/>
    <col min="24" max="24" width="10.77734375" bestFit="1" customWidth="1"/>
  </cols>
  <sheetData>
    <row r="1" spans="1:24" x14ac:dyDescent="0.3">
      <c r="A1" s="157">
        <v>46176</v>
      </c>
      <c r="B1" s="157">
        <v>46177</v>
      </c>
      <c r="C1" s="157">
        <v>46178</v>
      </c>
      <c r="D1" s="157">
        <v>46179</v>
      </c>
      <c r="E1" s="157">
        <v>46180</v>
      </c>
      <c r="F1" s="157">
        <v>46181</v>
      </c>
      <c r="G1" s="157">
        <v>46182</v>
      </c>
      <c r="H1" s="157"/>
      <c r="I1" s="13" t="s">
        <v>8</v>
      </c>
      <c r="K1" s="59">
        <v>46176</v>
      </c>
      <c r="L1" s="59"/>
      <c r="M1" s="59">
        <f>K1+1</f>
        <v>46177</v>
      </c>
      <c r="N1" s="59"/>
      <c r="O1" s="59">
        <f>M1+1</f>
        <v>46178</v>
      </c>
      <c r="P1" s="59"/>
      <c r="Q1" s="59">
        <f>O1+1</f>
        <v>46179</v>
      </c>
      <c r="R1" s="59"/>
      <c r="S1" s="59">
        <f>Q1+1</f>
        <v>46180</v>
      </c>
      <c r="T1" s="59"/>
      <c r="U1" s="59">
        <f>S1+1</f>
        <v>46181</v>
      </c>
      <c r="V1" s="59"/>
      <c r="W1" s="59">
        <f>U1+1</f>
        <v>46182</v>
      </c>
      <c r="X1" s="59"/>
    </row>
    <row r="2" spans="1:24" ht="15" thickBot="1" x14ac:dyDescent="0.35">
      <c r="A2" s="22">
        <v>570</v>
      </c>
      <c r="B2" s="22">
        <v>480</v>
      </c>
      <c r="C2" s="22">
        <v>525</v>
      </c>
      <c r="D2" s="22">
        <v>340</v>
      </c>
      <c r="E2" s="22">
        <v>550</v>
      </c>
      <c r="F2" s="22">
        <v>669</v>
      </c>
      <c r="G2" s="22">
        <v>455</v>
      </c>
      <c r="H2" s="160"/>
      <c r="I2" s="169">
        <v>4217.92</v>
      </c>
      <c r="K2" s="124" t="s">
        <v>10</v>
      </c>
      <c r="L2" s="125" t="s">
        <v>11</v>
      </c>
      <c r="M2" s="126" t="s">
        <v>10</v>
      </c>
      <c r="N2" s="126" t="s">
        <v>11</v>
      </c>
      <c r="O2" s="126" t="s">
        <v>10</v>
      </c>
      <c r="P2" s="126" t="s">
        <v>11</v>
      </c>
      <c r="Q2" s="126"/>
      <c r="R2" s="126" t="s">
        <v>11</v>
      </c>
      <c r="S2" s="126" t="s">
        <v>10</v>
      </c>
      <c r="T2" s="126" t="s">
        <v>11</v>
      </c>
      <c r="U2" s="126" t="s">
        <v>10</v>
      </c>
      <c r="V2" s="126" t="s">
        <v>11</v>
      </c>
      <c r="W2" s="126" t="s">
        <v>10</v>
      </c>
      <c r="X2" s="143" t="s">
        <v>11</v>
      </c>
    </row>
    <row r="3" spans="1:24" x14ac:dyDescent="0.3">
      <c r="A3" s="22">
        <v>1125</v>
      </c>
      <c r="B3" s="22">
        <v>805</v>
      </c>
      <c r="C3" s="22">
        <v>1930</v>
      </c>
      <c r="D3" s="22">
        <v>1040</v>
      </c>
      <c r="E3" s="22"/>
      <c r="F3" s="22">
        <v>1460</v>
      </c>
      <c r="G3" s="22">
        <v>1215</v>
      </c>
      <c r="H3" s="65"/>
      <c r="I3" s="169">
        <v>6235.7</v>
      </c>
      <c r="K3" s="24">
        <v>62</v>
      </c>
      <c r="L3" s="56">
        <v>15</v>
      </c>
      <c r="M3" s="22">
        <v>30</v>
      </c>
      <c r="N3" s="22">
        <v>15</v>
      </c>
      <c r="O3" s="43">
        <v>30</v>
      </c>
      <c r="P3" s="22">
        <v>15</v>
      </c>
      <c r="Q3" s="22">
        <v>92</v>
      </c>
      <c r="R3" s="22">
        <v>15</v>
      </c>
      <c r="S3" s="22">
        <v>150</v>
      </c>
      <c r="T3" s="37">
        <v>15</v>
      </c>
      <c r="U3" s="22">
        <v>30</v>
      </c>
      <c r="V3" s="22">
        <v>15</v>
      </c>
      <c r="W3" s="22">
        <v>62</v>
      </c>
      <c r="X3" s="22">
        <v>15</v>
      </c>
    </row>
    <row r="4" spans="1:24" x14ac:dyDescent="0.3">
      <c r="A4" s="22">
        <v>1554.35</v>
      </c>
      <c r="B4" s="44">
        <v>1458.51</v>
      </c>
      <c r="C4" s="22">
        <v>1554.35</v>
      </c>
      <c r="D4" s="22">
        <v>2465.83</v>
      </c>
      <c r="E4" s="46"/>
      <c r="F4" s="22">
        <v>1676.43</v>
      </c>
      <c r="G4" s="22">
        <v>1580.59</v>
      </c>
      <c r="H4" s="160"/>
      <c r="I4" s="169">
        <v>3990</v>
      </c>
      <c r="K4" s="24">
        <v>230</v>
      </c>
      <c r="L4" s="56">
        <v>30</v>
      </c>
      <c r="M4" s="22">
        <v>500</v>
      </c>
      <c r="N4" s="22">
        <v>770</v>
      </c>
      <c r="O4" s="43">
        <v>290</v>
      </c>
      <c r="P4" s="22">
        <v>908</v>
      </c>
      <c r="Q4" s="22">
        <v>310</v>
      </c>
      <c r="R4" s="22"/>
      <c r="S4" s="22">
        <v>188</v>
      </c>
      <c r="T4" s="37"/>
      <c r="U4" s="22">
        <v>390</v>
      </c>
      <c r="V4" s="22">
        <v>200</v>
      </c>
      <c r="W4" s="22">
        <v>510</v>
      </c>
      <c r="X4" s="22"/>
    </row>
    <row r="5" spans="1:24" x14ac:dyDescent="0.3">
      <c r="A5" s="22"/>
      <c r="B5" s="41"/>
      <c r="C5" s="22"/>
      <c r="D5" s="22"/>
      <c r="E5" s="22"/>
      <c r="F5" s="22"/>
      <c r="G5" s="22"/>
      <c r="H5" s="65"/>
      <c r="I5" s="169">
        <v>848</v>
      </c>
      <c r="K5" s="24">
        <v>456</v>
      </c>
      <c r="L5" s="56"/>
      <c r="M5" s="22">
        <v>366</v>
      </c>
      <c r="N5" s="22"/>
      <c r="O5" s="43">
        <v>546</v>
      </c>
      <c r="P5" s="22">
        <v>140</v>
      </c>
      <c r="Q5" s="22">
        <v>252</v>
      </c>
      <c r="R5" s="22"/>
      <c r="S5" s="22">
        <v>710</v>
      </c>
      <c r="T5" s="37"/>
      <c r="U5" s="22">
        <v>516</v>
      </c>
      <c r="V5" s="22">
        <v>1875</v>
      </c>
      <c r="W5" s="22">
        <v>366</v>
      </c>
      <c r="X5" s="22"/>
    </row>
    <row r="6" spans="1:24" x14ac:dyDescent="0.3">
      <c r="A6" s="22"/>
      <c r="B6" s="22"/>
      <c r="C6" s="22"/>
      <c r="D6" s="22"/>
      <c r="E6" s="22"/>
      <c r="F6" s="22"/>
      <c r="G6" s="22"/>
      <c r="H6" s="160"/>
      <c r="I6" s="169">
        <v>2344</v>
      </c>
      <c r="K6" s="24">
        <v>3640</v>
      </c>
      <c r="L6" s="56"/>
      <c r="M6" s="22">
        <v>2840</v>
      </c>
      <c r="N6" s="22"/>
      <c r="O6" s="43">
        <v>4190</v>
      </c>
      <c r="P6" s="22"/>
      <c r="Q6" s="22">
        <v>1330</v>
      </c>
      <c r="R6" s="22"/>
      <c r="S6" s="22"/>
      <c r="T6" s="37"/>
      <c r="U6" s="22">
        <v>4140</v>
      </c>
      <c r="V6" s="22"/>
      <c r="W6" s="22">
        <v>3410</v>
      </c>
      <c r="X6" s="22"/>
    </row>
    <row r="7" spans="1:24" x14ac:dyDescent="0.3">
      <c r="A7" s="22"/>
      <c r="B7" s="22"/>
      <c r="C7" s="22"/>
      <c r="D7" s="22"/>
      <c r="E7" s="22"/>
      <c r="F7" s="22"/>
      <c r="G7" s="22"/>
      <c r="H7" s="65"/>
      <c r="I7" s="169">
        <v>6360</v>
      </c>
      <c r="K7" s="24">
        <v>780</v>
      </c>
      <c r="L7" s="56"/>
      <c r="M7" s="22">
        <v>1210</v>
      </c>
      <c r="N7" s="22"/>
      <c r="O7" s="43">
        <v>630</v>
      </c>
      <c r="P7" s="22"/>
      <c r="Q7" s="22">
        <v>140</v>
      </c>
      <c r="R7" s="22"/>
      <c r="S7" s="22"/>
      <c r="T7" s="37"/>
      <c r="U7" s="22">
        <v>370</v>
      </c>
      <c r="V7" s="22"/>
      <c r="W7" s="22">
        <v>510</v>
      </c>
      <c r="X7" s="22"/>
    </row>
    <row r="8" spans="1:24" x14ac:dyDescent="0.3">
      <c r="A8" s="22"/>
      <c r="B8" s="22"/>
      <c r="C8" s="22"/>
      <c r="D8" s="22"/>
      <c r="E8" s="22"/>
      <c r="F8" s="22"/>
      <c r="G8" s="22"/>
      <c r="H8" s="160"/>
      <c r="I8" s="169">
        <v>2014.5</v>
      </c>
      <c r="K8" s="133"/>
      <c r="L8" s="166"/>
      <c r="M8" s="166"/>
      <c r="N8" s="166"/>
      <c r="O8" s="166"/>
      <c r="P8" s="166"/>
      <c r="Q8" s="166"/>
      <c r="R8" s="166"/>
      <c r="S8" s="166"/>
      <c r="T8" s="167"/>
      <c r="U8" s="22"/>
      <c r="V8" s="166"/>
      <c r="W8" s="166"/>
      <c r="X8" s="166"/>
    </row>
    <row r="9" spans="1:24" x14ac:dyDescent="0.3">
      <c r="A9" s="22"/>
      <c r="B9" s="22"/>
      <c r="C9" s="22"/>
      <c r="D9" s="22"/>
      <c r="E9" s="22"/>
      <c r="F9" s="22"/>
      <c r="G9" s="22"/>
      <c r="H9" s="65"/>
      <c r="I9" s="169">
        <v>1381.6</v>
      </c>
      <c r="K9" s="24"/>
      <c r="L9" s="56"/>
      <c r="M9" s="22"/>
      <c r="N9" s="22"/>
      <c r="O9" s="166"/>
      <c r="P9" s="22"/>
      <c r="Q9" s="22"/>
      <c r="R9" s="22"/>
      <c r="S9" s="22"/>
      <c r="T9" s="37"/>
      <c r="U9" s="22"/>
      <c r="V9" s="22"/>
      <c r="W9" s="22"/>
      <c r="X9" s="22"/>
    </row>
    <row r="10" spans="1:24" x14ac:dyDescent="0.3">
      <c r="A10" s="22"/>
      <c r="B10" s="22"/>
      <c r="C10" s="22"/>
      <c r="D10" s="22"/>
      <c r="E10" s="22"/>
      <c r="F10" s="22"/>
      <c r="G10" s="22"/>
      <c r="H10" s="160"/>
      <c r="I10" s="169">
        <v>1068</v>
      </c>
      <c r="K10" s="24"/>
      <c r="L10" s="56"/>
      <c r="M10" s="22"/>
      <c r="N10" s="22"/>
      <c r="O10" s="43"/>
      <c r="P10" s="22"/>
      <c r="Q10" s="22"/>
      <c r="R10" s="22"/>
      <c r="S10" s="22"/>
      <c r="T10" s="37"/>
      <c r="U10" s="22"/>
      <c r="V10" s="22"/>
      <c r="W10" s="22"/>
      <c r="X10" s="22"/>
    </row>
    <row r="11" spans="1:24" x14ac:dyDescent="0.3">
      <c r="A11" s="22"/>
      <c r="B11" s="22"/>
      <c r="C11" s="22"/>
      <c r="D11" s="22"/>
      <c r="E11" s="22"/>
      <c r="F11" s="22"/>
      <c r="G11" s="22"/>
      <c r="H11" s="65"/>
      <c r="I11" s="169">
        <v>862</v>
      </c>
      <c r="K11" s="24"/>
      <c r="L11" s="56"/>
      <c r="M11" s="22"/>
      <c r="N11" s="22"/>
      <c r="O11" s="43"/>
      <c r="P11" s="22"/>
      <c r="Q11" s="22"/>
      <c r="R11" s="22"/>
      <c r="S11" s="22"/>
      <c r="T11" s="37"/>
      <c r="U11" s="22"/>
      <c r="V11" s="22"/>
      <c r="W11" s="22"/>
      <c r="X11" s="22"/>
    </row>
    <row r="12" spans="1:24" x14ac:dyDescent="0.3">
      <c r="A12" s="22"/>
      <c r="B12" s="22"/>
      <c r="C12" s="22"/>
      <c r="D12" s="22"/>
      <c r="E12" s="22"/>
      <c r="F12" s="22"/>
      <c r="G12" s="22"/>
      <c r="H12" s="160"/>
      <c r="I12" s="169">
        <v>660</v>
      </c>
      <c r="K12" s="24"/>
      <c r="L12" s="56"/>
      <c r="M12" s="22"/>
      <c r="N12" s="22"/>
      <c r="O12" s="43"/>
      <c r="P12" s="22" t="s">
        <v>14</v>
      </c>
      <c r="Q12" s="22"/>
      <c r="R12" s="22"/>
      <c r="S12" s="22"/>
      <c r="T12" s="37"/>
      <c r="U12" s="22"/>
      <c r="V12" s="22"/>
      <c r="W12" s="22"/>
      <c r="X12" s="22"/>
    </row>
    <row r="13" spans="1:24" x14ac:dyDescent="0.3">
      <c r="A13" s="22"/>
      <c r="B13" s="22"/>
      <c r="C13" s="22"/>
      <c r="D13" s="22"/>
      <c r="E13" s="22"/>
      <c r="F13" s="22"/>
      <c r="G13" s="22"/>
      <c r="H13" s="65"/>
      <c r="I13" s="170"/>
      <c r="K13" s="24"/>
      <c r="L13" s="56"/>
      <c r="M13" s="22"/>
      <c r="N13" s="22" t="s">
        <v>9</v>
      </c>
      <c r="O13" s="43"/>
      <c r="P13" s="22"/>
      <c r="Q13" s="22"/>
      <c r="R13" s="22"/>
      <c r="S13" s="22"/>
      <c r="T13" s="37"/>
      <c r="U13" s="22"/>
      <c r="V13" s="22"/>
      <c r="W13" s="22"/>
      <c r="X13" s="22"/>
    </row>
    <row r="14" spans="1:24" ht="15" thickBot="1" x14ac:dyDescent="0.35">
      <c r="A14" s="22"/>
      <c r="B14" s="22"/>
      <c r="C14" s="22"/>
      <c r="D14" s="22"/>
      <c r="E14" s="22"/>
      <c r="F14" s="22"/>
      <c r="G14" s="22"/>
      <c r="H14" s="160"/>
      <c r="I14" s="27"/>
      <c r="K14" s="24"/>
      <c r="L14" s="56"/>
      <c r="M14" s="22"/>
      <c r="N14" s="22" t="s">
        <v>9</v>
      </c>
      <c r="O14" s="43"/>
      <c r="P14" s="22"/>
      <c r="Q14" s="22"/>
      <c r="R14" s="22"/>
      <c r="S14" s="22"/>
      <c r="T14" s="37"/>
      <c r="U14" s="22"/>
      <c r="V14" s="22"/>
      <c r="W14" s="22"/>
      <c r="X14" s="22"/>
    </row>
    <row r="15" spans="1:24" ht="15.6" thickTop="1" thickBot="1" x14ac:dyDescent="0.35">
      <c r="A15" s="22"/>
      <c r="B15" s="22"/>
      <c r="C15" s="22"/>
      <c r="D15" s="22"/>
      <c r="E15" s="22"/>
      <c r="F15" s="22"/>
      <c r="G15" s="22"/>
      <c r="H15" s="65"/>
      <c r="I15" s="132">
        <f>SUM(I2:I14)</f>
        <v>29981.719999999998</v>
      </c>
      <c r="K15" s="24"/>
      <c r="L15" s="56"/>
      <c r="M15" s="22"/>
      <c r="N15" s="22"/>
      <c r="O15" s="43"/>
      <c r="P15" s="22"/>
      <c r="Q15" s="22"/>
      <c r="R15" s="22"/>
      <c r="S15" s="22"/>
      <c r="T15" s="37"/>
      <c r="U15" s="22"/>
      <c r="V15" s="22"/>
      <c r="W15" s="22"/>
      <c r="X15" s="22"/>
    </row>
    <row r="16" spans="1:24" ht="15.6" thickTop="1" thickBot="1" x14ac:dyDescent="0.35">
      <c r="A16" s="22"/>
      <c r="B16" s="22"/>
      <c r="C16" s="22"/>
      <c r="D16" s="22"/>
      <c r="E16" s="22"/>
      <c r="F16" s="22"/>
      <c r="G16" s="22"/>
      <c r="H16" s="160"/>
      <c r="I16" s="27"/>
      <c r="K16" s="133"/>
      <c r="L16" s="166"/>
      <c r="M16" s="166"/>
      <c r="N16" s="166"/>
      <c r="O16" s="166"/>
      <c r="P16" s="166"/>
      <c r="Q16" s="166"/>
      <c r="R16" s="166"/>
      <c r="S16" s="166"/>
      <c r="T16" s="167"/>
      <c r="U16" s="22"/>
      <c r="V16" s="166"/>
      <c r="W16" s="166"/>
      <c r="X16" s="166"/>
    </row>
    <row r="17" spans="1:24" ht="15" thickBot="1" x14ac:dyDescent="0.35">
      <c r="A17" s="140">
        <f>SUM(A2:A16)</f>
        <v>3249.35</v>
      </c>
      <c r="B17" s="140">
        <f t="shared" ref="B17:G17" si="0">SUM(B2:B16)</f>
        <v>2743.51</v>
      </c>
      <c r="C17" s="140">
        <f t="shared" si="0"/>
        <v>4009.35</v>
      </c>
      <c r="D17" s="140">
        <f t="shared" si="0"/>
        <v>3845.83</v>
      </c>
      <c r="E17" s="140">
        <f t="shared" si="0"/>
        <v>550</v>
      </c>
      <c r="F17" s="140">
        <f t="shared" si="0"/>
        <v>3805.4300000000003</v>
      </c>
      <c r="G17" s="140">
        <f t="shared" si="0"/>
        <v>3250.59</v>
      </c>
      <c r="H17" s="29">
        <f>SUM(A17:G17)+I15</f>
        <v>51435.78</v>
      </c>
      <c r="I17" s="150" t="s">
        <v>64</v>
      </c>
      <c r="K17" s="152">
        <f t="shared" ref="K17:V17" si="1">SUM(K2:K16)</f>
        <v>5168</v>
      </c>
      <c r="L17" s="152">
        <f t="shared" si="1"/>
        <v>45</v>
      </c>
      <c r="M17" s="152">
        <f t="shared" si="1"/>
        <v>4946</v>
      </c>
      <c r="N17" s="152">
        <f t="shared" si="1"/>
        <v>785</v>
      </c>
      <c r="O17" s="152">
        <f t="shared" si="1"/>
        <v>5686</v>
      </c>
      <c r="P17" s="152">
        <f t="shared" si="1"/>
        <v>1063</v>
      </c>
      <c r="Q17" s="152">
        <f t="shared" si="1"/>
        <v>2124</v>
      </c>
      <c r="R17" s="152">
        <f t="shared" si="1"/>
        <v>15</v>
      </c>
      <c r="S17" s="152">
        <f t="shared" si="1"/>
        <v>1048</v>
      </c>
      <c r="T17" s="152">
        <f t="shared" si="1"/>
        <v>15</v>
      </c>
      <c r="U17" s="152">
        <f t="shared" si="1"/>
        <v>5446</v>
      </c>
      <c r="V17" s="152">
        <f t="shared" si="1"/>
        <v>2090</v>
      </c>
      <c r="W17" s="152">
        <f>SUM(W2:W16)</f>
        <v>4858</v>
      </c>
      <c r="X17" s="154">
        <f t="shared" ref="X17" si="2">SUM(X2:X16)</f>
        <v>15</v>
      </c>
    </row>
    <row r="18" spans="1:24" ht="15" thickBot="1" x14ac:dyDescent="0.35">
      <c r="A18" s="166">
        <v>3249.35</v>
      </c>
      <c r="B18" s="166">
        <v>2743.51</v>
      </c>
      <c r="C18" s="166">
        <v>4009.35</v>
      </c>
      <c r="D18" s="166">
        <v>3845.83</v>
      </c>
      <c r="E18" s="166">
        <v>550</v>
      </c>
      <c r="F18" s="166">
        <v>3805.43</v>
      </c>
      <c r="G18" s="166">
        <v>3250.59</v>
      </c>
      <c r="H18" s="166">
        <f>SUM(A18:G18)+I15</f>
        <v>51435.78</v>
      </c>
      <c r="I18" s="173">
        <v>51435.78</v>
      </c>
      <c r="K18" s="171">
        <v>5168</v>
      </c>
      <c r="L18" s="171">
        <v>45</v>
      </c>
      <c r="M18" s="171">
        <v>4946</v>
      </c>
      <c r="N18" s="171">
        <v>785</v>
      </c>
      <c r="O18" s="171">
        <v>5686</v>
      </c>
      <c r="P18" s="171">
        <v>1063</v>
      </c>
      <c r="Q18" s="152">
        <v>2124</v>
      </c>
      <c r="R18" s="171">
        <v>15</v>
      </c>
      <c r="S18" s="171">
        <v>1048</v>
      </c>
      <c r="T18" s="171">
        <v>15</v>
      </c>
      <c r="U18" s="171">
        <v>5446</v>
      </c>
      <c r="V18" s="171">
        <v>2090</v>
      </c>
      <c r="W18" s="171">
        <v>4858</v>
      </c>
      <c r="X18" s="171">
        <v>15</v>
      </c>
    </row>
    <row r="19" spans="1:24" ht="15" thickBot="1" x14ac:dyDescent="0.35">
      <c r="A19" s="172">
        <f t="shared" ref="A19:H19" si="3">A17-A18</f>
        <v>0</v>
      </c>
      <c r="B19" s="172">
        <f t="shared" si="3"/>
        <v>0</v>
      </c>
      <c r="C19" s="172">
        <f t="shared" si="3"/>
        <v>0</v>
      </c>
      <c r="D19" s="172">
        <f t="shared" si="3"/>
        <v>0</v>
      </c>
      <c r="E19" s="172">
        <f t="shared" si="3"/>
        <v>0</v>
      </c>
      <c r="F19" s="172">
        <f t="shared" si="3"/>
        <v>0</v>
      </c>
      <c r="G19" s="172">
        <f t="shared" si="3"/>
        <v>0</v>
      </c>
      <c r="H19" s="172">
        <f t="shared" si="3"/>
        <v>0</v>
      </c>
      <c r="I19" s="172"/>
      <c r="K19" s="172">
        <f>K17-K18</f>
        <v>0</v>
      </c>
      <c r="L19" s="172">
        <f>L17-L18</f>
        <v>0</v>
      </c>
      <c r="M19" s="172">
        <f t="shared" ref="M19:X19" si="4">M17-M18</f>
        <v>0</v>
      </c>
      <c r="N19" s="172">
        <f t="shared" si="4"/>
        <v>0</v>
      </c>
      <c r="O19" s="172">
        <f t="shared" si="4"/>
        <v>0</v>
      </c>
      <c r="P19" s="172">
        <f t="shared" si="4"/>
        <v>0</v>
      </c>
      <c r="Q19" s="172">
        <f t="shared" si="4"/>
        <v>0</v>
      </c>
      <c r="R19" s="172">
        <f t="shared" si="4"/>
        <v>0</v>
      </c>
      <c r="S19" s="172">
        <f t="shared" si="4"/>
        <v>0</v>
      </c>
      <c r="T19" s="172">
        <f t="shared" si="4"/>
        <v>0</v>
      </c>
      <c r="U19" s="172">
        <f t="shared" si="4"/>
        <v>0</v>
      </c>
      <c r="V19" s="172">
        <f t="shared" si="4"/>
        <v>0</v>
      </c>
      <c r="W19" s="172">
        <f t="shared" si="4"/>
        <v>0</v>
      </c>
      <c r="X19" s="172">
        <f t="shared" si="4"/>
        <v>0</v>
      </c>
    </row>
    <row r="20" spans="1:24" ht="15" thickBot="1" x14ac:dyDescent="0.35"/>
    <row r="21" spans="1:24" x14ac:dyDescent="0.3">
      <c r="A21" s="157">
        <v>46183</v>
      </c>
      <c r="B21" s="157">
        <v>46184</v>
      </c>
      <c r="C21" s="157">
        <v>46185</v>
      </c>
      <c r="D21" s="157">
        <v>46186</v>
      </c>
      <c r="E21" s="157">
        <v>46187</v>
      </c>
      <c r="F21" s="157">
        <v>46188</v>
      </c>
      <c r="G21" s="157">
        <v>46189</v>
      </c>
      <c r="H21" s="157"/>
      <c r="I21" s="13" t="s">
        <v>8</v>
      </c>
      <c r="K21" s="59">
        <v>46183</v>
      </c>
      <c r="L21" s="59"/>
      <c r="M21" s="59">
        <f>K21+1</f>
        <v>46184</v>
      </c>
      <c r="N21" s="59"/>
      <c r="O21" s="59">
        <f>M21+1</f>
        <v>46185</v>
      </c>
      <c r="P21" s="59"/>
      <c r="Q21" s="59">
        <f>O21+1</f>
        <v>46186</v>
      </c>
      <c r="R21" s="59"/>
      <c r="S21" s="59">
        <f>Q21+1</f>
        <v>46187</v>
      </c>
      <c r="T21" s="59"/>
      <c r="U21" s="59">
        <f>S21+1</f>
        <v>46188</v>
      </c>
      <c r="V21" s="59"/>
      <c r="W21" s="59">
        <f>U21+1</f>
        <v>46189</v>
      </c>
      <c r="X21" s="59"/>
    </row>
    <row r="22" spans="1:24" ht="15" thickBot="1" x14ac:dyDescent="0.35">
      <c r="A22" s="22">
        <v>520</v>
      </c>
      <c r="B22" s="22">
        <v>515</v>
      </c>
      <c r="C22" s="22">
        <v>385</v>
      </c>
      <c r="D22" s="22">
        <v>180</v>
      </c>
      <c r="E22" s="22">
        <v>430</v>
      </c>
      <c r="F22" s="22">
        <v>490</v>
      </c>
      <c r="G22" s="22">
        <v>705</v>
      </c>
      <c r="H22" s="160"/>
      <c r="I22" s="169">
        <v>4217.92</v>
      </c>
      <c r="K22" s="124" t="s">
        <v>10</v>
      </c>
      <c r="L22" s="125" t="s">
        <v>11</v>
      </c>
      <c r="M22" s="126" t="s">
        <v>10</v>
      </c>
      <c r="N22" s="126" t="s">
        <v>11</v>
      </c>
      <c r="O22" s="126" t="s">
        <v>10</v>
      </c>
      <c r="P22" s="126" t="s">
        <v>11</v>
      </c>
      <c r="Q22" s="126"/>
      <c r="R22" s="126" t="s">
        <v>11</v>
      </c>
      <c r="S22" s="126" t="s">
        <v>10</v>
      </c>
      <c r="T22" s="126" t="s">
        <v>11</v>
      </c>
      <c r="U22" s="126" t="s">
        <v>10</v>
      </c>
      <c r="V22" s="126" t="s">
        <v>11</v>
      </c>
      <c r="W22" s="126" t="s">
        <v>10</v>
      </c>
      <c r="X22" s="143" t="s">
        <v>11</v>
      </c>
    </row>
    <row r="23" spans="1:24" x14ac:dyDescent="0.3">
      <c r="A23" s="22">
        <v>1195</v>
      </c>
      <c r="B23" s="22">
        <v>550</v>
      </c>
      <c r="C23" s="22">
        <v>1960</v>
      </c>
      <c r="D23" s="22">
        <v>1410</v>
      </c>
      <c r="E23" s="22"/>
      <c r="F23" s="22">
        <v>1840</v>
      </c>
      <c r="G23" s="22">
        <v>790</v>
      </c>
      <c r="H23" s="65"/>
      <c r="I23" s="169">
        <v>5879.64</v>
      </c>
      <c r="K23" s="24">
        <v>30</v>
      </c>
      <c r="L23" s="56">
        <v>15</v>
      </c>
      <c r="M23" s="22">
        <v>30</v>
      </c>
      <c r="N23" s="22">
        <v>15</v>
      </c>
      <c r="O23" s="22">
        <v>30</v>
      </c>
      <c r="P23" s="43">
        <v>170</v>
      </c>
      <c r="Q23" s="22">
        <v>32</v>
      </c>
      <c r="R23" s="22">
        <v>15</v>
      </c>
      <c r="S23" s="37">
        <v>80</v>
      </c>
      <c r="T23" s="37">
        <v>15</v>
      </c>
      <c r="U23" s="22">
        <v>30</v>
      </c>
      <c r="V23" s="22">
        <v>38</v>
      </c>
      <c r="W23" s="22">
        <v>30</v>
      </c>
      <c r="X23" s="22">
        <v>15</v>
      </c>
    </row>
    <row r="24" spans="1:24" x14ac:dyDescent="0.3">
      <c r="A24" s="22">
        <v>1818.51</v>
      </c>
      <c r="B24" s="44">
        <v>1532.67</v>
      </c>
      <c r="C24" s="22">
        <v>1532.67</v>
      </c>
      <c r="D24" s="22">
        <v>1329.11</v>
      </c>
      <c r="E24" s="46"/>
      <c r="F24" s="22">
        <v>1142.3399999999999</v>
      </c>
      <c r="G24" s="22"/>
      <c r="H24" s="160"/>
      <c r="I24" s="169">
        <v>1006.61</v>
      </c>
      <c r="K24" s="24">
        <v>290</v>
      </c>
      <c r="L24" s="56">
        <v>1080</v>
      </c>
      <c r="M24" s="22">
        <v>310</v>
      </c>
      <c r="N24" s="22">
        <v>40</v>
      </c>
      <c r="O24" s="22">
        <v>340</v>
      </c>
      <c r="P24" s="43">
        <v>910</v>
      </c>
      <c r="Q24" s="22">
        <v>290</v>
      </c>
      <c r="R24" s="22">
        <v>749.8</v>
      </c>
      <c r="S24" s="37">
        <v>126</v>
      </c>
      <c r="T24" s="37"/>
      <c r="U24" s="22">
        <v>440</v>
      </c>
      <c r="V24" s="22"/>
      <c r="W24" s="22">
        <v>480</v>
      </c>
      <c r="X24" s="22">
        <v>60</v>
      </c>
    </row>
    <row r="25" spans="1:24" x14ac:dyDescent="0.3">
      <c r="A25" s="22"/>
      <c r="B25" s="41"/>
      <c r="C25" s="22"/>
      <c r="D25" s="22"/>
      <c r="E25" s="22"/>
      <c r="F25" s="22"/>
      <c r="G25" s="22"/>
      <c r="H25" s="65"/>
      <c r="I25" s="169">
        <v>3785</v>
      </c>
      <c r="K25" s="24">
        <v>486</v>
      </c>
      <c r="L25" s="56"/>
      <c r="M25" s="22">
        <v>366</v>
      </c>
      <c r="N25" s="22">
        <v>1680</v>
      </c>
      <c r="O25" s="22">
        <v>516</v>
      </c>
      <c r="P25" s="43">
        <v>70</v>
      </c>
      <c r="Q25" s="22">
        <v>352</v>
      </c>
      <c r="R25" s="22"/>
      <c r="S25" s="37">
        <v>710</v>
      </c>
      <c r="T25" s="37"/>
      <c r="U25" s="22">
        <v>612</v>
      </c>
      <c r="V25" s="22"/>
      <c r="W25" s="22">
        <v>336</v>
      </c>
      <c r="X25" s="22"/>
    </row>
    <row r="26" spans="1:24" x14ac:dyDescent="0.3">
      <c r="A26" s="22"/>
      <c r="B26" s="22"/>
      <c r="C26" s="22"/>
      <c r="D26" s="22"/>
      <c r="E26" s="22"/>
      <c r="F26" s="22"/>
      <c r="G26" s="22"/>
      <c r="H26" s="160"/>
      <c r="I26" s="169">
        <v>424</v>
      </c>
      <c r="K26" s="24">
        <v>4390</v>
      </c>
      <c r="L26" s="56"/>
      <c r="M26" s="22">
        <v>3160</v>
      </c>
      <c r="N26" s="22"/>
      <c r="O26" s="22">
        <v>3830</v>
      </c>
      <c r="P26" s="22"/>
      <c r="Q26" s="22">
        <v>1850</v>
      </c>
      <c r="R26" s="22"/>
      <c r="S26" s="37"/>
      <c r="T26" s="37"/>
      <c r="U26" s="22">
        <v>4140</v>
      </c>
      <c r="V26" s="22"/>
      <c r="W26" s="22">
        <v>3440</v>
      </c>
      <c r="X26" s="22"/>
    </row>
    <row r="27" spans="1:24" x14ac:dyDescent="0.3">
      <c r="A27" s="22"/>
      <c r="B27" s="22"/>
      <c r="C27" s="22"/>
      <c r="D27" s="22"/>
      <c r="E27" s="22"/>
      <c r="F27" s="22"/>
      <c r="G27" s="22"/>
      <c r="H27" s="65"/>
      <c r="I27" s="169">
        <v>2534</v>
      </c>
      <c r="K27" s="24">
        <v>350</v>
      </c>
      <c r="L27" s="56"/>
      <c r="M27" s="22">
        <v>490</v>
      </c>
      <c r="N27" s="22"/>
      <c r="O27" s="22">
        <v>490</v>
      </c>
      <c r="P27" s="22"/>
      <c r="Q27" s="22"/>
      <c r="R27" s="22"/>
      <c r="S27" s="37"/>
      <c r="T27" s="37"/>
      <c r="U27" s="22">
        <v>560</v>
      </c>
      <c r="V27" s="22"/>
      <c r="W27" s="22"/>
      <c r="X27" s="22"/>
    </row>
    <row r="28" spans="1:24" x14ac:dyDescent="0.3">
      <c r="A28" s="22"/>
      <c r="B28" s="22"/>
      <c r="C28" s="22"/>
      <c r="D28" s="22"/>
      <c r="E28" s="22"/>
      <c r="F28" s="22"/>
      <c r="G28" s="22"/>
      <c r="H28" s="160"/>
      <c r="I28" s="169">
        <v>6360</v>
      </c>
      <c r="K28" s="133"/>
      <c r="L28" s="166"/>
      <c r="M28" s="166"/>
      <c r="N28" s="166"/>
      <c r="O28" s="22"/>
      <c r="P28" s="22"/>
      <c r="Q28" s="22"/>
      <c r="R28" s="166"/>
      <c r="S28" s="166"/>
      <c r="T28" s="167"/>
      <c r="U28" s="22"/>
      <c r="V28" s="166"/>
      <c r="W28" s="166"/>
      <c r="X28" s="166"/>
    </row>
    <row r="29" spans="1:24" x14ac:dyDescent="0.3">
      <c r="A29" s="22"/>
      <c r="B29" s="22"/>
      <c r="C29" s="22"/>
      <c r="D29" s="22"/>
      <c r="E29" s="22"/>
      <c r="F29" s="22"/>
      <c r="G29" s="22"/>
      <c r="H29" s="65"/>
      <c r="I29" s="169">
        <v>1508</v>
      </c>
      <c r="K29" s="24"/>
      <c r="L29" s="56"/>
      <c r="M29" s="22"/>
      <c r="N29" s="22"/>
      <c r="O29" s="22"/>
      <c r="P29" s="22"/>
      <c r="Q29" s="22"/>
      <c r="R29" s="22"/>
      <c r="S29" s="22"/>
      <c r="T29" s="37"/>
      <c r="U29" s="22"/>
      <c r="V29" s="22"/>
      <c r="W29" s="22"/>
      <c r="X29" s="22"/>
    </row>
    <row r="30" spans="1:24" x14ac:dyDescent="0.3">
      <c r="A30" s="22"/>
      <c r="B30" s="22"/>
      <c r="C30" s="22"/>
      <c r="D30" s="22"/>
      <c r="E30" s="22"/>
      <c r="F30" s="22"/>
      <c r="G30" s="22"/>
      <c r="H30" s="160"/>
      <c r="I30" s="169">
        <v>1704.63</v>
      </c>
      <c r="K30" s="24"/>
      <c r="L30" s="56"/>
      <c r="M30" s="22"/>
      <c r="N30" s="22"/>
      <c r="O30" s="22"/>
      <c r="P30" s="22"/>
      <c r="Q30" s="22"/>
      <c r="R30" s="22"/>
      <c r="S30" s="22"/>
      <c r="T30" s="37"/>
      <c r="U30" s="22"/>
      <c r="V30" s="22"/>
      <c r="W30" s="22"/>
      <c r="X30" s="22"/>
    </row>
    <row r="31" spans="1:24" x14ac:dyDescent="0.3">
      <c r="A31" s="22"/>
      <c r="B31" s="22"/>
      <c r="C31" s="22"/>
      <c r="D31" s="22"/>
      <c r="E31" s="22"/>
      <c r="F31" s="22"/>
      <c r="G31" s="22"/>
      <c r="H31" s="65"/>
      <c r="I31" s="169">
        <v>848</v>
      </c>
      <c r="K31" s="24"/>
      <c r="L31" s="56"/>
      <c r="M31" s="22"/>
      <c r="N31" s="22"/>
      <c r="O31" s="22"/>
      <c r="P31" s="22"/>
      <c r="Q31" s="22"/>
      <c r="R31" s="22"/>
      <c r="S31" s="22"/>
      <c r="T31" s="37"/>
      <c r="U31" s="22"/>
      <c r="V31" s="22"/>
      <c r="W31" s="22"/>
      <c r="X31" s="22"/>
    </row>
    <row r="32" spans="1:24" x14ac:dyDescent="0.3">
      <c r="A32" s="22"/>
      <c r="B32" s="22"/>
      <c r="C32" s="22"/>
      <c r="D32" s="22"/>
      <c r="E32" s="22"/>
      <c r="F32" s="22"/>
      <c r="G32" s="22"/>
      <c r="H32" s="160"/>
      <c r="I32" s="169">
        <v>724</v>
      </c>
      <c r="K32" s="24"/>
      <c r="L32" s="56"/>
      <c r="M32" s="22"/>
      <c r="N32" s="22"/>
      <c r="O32" s="22"/>
      <c r="P32" s="22" t="s">
        <v>14</v>
      </c>
      <c r="Q32" s="22"/>
      <c r="R32" s="22"/>
      <c r="S32" s="22"/>
      <c r="T32" s="37"/>
      <c r="U32" s="22"/>
      <c r="V32" s="22"/>
      <c r="W32" s="22"/>
      <c r="X32" s="22"/>
    </row>
    <row r="33" spans="1:24" x14ac:dyDescent="0.3">
      <c r="A33" s="22"/>
      <c r="B33" s="22"/>
      <c r="C33" s="22"/>
      <c r="D33" s="22"/>
      <c r="E33" s="22"/>
      <c r="F33" s="22"/>
      <c r="G33" s="22"/>
      <c r="H33" s="65"/>
      <c r="I33" s="170">
        <v>1728</v>
      </c>
      <c r="K33" s="24"/>
      <c r="L33" s="56"/>
      <c r="M33" s="22"/>
      <c r="N33" s="22" t="s">
        <v>9</v>
      </c>
      <c r="O33" s="43"/>
      <c r="P33" s="22"/>
      <c r="Q33" s="22"/>
      <c r="R33" s="22"/>
      <c r="S33" s="22"/>
      <c r="T33" s="37"/>
      <c r="U33" s="22"/>
      <c r="V33" s="22"/>
      <c r="W33" s="22"/>
      <c r="X33" s="22"/>
    </row>
    <row r="34" spans="1:24" ht="15" thickBot="1" x14ac:dyDescent="0.35">
      <c r="A34" s="22"/>
      <c r="B34" s="22"/>
      <c r="C34" s="22"/>
      <c r="D34" s="22"/>
      <c r="E34" s="22"/>
      <c r="F34" s="22"/>
      <c r="G34" s="22"/>
      <c r="H34" s="160"/>
      <c r="I34" s="27"/>
      <c r="K34" s="24"/>
      <c r="L34" s="56"/>
      <c r="M34" s="22"/>
      <c r="N34" s="22"/>
      <c r="O34" s="43"/>
      <c r="P34" s="22"/>
      <c r="Q34" s="22"/>
      <c r="R34" s="22"/>
      <c r="S34" s="22"/>
      <c r="T34" s="37"/>
      <c r="U34" s="22"/>
      <c r="V34" s="22"/>
      <c r="W34" s="22"/>
      <c r="X34" s="22"/>
    </row>
    <row r="35" spans="1:24" ht="15.6" thickTop="1" thickBot="1" x14ac:dyDescent="0.35">
      <c r="A35" s="22"/>
      <c r="B35" s="22"/>
      <c r="C35" s="22"/>
      <c r="D35" s="22"/>
      <c r="E35" s="22"/>
      <c r="F35" s="22"/>
      <c r="G35" s="22"/>
      <c r="H35" s="65">
        <v>212</v>
      </c>
      <c r="I35" s="132">
        <f>SUM(I22:I34)</f>
        <v>30719.800000000003</v>
      </c>
      <c r="K35" s="24"/>
      <c r="L35" s="56"/>
      <c r="M35" s="22"/>
      <c r="N35" s="22"/>
      <c r="O35" s="43"/>
      <c r="P35" s="22"/>
      <c r="Q35" s="22"/>
      <c r="R35" s="22"/>
      <c r="S35" s="22"/>
      <c r="T35" s="37"/>
      <c r="U35" s="22"/>
      <c r="V35" s="22"/>
      <c r="W35" s="22"/>
      <c r="X35" s="22"/>
    </row>
    <row r="36" spans="1:24" ht="15.6" thickTop="1" thickBot="1" x14ac:dyDescent="0.35">
      <c r="A36" s="22"/>
      <c r="B36" s="22"/>
      <c r="C36" s="22"/>
      <c r="D36" s="22"/>
      <c r="E36" s="22"/>
      <c r="F36" s="22"/>
      <c r="G36" s="22"/>
      <c r="H36" s="160"/>
      <c r="I36" s="27"/>
      <c r="K36" s="133"/>
      <c r="L36" s="166"/>
      <c r="M36" s="166"/>
      <c r="N36" s="166"/>
      <c r="O36" s="166"/>
      <c r="P36" s="166"/>
      <c r="Q36" s="166"/>
      <c r="R36" s="166"/>
      <c r="S36" s="166"/>
      <c r="T36" s="167"/>
      <c r="U36" s="22"/>
      <c r="V36" s="166"/>
      <c r="W36" s="166"/>
      <c r="X36" s="166"/>
    </row>
    <row r="37" spans="1:24" ht="15" thickBot="1" x14ac:dyDescent="0.35">
      <c r="A37" s="140">
        <f>SUM(A22:A36)</f>
        <v>3533.51</v>
      </c>
      <c r="B37" s="140">
        <f t="shared" ref="B37:G37" si="5">SUM(B22:B36)</f>
        <v>2597.67</v>
      </c>
      <c r="C37" s="140">
        <f t="shared" si="5"/>
        <v>3877.67</v>
      </c>
      <c r="D37" s="140">
        <f t="shared" si="5"/>
        <v>2919.1099999999997</v>
      </c>
      <c r="E37" s="140">
        <f t="shared" si="5"/>
        <v>430</v>
      </c>
      <c r="F37" s="140">
        <f t="shared" si="5"/>
        <v>3472.34</v>
      </c>
      <c r="G37" s="140">
        <f t="shared" si="5"/>
        <v>1495</v>
      </c>
      <c r="H37" s="29">
        <f>SUM(A37:G37)+I35</f>
        <v>49045.100000000006</v>
      </c>
      <c r="I37" s="150" t="s">
        <v>64</v>
      </c>
      <c r="K37" s="152">
        <f t="shared" ref="K37:V37" si="6">SUM(K22:K36)</f>
        <v>5546</v>
      </c>
      <c r="L37" s="152">
        <f t="shared" si="6"/>
        <v>1095</v>
      </c>
      <c r="M37" s="152">
        <f t="shared" si="6"/>
        <v>4356</v>
      </c>
      <c r="N37" s="152">
        <f t="shared" si="6"/>
        <v>1735</v>
      </c>
      <c r="O37" s="152">
        <f t="shared" si="6"/>
        <v>5206</v>
      </c>
      <c r="P37" s="152">
        <f t="shared" si="6"/>
        <v>1150</v>
      </c>
      <c r="Q37" s="152">
        <f t="shared" si="6"/>
        <v>2524</v>
      </c>
      <c r="R37" s="152">
        <f t="shared" si="6"/>
        <v>764.8</v>
      </c>
      <c r="S37" s="152">
        <f t="shared" si="6"/>
        <v>916</v>
      </c>
      <c r="T37" s="152">
        <f t="shared" si="6"/>
        <v>15</v>
      </c>
      <c r="U37" s="152">
        <f t="shared" si="6"/>
        <v>5782</v>
      </c>
      <c r="V37" s="152">
        <f t="shared" si="6"/>
        <v>38</v>
      </c>
      <c r="W37" s="152">
        <f>SUM(W22:W36)</f>
        <v>4286</v>
      </c>
      <c r="X37" s="154">
        <f t="shared" ref="X37" si="7">SUM(X22:X36)</f>
        <v>75</v>
      </c>
    </row>
    <row r="38" spans="1:24" ht="15" thickBot="1" x14ac:dyDescent="0.35">
      <c r="A38" s="166">
        <v>3533.51</v>
      </c>
      <c r="B38" s="166">
        <v>2597.67</v>
      </c>
      <c r="C38" s="140">
        <v>3877.67</v>
      </c>
      <c r="D38" s="140">
        <v>2919.11</v>
      </c>
      <c r="E38" s="140">
        <v>430</v>
      </c>
      <c r="F38" s="140">
        <v>3472.34</v>
      </c>
      <c r="G38" s="140">
        <v>1495</v>
      </c>
      <c r="H38" s="29">
        <f>SUM(A38:G38)+SUM(H35:I35)</f>
        <v>49257.100000000006</v>
      </c>
      <c r="I38" s="173"/>
      <c r="K38" s="171">
        <v>5546</v>
      </c>
      <c r="L38" s="171">
        <v>1095</v>
      </c>
      <c r="M38" s="171">
        <v>4356</v>
      </c>
      <c r="N38" s="171">
        <v>1735</v>
      </c>
      <c r="O38" s="171">
        <v>5206</v>
      </c>
      <c r="P38" s="171">
        <v>1150</v>
      </c>
      <c r="Q38" s="152">
        <v>2524</v>
      </c>
      <c r="R38" s="171">
        <v>764.8</v>
      </c>
      <c r="S38" s="171">
        <v>916</v>
      </c>
      <c r="T38" s="171">
        <v>15</v>
      </c>
      <c r="U38" s="171">
        <v>5782</v>
      </c>
      <c r="V38" s="171">
        <v>38</v>
      </c>
      <c r="W38" s="171">
        <v>4286</v>
      </c>
      <c r="X38" s="171">
        <v>75</v>
      </c>
    </row>
    <row r="39" spans="1:24" ht="15" thickBot="1" x14ac:dyDescent="0.35">
      <c r="A39" s="172">
        <f t="shared" ref="A39:H39" si="8">A37-A38</f>
        <v>0</v>
      </c>
      <c r="B39" s="172">
        <f t="shared" si="8"/>
        <v>0</v>
      </c>
      <c r="C39" s="172">
        <f t="shared" si="8"/>
        <v>0</v>
      </c>
      <c r="D39" s="172">
        <f t="shared" si="8"/>
        <v>0</v>
      </c>
      <c r="E39" s="172">
        <f t="shared" si="8"/>
        <v>0</v>
      </c>
      <c r="F39" s="172">
        <f t="shared" si="8"/>
        <v>0</v>
      </c>
      <c r="G39" s="172">
        <f t="shared" si="8"/>
        <v>0</v>
      </c>
      <c r="H39" s="172">
        <f t="shared" si="8"/>
        <v>-212</v>
      </c>
      <c r="I39" s="172"/>
      <c r="K39" s="172">
        <f>K37-K38</f>
        <v>0</v>
      </c>
      <c r="L39" s="172">
        <f>L37-L38</f>
        <v>0</v>
      </c>
      <c r="M39" s="172">
        <f t="shared" ref="M39:X39" si="9">M37-M38</f>
        <v>0</v>
      </c>
      <c r="N39" s="172">
        <f t="shared" si="9"/>
        <v>0</v>
      </c>
      <c r="O39" s="172">
        <f t="shared" si="9"/>
        <v>0</v>
      </c>
      <c r="P39" s="172">
        <f t="shared" si="9"/>
        <v>0</v>
      </c>
      <c r="Q39" s="172">
        <f t="shared" si="9"/>
        <v>0</v>
      </c>
      <c r="R39" s="172">
        <f t="shared" si="9"/>
        <v>0</v>
      </c>
      <c r="S39" s="172">
        <f t="shared" si="9"/>
        <v>0</v>
      </c>
      <c r="T39" s="172">
        <f t="shared" si="9"/>
        <v>0</v>
      </c>
      <c r="U39" s="172">
        <f t="shared" si="9"/>
        <v>0</v>
      </c>
      <c r="V39" s="172">
        <f t="shared" si="9"/>
        <v>0</v>
      </c>
      <c r="W39" s="172">
        <f t="shared" si="9"/>
        <v>0</v>
      </c>
      <c r="X39" s="172">
        <f t="shared" si="9"/>
        <v>0</v>
      </c>
    </row>
    <row r="40" spans="1:24" ht="15" thickBot="1" x14ac:dyDescent="0.35"/>
    <row r="41" spans="1:24" x14ac:dyDescent="0.3">
      <c r="A41" s="157">
        <v>46190</v>
      </c>
      <c r="B41" s="157">
        <v>46191</v>
      </c>
      <c r="C41" s="157">
        <v>46192</v>
      </c>
      <c r="D41" s="157">
        <v>46193</v>
      </c>
      <c r="E41" s="157">
        <v>46194</v>
      </c>
      <c r="F41" s="157">
        <v>46195</v>
      </c>
      <c r="G41" s="157">
        <v>46196</v>
      </c>
      <c r="H41" s="157"/>
      <c r="I41" s="13" t="s">
        <v>8</v>
      </c>
      <c r="K41" s="59">
        <v>46190</v>
      </c>
      <c r="L41" s="59"/>
      <c r="M41" s="59">
        <f>K41+1</f>
        <v>46191</v>
      </c>
      <c r="N41" s="59"/>
      <c r="O41" s="59">
        <f>M41+1</f>
        <v>46192</v>
      </c>
      <c r="P41" s="59"/>
      <c r="Q41" s="59">
        <f>O41+1</f>
        <v>46193</v>
      </c>
      <c r="R41" s="59"/>
      <c r="S41" s="59">
        <f>Q41+1</f>
        <v>46194</v>
      </c>
      <c r="T41" s="59"/>
      <c r="U41" s="59">
        <f>S41+1</f>
        <v>46195</v>
      </c>
      <c r="V41" s="59"/>
      <c r="W41" s="59">
        <f>U41+1</f>
        <v>46196</v>
      </c>
      <c r="X41" s="59"/>
    </row>
    <row r="42" spans="1:24" ht="15" thickBot="1" x14ac:dyDescent="0.35">
      <c r="A42" s="22">
        <v>565</v>
      </c>
      <c r="B42" s="22">
        <v>515</v>
      </c>
      <c r="C42" s="22">
        <v>470</v>
      </c>
      <c r="D42" s="22">
        <v>230</v>
      </c>
      <c r="E42" s="22">
        <v>955</v>
      </c>
      <c r="F42" s="22">
        <v>560</v>
      </c>
      <c r="G42" s="22">
        <v>580</v>
      </c>
      <c r="H42" s="160"/>
      <c r="I42" s="169">
        <v>3916.64</v>
      </c>
      <c r="K42" s="124" t="s">
        <v>10</v>
      </c>
      <c r="L42" s="125" t="s">
        <v>11</v>
      </c>
      <c r="M42" s="126" t="s">
        <v>10</v>
      </c>
      <c r="N42" s="126" t="s">
        <v>11</v>
      </c>
      <c r="O42" s="126" t="s">
        <v>10</v>
      </c>
      <c r="P42" s="126" t="s">
        <v>11</v>
      </c>
      <c r="Q42" s="126"/>
      <c r="R42" s="126" t="s">
        <v>11</v>
      </c>
      <c r="S42" s="126" t="s">
        <v>10</v>
      </c>
      <c r="T42" s="126" t="s">
        <v>11</v>
      </c>
      <c r="U42" s="126" t="s">
        <v>10</v>
      </c>
      <c r="V42" s="126" t="s">
        <v>11</v>
      </c>
      <c r="W42" s="126" t="s">
        <v>10</v>
      </c>
      <c r="X42" s="143" t="s">
        <v>11</v>
      </c>
    </row>
    <row r="43" spans="1:24" x14ac:dyDescent="0.3">
      <c r="A43" s="22">
        <v>1315</v>
      </c>
      <c r="B43" s="22">
        <v>840</v>
      </c>
      <c r="C43" s="22">
        <v>1725</v>
      </c>
      <c r="D43" s="22">
        <v>1025</v>
      </c>
      <c r="E43" s="22"/>
      <c r="F43" s="22">
        <v>1795</v>
      </c>
      <c r="G43" s="22">
        <v>685</v>
      </c>
      <c r="H43" s="65"/>
      <c r="I43" s="169">
        <v>6235.7</v>
      </c>
      <c r="K43" s="24">
        <v>30</v>
      </c>
      <c r="L43" s="56">
        <v>15</v>
      </c>
      <c r="M43" s="22">
        <v>30</v>
      </c>
      <c r="N43" s="22">
        <v>15</v>
      </c>
      <c r="O43" s="22">
        <v>30</v>
      </c>
      <c r="P43" s="43">
        <v>15</v>
      </c>
      <c r="Q43" s="22">
        <v>260</v>
      </c>
      <c r="R43" s="22">
        <v>15</v>
      </c>
      <c r="S43" s="37">
        <v>80</v>
      </c>
      <c r="T43" s="37">
        <v>15</v>
      </c>
      <c r="U43" s="22">
        <v>30</v>
      </c>
      <c r="V43" s="22">
        <v>15</v>
      </c>
      <c r="W43" s="22">
        <v>30</v>
      </c>
      <c r="X43" s="22">
        <v>15</v>
      </c>
    </row>
    <row r="44" spans="1:24" x14ac:dyDescent="0.3">
      <c r="A44" s="22">
        <v>656.17</v>
      </c>
      <c r="B44" s="44">
        <v>1272.45</v>
      </c>
      <c r="C44" s="22">
        <v>1558.29</v>
      </c>
      <c r="D44" s="22">
        <v>1945.39</v>
      </c>
      <c r="E44" s="46"/>
      <c r="F44" s="22">
        <v>1463.29</v>
      </c>
      <c r="G44" s="22">
        <v>656.17</v>
      </c>
      <c r="H44" s="160"/>
      <c r="I44" s="169">
        <v>1917.38</v>
      </c>
      <c r="K44" s="24">
        <v>240</v>
      </c>
      <c r="L44" s="56"/>
      <c r="M44" s="22">
        <v>470</v>
      </c>
      <c r="N44" s="22"/>
      <c r="O44" s="22">
        <v>360</v>
      </c>
      <c r="P44" s="43">
        <v>140</v>
      </c>
      <c r="Q44" s="22">
        <v>252</v>
      </c>
      <c r="R44" s="22">
        <v>122</v>
      </c>
      <c r="S44" s="37">
        <v>156</v>
      </c>
      <c r="T44" s="37"/>
      <c r="U44" s="22">
        <v>310</v>
      </c>
      <c r="V44" s="22"/>
      <c r="W44" s="22">
        <v>370</v>
      </c>
      <c r="X44" s="22"/>
    </row>
    <row r="45" spans="1:24" x14ac:dyDescent="0.3">
      <c r="A45" s="22"/>
      <c r="B45" s="41"/>
      <c r="C45" s="22"/>
      <c r="D45" s="22"/>
      <c r="E45" s="22"/>
      <c r="F45" s="22"/>
      <c r="G45" s="22"/>
      <c r="H45" s="65"/>
      <c r="I45" s="169">
        <v>4165</v>
      </c>
      <c r="K45" s="24">
        <v>456</v>
      </c>
      <c r="L45" s="56"/>
      <c r="M45" s="22">
        <v>336</v>
      </c>
      <c r="N45" s="22"/>
      <c r="O45" s="22">
        <v>516</v>
      </c>
      <c r="P45" s="43">
        <v>960</v>
      </c>
      <c r="Q45" s="22">
        <v>1410</v>
      </c>
      <c r="R45" s="22">
        <v>351.3</v>
      </c>
      <c r="S45" s="37">
        <v>370</v>
      </c>
      <c r="T45" s="37"/>
      <c r="U45" s="22">
        <v>516</v>
      </c>
      <c r="V45" s="22"/>
      <c r="W45" s="22">
        <v>336</v>
      </c>
      <c r="X45" s="22"/>
    </row>
    <row r="46" spans="1:24" x14ac:dyDescent="0.3">
      <c r="A46" s="22"/>
      <c r="B46" s="22"/>
      <c r="C46" s="22"/>
      <c r="D46" s="22"/>
      <c r="E46" s="22"/>
      <c r="F46" s="22"/>
      <c r="G46" s="22"/>
      <c r="H46" s="160"/>
      <c r="I46" s="169">
        <v>848</v>
      </c>
      <c r="K46" s="24">
        <v>3580</v>
      </c>
      <c r="L46" s="56"/>
      <c r="M46" s="22">
        <v>2740</v>
      </c>
      <c r="N46" s="22"/>
      <c r="O46" s="22">
        <v>3930</v>
      </c>
      <c r="P46" s="22"/>
      <c r="Q46" s="22">
        <v>420</v>
      </c>
      <c r="R46" s="22"/>
      <c r="S46" s="37"/>
      <c r="T46" s="37"/>
      <c r="U46" s="22">
        <v>3880</v>
      </c>
      <c r="V46" s="22"/>
      <c r="W46" s="22">
        <v>3430</v>
      </c>
      <c r="X46" s="22"/>
    </row>
    <row r="47" spans="1:24" x14ac:dyDescent="0.3">
      <c r="A47" s="22"/>
      <c r="B47" s="22"/>
      <c r="C47" s="22"/>
      <c r="D47" s="22"/>
      <c r="E47" s="22"/>
      <c r="F47" s="22"/>
      <c r="G47" s="22"/>
      <c r="H47" s="65"/>
      <c r="I47" s="169">
        <v>2534</v>
      </c>
      <c r="K47" s="24">
        <v>720</v>
      </c>
      <c r="L47" s="56"/>
      <c r="M47" s="22">
        <v>630</v>
      </c>
      <c r="N47" s="22"/>
      <c r="O47" s="22">
        <v>770</v>
      </c>
      <c r="P47" s="22"/>
      <c r="Q47" s="22"/>
      <c r="R47" s="22"/>
      <c r="S47" s="37"/>
      <c r="T47" s="37"/>
      <c r="U47" s="22">
        <v>980</v>
      </c>
      <c r="V47" s="22"/>
      <c r="W47" s="22">
        <v>510</v>
      </c>
      <c r="X47" s="22"/>
    </row>
    <row r="48" spans="1:24" x14ac:dyDescent="0.3">
      <c r="A48" s="22"/>
      <c r="B48" s="22"/>
      <c r="C48" s="22"/>
      <c r="D48" s="22"/>
      <c r="E48" s="22"/>
      <c r="F48" s="22"/>
      <c r="G48" s="22"/>
      <c r="H48" s="160"/>
      <c r="I48" s="169">
        <v>6360</v>
      </c>
      <c r="K48" s="133"/>
      <c r="L48" s="166"/>
      <c r="M48" s="166"/>
      <c r="N48" s="166"/>
      <c r="O48" s="22"/>
      <c r="P48" s="22"/>
      <c r="Q48" s="22"/>
      <c r="R48" s="166"/>
      <c r="S48" s="166"/>
      <c r="T48" s="167"/>
      <c r="U48" s="22"/>
      <c r="V48" s="166"/>
      <c r="W48" s="166"/>
      <c r="X48" s="166"/>
    </row>
    <row r="49" spans="1:24" x14ac:dyDescent="0.3">
      <c r="A49" s="22"/>
      <c r="B49" s="22"/>
      <c r="C49" s="22"/>
      <c r="D49" s="22"/>
      <c r="E49" s="22"/>
      <c r="F49" s="22"/>
      <c r="G49" s="22"/>
      <c r="H49" s="65"/>
      <c r="I49" s="169">
        <v>2152</v>
      </c>
      <c r="K49" s="24"/>
      <c r="L49" s="56"/>
      <c r="M49" s="22"/>
      <c r="N49" s="22"/>
      <c r="O49" s="22"/>
      <c r="P49" s="22"/>
      <c r="Q49" s="22"/>
      <c r="R49" s="22"/>
      <c r="S49" s="22"/>
      <c r="T49" s="37"/>
      <c r="U49" s="22"/>
      <c r="V49" s="22"/>
      <c r="W49" s="22"/>
      <c r="X49" s="22"/>
    </row>
    <row r="50" spans="1:24" x14ac:dyDescent="0.3">
      <c r="A50" s="22"/>
      <c r="B50" s="22"/>
      <c r="C50" s="22"/>
      <c r="D50" s="22"/>
      <c r="E50" s="22"/>
      <c r="F50" s="22"/>
      <c r="G50" s="22"/>
      <c r="H50" s="160"/>
      <c r="I50" s="169">
        <v>1348.57</v>
      </c>
      <c r="K50" s="24"/>
      <c r="L50" s="56"/>
      <c r="M50" s="22"/>
      <c r="N50" s="22"/>
      <c r="O50" s="22"/>
      <c r="P50" s="22"/>
      <c r="Q50" s="22"/>
      <c r="R50" s="22"/>
      <c r="S50" s="22"/>
      <c r="T50" s="37"/>
      <c r="U50" s="22"/>
      <c r="V50" s="22"/>
      <c r="W50" s="22"/>
      <c r="X50" s="22"/>
    </row>
    <row r="51" spans="1:24" x14ac:dyDescent="0.3">
      <c r="A51" s="22"/>
      <c r="B51" s="22"/>
      <c r="C51" s="22"/>
      <c r="D51" s="22"/>
      <c r="E51" s="22"/>
      <c r="F51" s="22"/>
      <c r="G51" s="22"/>
      <c r="H51" s="65"/>
      <c r="I51" s="169">
        <v>1398</v>
      </c>
      <c r="K51" s="24"/>
      <c r="L51" s="56"/>
      <c r="M51" s="22"/>
      <c r="N51" s="22"/>
      <c r="O51" s="22"/>
      <c r="P51" s="22"/>
      <c r="Q51" s="22"/>
      <c r="R51" s="22"/>
      <c r="S51" s="22"/>
      <c r="T51" s="37"/>
      <c r="U51" s="22"/>
      <c r="V51" s="22"/>
      <c r="W51" s="22"/>
      <c r="X51" s="22"/>
    </row>
    <row r="52" spans="1:24" x14ac:dyDescent="0.3">
      <c r="A52" s="22"/>
      <c r="B52" s="22"/>
      <c r="C52" s="22"/>
      <c r="D52" s="22"/>
      <c r="E52" s="22"/>
      <c r="F52" s="22"/>
      <c r="G52" s="22"/>
      <c r="H52" s="160"/>
      <c r="I52" s="169">
        <v>622</v>
      </c>
      <c r="K52" s="24"/>
      <c r="L52" s="56"/>
      <c r="M52" s="22"/>
      <c r="N52" s="22"/>
      <c r="O52" s="22"/>
      <c r="P52" s="22" t="s">
        <v>14</v>
      </c>
      <c r="Q52" s="22"/>
      <c r="R52" s="22"/>
      <c r="S52" s="22"/>
      <c r="T52" s="37"/>
      <c r="U52" s="22"/>
      <c r="V52" s="22"/>
      <c r="W52" s="22"/>
      <c r="X52" s="22"/>
    </row>
    <row r="53" spans="1:24" x14ac:dyDescent="0.3">
      <c r="A53" s="22"/>
      <c r="B53" s="22"/>
      <c r="C53" s="22"/>
      <c r="D53" s="22"/>
      <c r="E53" s="22"/>
      <c r="F53" s="22"/>
      <c r="G53" s="22"/>
      <c r="H53" s="65"/>
      <c r="I53" s="170">
        <v>440</v>
      </c>
      <c r="K53" s="24"/>
      <c r="L53" s="56"/>
      <c r="M53" s="22"/>
      <c r="N53" s="22" t="s">
        <v>9</v>
      </c>
      <c r="O53" s="43"/>
      <c r="P53" s="22"/>
      <c r="Q53" s="22"/>
      <c r="R53" s="22"/>
      <c r="S53" s="22"/>
      <c r="T53" s="37"/>
      <c r="U53" s="22"/>
      <c r="V53" s="22"/>
      <c r="W53" s="22"/>
      <c r="X53" s="22"/>
    </row>
    <row r="54" spans="1:24" ht="15" thickBot="1" x14ac:dyDescent="0.35">
      <c r="A54" s="22"/>
      <c r="B54" s="22"/>
      <c r="C54" s="22"/>
      <c r="D54" s="22"/>
      <c r="E54" s="22"/>
      <c r="F54" s="22"/>
      <c r="G54" s="22"/>
      <c r="H54" s="160"/>
      <c r="I54" s="27"/>
      <c r="K54" s="24"/>
      <c r="L54" s="56"/>
      <c r="M54" s="22"/>
      <c r="N54" s="22"/>
      <c r="O54" s="43"/>
      <c r="P54" s="22"/>
      <c r="Q54" s="22"/>
      <c r="R54" s="22"/>
      <c r="S54" s="22"/>
      <c r="T54" s="37"/>
      <c r="U54" s="22"/>
      <c r="V54" s="22"/>
      <c r="W54" s="22"/>
      <c r="X54" s="22"/>
    </row>
    <row r="55" spans="1:24" ht="15.6" thickTop="1" thickBot="1" x14ac:dyDescent="0.35">
      <c r="A55" s="22"/>
      <c r="B55" s="22"/>
      <c r="C55" s="22"/>
      <c r="D55" s="22"/>
      <c r="E55" s="22"/>
      <c r="F55" s="22"/>
      <c r="G55" s="22"/>
      <c r="H55" s="65"/>
      <c r="I55" s="132">
        <f>SUM(I42:I54)</f>
        <v>31937.29</v>
      </c>
      <c r="K55" s="24"/>
      <c r="L55" s="56"/>
      <c r="M55" s="22"/>
      <c r="N55" s="22"/>
      <c r="O55" s="43"/>
      <c r="P55" s="22"/>
      <c r="Q55" s="22"/>
      <c r="R55" s="22"/>
      <c r="S55" s="22"/>
      <c r="T55" s="37"/>
      <c r="U55" s="22"/>
      <c r="V55" s="22"/>
      <c r="W55" s="22"/>
      <c r="X55" s="22"/>
    </row>
    <row r="56" spans="1:24" ht="15.6" thickTop="1" thickBot="1" x14ac:dyDescent="0.35">
      <c r="A56" s="22"/>
      <c r="B56" s="22"/>
      <c r="C56" s="22"/>
      <c r="D56" s="22"/>
      <c r="E56" s="22"/>
      <c r="F56" s="22"/>
      <c r="G56" s="22"/>
      <c r="H56" s="160"/>
      <c r="I56" s="27"/>
      <c r="K56" s="133"/>
      <c r="L56" s="166"/>
      <c r="M56" s="166"/>
      <c r="N56" s="166"/>
      <c r="O56" s="166"/>
      <c r="P56" s="166"/>
      <c r="Q56" s="166"/>
      <c r="R56" s="166"/>
      <c r="S56" s="166"/>
      <c r="T56" s="167"/>
      <c r="U56" s="22"/>
      <c r="V56" s="166"/>
      <c r="W56" s="166"/>
      <c r="X56" s="166"/>
    </row>
    <row r="57" spans="1:24" ht="15" thickBot="1" x14ac:dyDescent="0.35">
      <c r="A57" s="140">
        <f>SUM(A42:A56)</f>
        <v>2536.17</v>
      </c>
      <c r="B57" s="140">
        <f t="shared" ref="B57:G57" si="10">SUM(B42:B56)</f>
        <v>2627.45</v>
      </c>
      <c r="C57" s="140">
        <f t="shared" si="10"/>
        <v>3753.29</v>
      </c>
      <c r="D57" s="140">
        <f t="shared" si="10"/>
        <v>3200.3900000000003</v>
      </c>
      <c r="E57" s="140">
        <f t="shared" si="10"/>
        <v>955</v>
      </c>
      <c r="F57" s="140">
        <f t="shared" si="10"/>
        <v>3818.29</v>
      </c>
      <c r="G57" s="140">
        <f t="shared" si="10"/>
        <v>1921.17</v>
      </c>
      <c r="H57" s="29">
        <f>SUM(A57:G57)+I55</f>
        <v>50749.05</v>
      </c>
      <c r="I57" s="150" t="s">
        <v>64</v>
      </c>
      <c r="K57" s="152">
        <f t="shared" ref="K57:V57" si="11">SUM(K42:K56)</f>
        <v>5026</v>
      </c>
      <c r="L57" s="152">
        <f t="shared" si="11"/>
        <v>15</v>
      </c>
      <c r="M57" s="152">
        <f t="shared" si="11"/>
        <v>4206</v>
      </c>
      <c r="N57" s="152">
        <f t="shared" si="11"/>
        <v>15</v>
      </c>
      <c r="O57" s="152">
        <f t="shared" si="11"/>
        <v>5606</v>
      </c>
      <c r="P57" s="152">
        <f t="shared" si="11"/>
        <v>1115</v>
      </c>
      <c r="Q57" s="152">
        <f t="shared" si="11"/>
        <v>2342</v>
      </c>
      <c r="R57" s="152">
        <f t="shared" si="11"/>
        <v>488.3</v>
      </c>
      <c r="S57" s="152">
        <f t="shared" si="11"/>
        <v>606</v>
      </c>
      <c r="T57" s="152">
        <f t="shared" si="11"/>
        <v>15</v>
      </c>
      <c r="U57" s="152">
        <f t="shared" si="11"/>
        <v>5716</v>
      </c>
      <c r="V57" s="152">
        <f t="shared" si="11"/>
        <v>15</v>
      </c>
      <c r="W57" s="152">
        <f>SUM(W42:W56)</f>
        <v>4676</v>
      </c>
      <c r="X57" s="154">
        <f t="shared" ref="X57" si="12">SUM(X42:X56)</f>
        <v>15</v>
      </c>
    </row>
    <row r="58" spans="1:24" ht="15" thickBot="1" x14ac:dyDescent="0.35">
      <c r="A58" s="140">
        <v>2536.17</v>
      </c>
      <c r="B58" s="140">
        <v>2627.45</v>
      </c>
      <c r="C58" s="140">
        <v>3753.29</v>
      </c>
      <c r="D58" s="140">
        <v>3200.39</v>
      </c>
      <c r="E58" s="140">
        <f t="shared" ref="E58" si="13">SUM(E43:E57)</f>
        <v>955</v>
      </c>
      <c r="F58" s="140">
        <v>3818.29</v>
      </c>
      <c r="G58" s="140">
        <v>1921.17</v>
      </c>
      <c r="H58" s="29">
        <f>SUM(A58:G58)+I55</f>
        <v>50749.05</v>
      </c>
      <c r="I58" s="173"/>
      <c r="K58" s="152">
        <v>5026</v>
      </c>
      <c r="L58" s="152">
        <v>15</v>
      </c>
      <c r="M58" s="152">
        <v>4206</v>
      </c>
      <c r="N58" s="152">
        <v>15</v>
      </c>
      <c r="O58" s="152">
        <v>5606</v>
      </c>
      <c r="P58" s="152">
        <v>1115</v>
      </c>
      <c r="Q58" s="152">
        <v>2342</v>
      </c>
      <c r="R58" s="152">
        <v>488.3</v>
      </c>
      <c r="S58" s="152">
        <v>606</v>
      </c>
      <c r="T58" s="152">
        <v>15</v>
      </c>
      <c r="U58" s="152">
        <v>5716</v>
      </c>
      <c r="V58" s="152">
        <v>15</v>
      </c>
      <c r="W58" s="152">
        <v>4676</v>
      </c>
      <c r="X58" s="152">
        <v>15</v>
      </c>
    </row>
    <row r="59" spans="1:24" ht="15" thickBot="1" x14ac:dyDescent="0.35">
      <c r="A59" s="172">
        <f t="shared" ref="A59:H59" si="14">A57-A58</f>
        <v>0</v>
      </c>
      <c r="B59" s="172">
        <f t="shared" si="14"/>
        <v>0</v>
      </c>
      <c r="C59" s="172">
        <f t="shared" si="14"/>
        <v>0</v>
      </c>
      <c r="D59" s="172">
        <f t="shared" si="14"/>
        <v>0</v>
      </c>
      <c r="E59" s="172">
        <f t="shared" si="14"/>
        <v>0</v>
      </c>
      <c r="F59" s="172">
        <f t="shared" si="14"/>
        <v>0</v>
      </c>
      <c r="G59" s="172">
        <f t="shared" si="14"/>
        <v>0</v>
      </c>
      <c r="H59" s="172">
        <f t="shared" si="14"/>
        <v>0</v>
      </c>
      <c r="I59" s="172"/>
      <c r="K59" s="172">
        <f>K57-K58</f>
        <v>0</v>
      </c>
      <c r="L59" s="172">
        <f>L57-L58</f>
        <v>0</v>
      </c>
      <c r="M59" s="172">
        <f t="shared" ref="M59:X59" si="15">M57-M58</f>
        <v>0</v>
      </c>
      <c r="N59" s="172">
        <f t="shared" si="15"/>
        <v>0</v>
      </c>
      <c r="O59" s="172">
        <f t="shared" si="15"/>
        <v>0</v>
      </c>
      <c r="P59" s="172">
        <f t="shared" si="15"/>
        <v>0</v>
      </c>
      <c r="Q59" s="172">
        <f t="shared" si="15"/>
        <v>0</v>
      </c>
      <c r="R59" s="172">
        <f t="shared" si="15"/>
        <v>0</v>
      </c>
      <c r="S59" s="172">
        <f t="shared" si="15"/>
        <v>0</v>
      </c>
      <c r="T59" s="172">
        <f t="shared" si="15"/>
        <v>0</v>
      </c>
      <c r="U59" s="172">
        <f t="shared" si="15"/>
        <v>0</v>
      </c>
      <c r="V59" s="172">
        <f t="shared" si="15"/>
        <v>0</v>
      </c>
      <c r="W59" s="172">
        <f t="shared" si="15"/>
        <v>0</v>
      </c>
      <c r="X59" s="172">
        <f t="shared" si="15"/>
        <v>0</v>
      </c>
    </row>
    <row r="60" spans="1:24" ht="15" thickBot="1" x14ac:dyDescent="0.35"/>
    <row r="61" spans="1:24" x14ac:dyDescent="0.3">
      <c r="A61" s="157">
        <v>46197</v>
      </c>
      <c r="B61" s="157">
        <v>46198</v>
      </c>
      <c r="C61" s="157">
        <v>46199</v>
      </c>
      <c r="D61" s="157">
        <v>46200</v>
      </c>
      <c r="E61" s="157">
        <v>46201</v>
      </c>
      <c r="F61" s="157">
        <v>46202</v>
      </c>
      <c r="G61" s="157">
        <v>46203</v>
      </c>
      <c r="H61" s="157"/>
      <c r="I61" s="13" t="s">
        <v>8</v>
      </c>
      <c r="K61" s="59">
        <v>46197</v>
      </c>
      <c r="L61" s="59"/>
      <c r="M61" s="59">
        <f>K61+1</f>
        <v>46198</v>
      </c>
      <c r="N61" s="59"/>
      <c r="O61" s="59">
        <f>M61+1</f>
        <v>46199</v>
      </c>
      <c r="P61" s="59"/>
      <c r="Q61" s="59">
        <f>O61+1</f>
        <v>46200</v>
      </c>
      <c r="R61" s="59"/>
      <c r="S61" s="59">
        <f>Q61+1</f>
        <v>46201</v>
      </c>
      <c r="T61" s="59"/>
      <c r="U61" s="59">
        <f>S61+1</f>
        <v>46202</v>
      </c>
      <c r="V61" s="59"/>
      <c r="W61" s="59">
        <f>U61+1</f>
        <v>46203</v>
      </c>
      <c r="X61" s="59"/>
    </row>
    <row r="62" spans="1:24" ht="15" thickBot="1" x14ac:dyDescent="0.35">
      <c r="A62" s="22">
        <v>585</v>
      </c>
      <c r="B62" s="22">
        <v>515</v>
      </c>
      <c r="C62" s="22">
        <v>655</v>
      </c>
      <c r="D62" s="22">
        <v>310</v>
      </c>
      <c r="E62" s="22">
        <v>525</v>
      </c>
      <c r="F62" s="22">
        <v>605</v>
      </c>
      <c r="G62" s="22">
        <v>805</v>
      </c>
      <c r="H62" s="160"/>
      <c r="I62" s="169">
        <v>3464.72</v>
      </c>
      <c r="K62" s="124" t="s">
        <v>10</v>
      </c>
      <c r="L62" s="125" t="s">
        <v>11</v>
      </c>
      <c r="M62" s="126" t="s">
        <v>10</v>
      </c>
      <c r="N62" s="126" t="s">
        <v>11</v>
      </c>
      <c r="O62" s="126" t="s">
        <v>10</v>
      </c>
      <c r="P62" s="126" t="s">
        <v>11</v>
      </c>
      <c r="Q62" s="126"/>
      <c r="R62" s="126" t="s">
        <v>11</v>
      </c>
      <c r="S62" s="126" t="s">
        <v>10</v>
      </c>
      <c r="T62" s="126" t="s">
        <v>11</v>
      </c>
      <c r="U62" s="126" t="s">
        <v>10</v>
      </c>
      <c r="V62" s="126" t="s">
        <v>11</v>
      </c>
      <c r="W62" s="126" t="s">
        <v>10</v>
      </c>
      <c r="X62" s="143" t="s">
        <v>11</v>
      </c>
    </row>
    <row r="63" spans="1:24" x14ac:dyDescent="0.3">
      <c r="A63" s="22">
        <v>1605</v>
      </c>
      <c r="B63" s="22">
        <v>900</v>
      </c>
      <c r="C63" s="22">
        <v>2322.61</v>
      </c>
      <c r="D63" s="22">
        <v>1928.05</v>
      </c>
      <c r="E63" s="22"/>
      <c r="F63" s="22">
        <v>1800</v>
      </c>
      <c r="G63" s="22">
        <v>840</v>
      </c>
      <c r="H63" s="65"/>
      <c r="I63" s="169">
        <v>6235.7</v>
      </c>
      <c r="K63" s="24">
        <v>30</v>
      </c>
      <c r="L63" s="56">
        <v>15</v>
      </c>
      <c r="M63" s="22">
        <v>770</v>
      </c>
      <c r="N63" s="22">
        <v>15</v>
      </c>
      <c r="O63" s="22">
        <v>90</v>
      </c>
      <c r="P63" s="43">
        <v>15</v>
      </c>
      <c r="Q63" s="22">
        <v>32</v>
      </c>
      <c r="R63" s="22">
        <v>15</v>
      </c>
      <c r="S63" s="37">
        <v>80</v>
      </c>
      <c r="T63" s="37">
        <v>15</v>
      </c>
      <c r="U63" s="22">
        <v>30</v>
      </c>
      <c r="V63" s="22">
        <v>15</v>
      </c>
      <c r="W63" s="22">
        <v>30</v>
      </c>
      <c r="X63" s="22">
        <v>15</v>
      </c>
    </row>
    <row r="64" spans="1:24" x14ac:dyDescent="0.3">
      <c r="A64" s="22">
        <v>1368.29</v>
      </c>
      <c r="B64" s="44">
        <v>1368.29</v>
      </c>
      <c r="C64" s="22">
        <v>834.2</v>
      </c>
      <c r="D64" s="22">
        <v>1329.11</v>
      </c>
      <c r="E64" s="46"/>
      <c r="F64" s="22">
        <v>1653.29</v>
      </c>
      <c r="G64" s="22">
        <v>1368.29</v>
      </c>
      <c r="H64" s="160"/>
      <c r="I64" s="169">
        <v>1301.0999999999999</v>
      </c>
      <c r="K64" s="24">
        <v>260</v>
      </c>
      <c r="L64" s="56">
        <v>396.5</v>
      </c>
      <c r="M64" s="22">
        <v>2730</v>
      </c>
      <c r="N64" s="22"/>
      <c r="O64" s="22">
        <v>230</v>
      </c>
      <c r="P64" s="43"/>
      <c r="Q64" s="22">
        <v>200</v>
      </c>
      <c r="R64" s="22"/>
      <c r="S64" s="37">
        <v>126</v>
      </c>
      <c r="T64" s="37"/>
      <c r="U64" s="22">
        <v>260</v>
      </c>
      <c r="V64" s="22">
        <v>248</v>
      </c>
      <c r="W64" s="22">
        <v>180</v>
      </c>
      <c r="X64" s="22"/>
    </row>
    <row r="65" spans="1:24" x14ac:dyDescent="0.3">
      <c r="A65" s="22"/>
      <c r="B65" s="41"/>
      <c r="C65" s="22"/>
      <c r="D65" s="22"/>
      <c r="E65" s="22"/>
      <c r="F65" s="22"/>
      <c r="G65" s="22"/>
      <c r="H65" s="65"/>
      <c r="I65" s="169">
        <v>3845</v>
      </c>
      <c r="K65" s="24">
        <v>516</v>
      </c>
      <c r="L65" s="56"/>
      <c r="M65" s="44">
        <v>336</v>
      </c>
      <c r="N65" s="22"/>
      <c r="O65" s="22">
        <v>516</v>
      </c>
      <c r="P65" s="43"/>
      <c r="Q65" s="22">
        <v>174</v>
      </c>
      <c r="R65" s="22"/>
      <c r="S65" s="37">
        <v>670</v>
      </c>
      <c r="T65" s="37"/>
      <c r="U65" s="22">
        <v>537</v>
      </c>
      <c r="V65" s="22">
        <v>50</v>
      </c>
      <c r="W65" s="22">
        <v>366</v>
      </c>
      <c r="X65" s="22"/>
    </row>
    <row r="66" spans="1:24" x14ac:dyDescent="0.3">
      <c r="A66" s="22"/>
      <c r="B66" s="22"/>
      <c r="C66" s="22"/>
      <c r="D66" s="22"/>
      <c r="E66" s="22"/>
      <c r="F66" s="22"/>
      <c r="G66" s="22"/>
      <c r="H66" s="160"/>
      <c r="I66" s="169">
        <v>424</v>
      </c>
      <c r="K66" s="24">
        <v>3290</v>
      </c>
      <c r="L66" s="56"/>
      <c r="M66" s="41">
        <v>370</v>
      </c>
      <c r="N66" s="22"/>
      <c r="O66" s="22">
        <v>4220</v>
      </c>
      <c r="P66" s="22"/>
      <c r="Q66" s="22">
        <v>2320</v>
      </c>
      <c r="R66" s="22"/>
      <c r="S66" s="37"/>
      <c r="T66" s="37"/>
      <c r="U66" s="22">
        <v>4380</v>
      </c>
      <c r="V66" s="22"/>
      <c r="W66" s="22">
        <v>3540</v>
      </c>
      <c r="X66" s="22"/>
    </row>
    <row r="67" spans="1:24" x14ac:dyDescent="0.3">
      <c r="A67" s="22"/>
      <c r="B67" s="22"/>
      <c r="C67" s="22"/>
      <c r="D67" s="22"/>
      <c r="E67" s="22"/>
      <c r="F67" s="22"/>
      <c r="G67" s="22"/>
      <c r="H67" s="65"/>
      <c r="I67" s="169">
        <v>2534</v>
      </c>
      <c r="K67" s="24">
        <v>1370</v>
      </c>
      <c r="L67" s="56"/>
      <c r="M67" s="22">
        <v>30</v>
      </c>
      <c r="N67" s="22"/>
      <c r="O67" s="22">
        <v>770</v>
      </c>
      <c r="P67" s="22"/>
      <c r="Q67" s="22"/>
      <c r="R67" s="22"/>
      <c r="S67" s="37"/>
      <c r="T67" s="37"/>
      <c r="U67" s="22">
        <v>700</v>
      </c>
      <c r="V67" s="22"/>
      <c r="W67" s="22">
        <v>910</v>
      </c>
      <c r="X67" s="22"/>
    </row>
    <row r="68" spans="1:24" x14ac:dyDescent="0.3">
      <c r="A68" s="22"/>
      <c r="B68" s="22"/>
      <c r="C68" s="22"/>
      <c r="D68" s="22"/>
      <c r="E68" s="22"/>
      <c r="F68" s="22"/>
      <c r="G68" s="22"/>
      <c r="H68" s="160"/>
      <c r="I68" s="169">
        <v>6360</v>
      </c>
      <c r="K68" s="133"/>
      <c r="L68" s="166"/>
      <c r="M68" s="166">
        <v>32</v>
      </c>
      <c r="N68" s="166"/>
      <c r="O68" s="22"/>
      <c r="P68" s="22"/>
      <c r="Q68" s="22"/>
      <c r="R68" s="166"/>
      <c r="S68" s="166"/>
      <c r="T68" s="167"/>
      <c r="U68" s="22"/>
      <c r="V68" s="166"/>
      <c r="W68" s="166"/>
      <c r="X68" s="166"/>
    </row>
    <row r="69" spans="1:24" x14ac:dyDescent="0.3">
      <c r="A69" s="22"/>
      <c r="B69" s="22"/>
      <c r="C69" s="22"/>
      <c r="D69" s="22"/>
      <c r="E69" s="22"/>
      <c r="F69" s="22"/>
      <c r="G69" s="22"/>
      <c r="H69" s="65"/>
      <c r="I69" s="169">
        <v>1076</v>
      </c>
      <c r="K69" s="24"/>
      <c r="L69" s="56"/>
      <c r="M69" s="22"/>
      <c r="N69" s="22"/>
      <c r="O69" s="22"/>
      <c r="P69" s="22"/>
      <c r="Q69" s="22"/>
      <c r="R69" s="22"/>
      <c r="S69" s="22"/>
      <c r="T69" s="37"/>
      <c r="U69" s="22"/>
      <c r="V69" s="22"/>
      <c r="W69" s="22"/>
      <c r="X69" s="22"/>
    </row>
    <row r="70" spans="1:24" x14ac:dyDescent="0.3">
      <c r="A70" s="22"/>
      <c r="B70" s="22"/>
      <c r="C70" s="22"/>
      <c r="D70" s="22"/>
      <c r="E70" s="22"/>
      <c r="F70" s="22"/>
      <c r="G70" s="22"/>
      <c r="H70" s="160"/>
      <c r="I70" s="169">
        <v>1315.54</v>
      </c>
      <c r="K70" s="24"/>
      <c r="L70" s="56"/>
      <c r="M70" s="22"/>
      <c r="N70" s="22"/>
      <c r="O70" s="22"/>
      <c r="P70" s="22"/>
      <c r="Q70" s="22"/>
      <c r="R70" s="22"/>
      <c r="S70" s="22"/>
      <c r="T70" s="37"/>
      <c r="U70" s="22"/>
      <c r="V70" s="22"/>
      <c r="W70" s="22"/>
      <c r="X70" s="22"/>
    </row>
    <row r="71" spans="1:24" x14ac:dyDescent="0.3">
      <c r="A71" s="22"/>
      <c r="B71" s="22"/>
      <c r="C71" s="22"/>
      <c r="D71" s="22"/>
      <c r="E71" s="22"/>
      <c r="F71" s="22"/>
      <c r="G71" s="22"/>
      <c r="H71" s="65"/>
      <c r="I71" s="169">
        <v>974</v>
      </c>
      <c r="K71" s="24"/>
      <c r="L71" s="56"/>
      <c r="M71" s="22"/>
      <c r="N71" s="22"/>
      <c r="O71" s="22"/>
      <c r="P71" s="22"/>
      <c r="Q71" s="22"/>
      <c r="R71" s="22"/>
      <c r="S71" s="22"/>
      <c r="T71" s="37"/>
      <c r="U71" s="22"/>
      <c r="V71" s="22"/>
      <c r="W71" s="22"/>
      <c r="X71" s="22"/>
    </row>
    <row r="72" spans="1:24" x14ac:dyDescent="0.3">
      <c r="A72" s="22"/>
      <c r="B72" s="22"/>
      <c r="C72" s="22"/>
      <c r="D72" s="22"/>
      <c r="E72" s="22"/>
      <c r="F72" s="22"/>
      <c r="G72" s="22"/>
      <c r="H72" s="160"/>
      <c r="I72" s="169">
        <v>996</v>
      </c>
      <c r="K72" s="24"/>
      <c r="L72" s="56"/>
      <c r="M72" s="22"/>
      <c r="N72" s="22"/>
      <c r="O72" s="22"/>
      <c r="P72" s="22" t="s">
        <v>14</v>
      </c>
      <c r="Q72" s="22"/>
      <c r="R72" s="22"/>
      <c r="S72" s="22"/>
      <c r="T72" s="37"/>
      <c r="U72" s="22"/>
      <c r="V72" s="22"/>
      <c r="W72" s="22"/>
      <c r="X72" s="22"/>
    </row>
    <row r="73" spans="1:24" x14ac:dyDescent="0.3">
      <c r="A73" s="22"/>
      <c r="B73" s="22"/>
      <c r="C73" s="22"/>
      <c r="D73" s="22"/>
      <c r="E73" s="22"/>
      <c r="F73" s="22"/>
      <c r="G73" s="22"/>
      <c r="H73" s="65"/>
      <c r="I73" s="170">
        <v>848</v>
      </c>
      <c r="K73" s="24"/>
      <c r="L73" s="56"/>
      <c r="M73" s="22"/>
      <c r="N73" s="22" t="s">
        <v>9</v>
      </c>
      <c r="O73" s="43"/>
      <c r="P73" s="22"/>
      <c r="Q73" s="22"/>
      <c r="R73" s="22"/>
      <c r="S73" s="22"/>
      <c r="T73" s="37"/>
      <c r="U73" s="22"/>
      <c r="V73" s="22"/>
      <c r="W73" s="22"/>
      <c r="X73" s="22"/>
    </row>
    <row r="74" spans="1:24" ht="15" thickBot="1" x14ac:dyDescent="0.35">
      <c r="A74" s="22"/>
      <c r="B74" s="22"/>
      <c r="C74" s="22"/>
      <c r="D74" s="22"/>
      <c r="E74" s="22"/>
      <c r="F74" s="22"/>
      <c r="G74" s="22"/>
      <c r="H74" s="160"/>
      <c r="I74" s="27"/>
      <c r="K74" s="24"/>
      <c r="L74" s="56"/>
      <c r="M74" s="22"/>
      <c r="N74" s="22"/>
      <c r="O74" s="43"/>
      <c r="P74" s="22"/>
      <c r="Q74" s="22"/>
      <c r="R74" s="22"/>
      <c r="S74" s="22"/>
      <c r="T74" s="37"/>
      <c r="U74" s="22"/>
      <c r="V74" s="22"/>
      <c r="W74" s="22"/>
      <c r="X74" s="22"/>
    </row>
    <row r="75" spans="1:24" ht="15.6" thickTop="1" thickBot="1" x14ac:dyDescent="0.35">
      <c r="A75" s="22"/>
      <c r="B75" s="22"/>
      <c r="C75" s="22"/>
      <c r="D75" s="22"/>
      <c r="E75" s="22"/>
      <c r="F75" s="22"/>
      <c r="G75" s="22"/>
      <c r="H75" s="65"/>
      <c r="I75" s="132">
        <f>SUM(I62:I74)</f>
        <v>29374.06</v>
      </c>
      <c r="K75" s="24"/>
      <c r="L75" s="56"/>
      <c r="M75" s="22"/>
      <c r="N75" s="22"/>
      <c r="O75" s="43"/>
      <c r="P75" s="22"/>
      <c r="Q75" s="22"/>
      <c r="R75" s="22"/>
      <c r="S75" s="22"/>
      <c r="T75" s="37"/>
      <c r="U75" s="22"/>
      <c r="V75" s="22"/>
      <c r="W75" s="22"/>
      <c r="X75" s="22"/>
    </row>
    <row r="76" spans="1:24" ht="15.6" thickTop="1" thickBot="1" x14ac:dyDescent="0.35">
      <c r="A76" s="22"/>
      <c r="B76" s="22"/>
      <c r="C76" s="22"/>
      <c r="D76" s="22"/>
      <c r="E76" s="22"/>
      <c r="F76" s="22"/>
      <c r="G76" s="22"/>
      <c r="H76" s="160"/>
      <c r="I76" s="27"/>
      <c r="K76" s="133"/>
      <c r="L76" s="166"/>
      <c r="M76" s="166"/>
      <c r="N76" s="166"/>
      <c r="O76" s="166"/>
      <c r="P76" s="166"/>
      <c r="Q76" s="166"/>
      <c r="R76" s="166"/>
      <c r="S76" s="166"/>
      <c r="T76" s="167"/>
      <c r="U76" s="22"/>
      <c r="V76" s="166"/>
      <c r="W76" s="166"/>
      <c r="X76" s="166"/>
    </row>
    <row r="77" spans="1:24" ht="15" thickBot="1" x14ac:dyDescent="0.35">
      <c r="A77" s="140">
        <f>SUM(A62:A76)</f>
        <v>3558.29</v>
      </c>
      <c r="B77" s="140">
        <f t="shared" ref="B77:G77" si="16">SUM(B62:B76)</f>
        <v>2783.29</v>
      </c>
      <c r="C77" s="140">
        <f t="shared" si="16"/>
        <v>3811.8100000000004</v>
      </c>
      <c r="D77" s="140">
        <f t="shared" si="16"/>
        <v>3567.16</v>
      </c>
      <c r="E77" s="140">
        <f t="shared" si="16"/>
        <v>525</v>
      </c>
      <c r="F77" s="140">
        <f t="shared" si="16"/>
        <v>4058.29</v>
      </c>
      <c r="G77" s="140">
        <f t="shared" si="16"/>
        <v>3013.29</v>
      </c>
      <c r="H77" s="29">
        <f>SUM(A77:G77)+I75</f>
        <v>50691.19</v>
      </c>
      <c r="I77" s="150" t="s">
        <v>64</v>
      </c>
      <c r="K77" s="152">
        <f t="shared" ref="K77:V77" si="17">SUM(K62:K76)</f>
        <v>5466</v>
      </c>
      <c r="L77" s="152">
        <f t="shared" si="17"/>
        <v>411.5</v>
      </c>
      <c r="M77" s="152">
        <f t="shared" si="17"/>
        <v>4268</v>
      </c>
      <c r="N77" s="152">
        <f t="shared" si="17"/>
        <v>15</v>
      </c>
      <c r="O77" s="152">
        <f t="shared" si="17"/>
        <v>5826</v>
      </c>
      <c r="P77" s="152">
        <f t="shared" si="17"/>
        <v>15</v>
      </c>
      <c r="Q77" s="152">
        <f t="shared" si="17"/>
        <v>2726</v>
      </c>
      <c r="R77" s="152">
        <f t="shared" si="17"/>
        <v>15</v>
      </c>
      <c r="S77" s="152">
        <f t="shared" si="17"/>
        <v>876</v>
      </c>
      <c r="T77" s="152">
        <f t="shared" si="17"/>
        <v>15</v>
      </c>
      <c r="U77" s="152">
        <f t="shared" si="17"/>
        <v>5907</v>
      </c>
      <c r="V77" s="152">
        <f t="shared" si="17"/>
        <v>313</v>
      </c>
      <c r="W77" s="152">
        <f>SUM(W62:W76)</f>
        <v>5026</v>
      </c>
      <c r="X77" s="154">
        <f t="shared" ref="X77" si="18">SUM(X62:X76)</f>
        <v>15</v>
      </c>
    </row>
    <row r="78" spans="1:24" ht="15" thickBot="1" x14ac:dyDescent="0.35">
      <c r="A78" s="140">
        <v>3558.29</v>
      </c>
      <c r="B78" s="140">
        <v>2783.29</v>
      </c>
      <c r="C78" s="140">
        <v>3811.81</v>
      </c>
      <c r="D78" s="140">
        <v>3567.16</v>
      </c>
      <c r="E78" s="140">
        <v>525</v>
      </c>
      <c r="F78" s="140">
        <v>4058.29</v>
      </c>
      <c r="G78" s="140">
        <v>3013.29</v>
      </c>
      <c r="H78" s="29">
        <f>SUM(A78:G78)+I75</f>
        <v>50691.19</v>
      </c>
      <c r="I78" s="173"/>
      <c r="K78" s="152">
        <v>5466</v>
      </c>
      <c r="L78" s="152">
        <v>411.5</v>
      </c>
      <c r="M78" s="152">
        <v>4268</v>
      </c>
      <c r="N78" s="152">
        <v>15</v>
      </c>
      <c r="O78" s="152">
        <v>5826</v>
      </c>
      <c r="P78" s="152">
        <v>15</v>
      </c>
      <c r="Q78" s="152">
        <v>2726</v>
      </c>
      <c r="R78" s="152">
        <v>15</v>
      </c>
      <c r="S78" s="152">
        <v>876</v>
      </c>
      <c r="T78" s="152">
        <v>15</v>
      </c>
      <c r="U78" s="152">
        <v>5907</v>
      </c>
      <c r="V78" s="152">
        <v>313</v>
      </c>
      <c r="W78" s="152">
        <v>5026</v>
      </c>
      <c r="X78" s="152">
        <v>15</v>
      </c>
    </row>
    <row r="79" spans="1:24" ht="15" thickBot="1" x14ac:dyDescent="0.35">
      <c r="A79" s="172">
        <f t="shared" ref="A79:H79" si="19">A77-A78</f>
        <v>0</v>
      </c>
      <c r="B79" s="172">
        <f t="shared" si="19"/>
        <v>0</v>
      </c>
      <c r="C79" s="172">
        <f t="shared" si="19"/>
        <v>0</v>
      </c>
      <c r="D79" s="172">
        <f t="shared" si="19"/>
        <v>0</v>
      </c>
      <c r="E79" s="172">
        <f t="shared" si="19"/>
        <v>0</v>
      </c>
      <c r="F79" s="172">
        <f t="shared" si="19"/>
        <v>0</v>
      </c>
      <c r="G79" s="172">
        <f t="shared" si="19"/>
        <v>0</v>
      </c>
      <c r="H79" s="172">
        <f t="shared" si="19"/>
        <v>0</v>
      </c>
      <c r="I79" s="172"/>
      <c r="K79" s="172">
        <f>K77-K78</f>
        <v>0</v>
      </c>
      <c r="L79" s="172">
        <f>L77-L78</f>
        <v>0</v>
      </c>
      <c r="M79" s="172">
        <f t="shared" ref="M79:X79" si="20">M77-M78</f>
        <v>0</v>
      </c>
      <c r="N79" s="172">
        <f t="shared" si="20"/>
        <v>0</v>
      </c>
      <c r="O79" s="172">
        <f t="shared" si="20"/>
        <v>0</v>
      </c>
      <c r="P79" s="172">
        <f t="shared" si="20"/>
        <v>0</v>
      </c>
      <c r="Q79" s="172">
        <f t="shared" si="20"/>
        <v>0</v>
      </c>
      <c r="R79" s="172">
        <f t="shared" si="20"/>
        <v>0</v>
      </c>
      <c r="S79" s="172">
        <f t="shared" si="20"/>
        <v>0</v>
      </c>
      <c r="T79" s="172">
        <f t="shared" si="20"/>
        <v>0</v>
      </c>
      <c r="U79" s="172">
        <f t="shared" si="20"/>
        <v>0</v>
      </c>
      <c r="V79" s="172">
        <f t="shared" si="20"/>
        <v>0</v>
      </c>
      <c r="W79" s="172">
        <f t="shared" si="20"/>
        <v>0</v>
      </c>
      <c r="X79" s="172">
        <f t="shared" si="20"/>
        <v>0</v>
      </c>
    </row>
    <row r="80" spans="1:24" ht="15" thickBot="1" x14ac:dyDescent="0.35"/>
    <row r="81" spans="1:24" x14ac:dyDescent="0.3">
      <c r="A81" s="157">
        <v>46204</v>
      </c>
      <c r="B81" s="157">
        <v>46205</v>
      </c>
      <c r="C81" s="157">
        <v>46206</v>
      </c>
      <c r="D81" s="157">
        <v>46207</v>
      </c>
      <c r="E81" s="157">
        <v>46208</v>
      </c>
      <c r="F81" s="157">
        <v>46209</v>
      </c>
      <c r="G81" s="157">
        <v>46210</v>
      </c>
      <c r="H81" s="157"/>
      <c r="I81" s="13" t="s">
        <v>8</v>
      </c>
      <c r="K81" s="59">
        <v>46204</v>
      </c>
      <c r="L81" s="59"/>
      <c r="M81" s="59">
        <f>K81+1</f>
        <v>46205</v>
      </c>
      <c r="N81" s="59"/>
      <c r="O81" s="59">
        <f>M81+1</f>
        <v>46206</v>
      </c>
      <c r="P81" s="59"/>
      <c r="Q81" s="59">
        <f>O81+1</f>
        <v>46207</v>
      </c>
      <c r="R81" s="59"/>
      <c r="S81" s="59">
        <f>Q81+1</f>
        <v>46208</v>
      </c>
      <c r="T81" s="59"/>
      <c r="U81" s="59">
        <f>S81+1</f>
        <v>46209</v>
      </c>
      <c r="V81" s="59"/>
      <c r="W81" s="59">
        <f>U81+1</f>
        <v>46210</v>
      </c>
      <c r="X81" s="59"/>
    </row>
    <row r="82" spans="1:24" ht="15" thickBot="1" x14ac:dyDescent="0.35">
      <c r="A82" s="22">
        <v>408.68</v>
      </c>
      <c r="B82" s="22">
        <v>533.67999999999995</v>
      </c>
      <c r="C82" s="22">
        <v>583.1</v>
      </c>
      <c r="D82" s="22">
        <v>375</v>
      </c>
      <c r="E82" s="22">
        <v>620</v>
      </c>
      <c r="F82" s="22">
        <v>518.1</v>
      </c>
      <c r="G82" s="22">
        <v>621.54999999999995</v>
      </c>
      <c r="H82" s="160"/>
      <c r="I82" s="174">
        <v>4835.7</v>
      </c>
      <c r="K82" s="124" t="s">
        <v>10</v>
      </c>
      <c r="L82" s="125" t="s">
        <v>11</v>
      </c>
      <c r="M82" s="126" t="s">
        <v>10</v>
      </c>
      <c r="N82" s="126" t="s">
        <v>11</v>
      </c>
      <c r="O82" s="126" t="s">
        <v>10</v>
      </c>
      <c r="P82" s="126" t="s">
        <v>11</v>
      </c>
      <c r="Q82" s="126"/>
      <c r="R82" s="126" t="s">
        <v>11</v>
      </c>
      <c r="S82" s="126" t="s">
        <v>10</v>
      </c>
      <c r="T82" s="126" t="s">
        <v>11</v>
      </c>
      <c r="U82" s="126" t="s">
        <v>10</v>
      </c>
      <c r="V82" s="126" t="s">
        <v>11</v>
      </c>
      <c r="W82" s="126" t="s">
        <v>10</v>
      </c>
      <c r="X82" s="143" t="s">
        <v>11</v>
      </c>
    </row>
    <row r="83" spans="1:24" x14ac:dyDescent="0.3">
      <c r="A83" s="22">
        <v>2625</v>
      </c>
      <c r="B83" s="22">
        <v>1911.55</v>
      </c>
      <c r="C83" s="22">
        <v>1995</v>
      </c>
      <c r="D83" s="22">
        <v>1475</v>
      </c>
      <c r="E83" s="22"/>
      <c r="F83" s="22">
        <v>2280</v>
      </c>
      <c r="G83" s="22">
        <v>1616.55</v>
      </c>
      <c r="H83" s="65"/>
      <c r="I83" s="174">
        <v>6672.1</v>
      </c>
      <c r="K83" s="24">
        <v>30</v>
      </c>
      <c r="L83" s="56">
        <v>279.8</v>
      </c>
      <c r="M83" s="22">
        <v>30</v>
      </c>
      <c r="N83" s="22">
        <v>238</v>
      </c>
      <c r="O83" s="22">
        <v>30</v>
      </c>
      <c r="P83" s="43">
        <v>350</v>
      </c>
      <c r="Q83" s="22">
        <v>30</v>
      </c>
      <c r="R83" s="22">
        <v>32</v>
      </c>
      <c r="S83" s="37">
        <v>80</v>
      </c>
      <c r="T83" s="37">
        <v>15</v>
      </c>
      <c r="U83" s="22">
        <v>30</v>
      </c>
      <c r="V83" s="22">
        <v>15</v>
      </c>
      <c r="W83" s="22">
        <v>650</v>
      </c>
      <c r="X83" s="22">
        <v>1230</v>
      </c>
    </row>
    <row r="84" spans="1:24" x14ac:dyDescent="0.3">
      <c r="A84" s="22">
        <v>1686.36</v>
      </c>
      <c r="B84" s="44">
        <v>1349.59</v>
      </c>
      <c r="C84" s="22">
        <v>1723.01</v>
      </c>
      <c r="D84" s="22">
        <v>1700.54</v>
      </c>
      <c r="E84" s="46"/>
      <c r="F84" s="1">
        <v>1876.85</v>
      </c>
      <c r="G84" s="22">
        <v>1781.85</v>
      </c>
      <c r="H84" s="160"/>
      <c r="I84" s="174">
        <v>278.42</v>
      </c>
      <c r="K84" s="24">
        <v>250</v>
      </c>
      <c r="L84" s="56"/>
      <c r="M84" s="22">
        <v>440</v>
      </c>
      <c r="N84" s="22">
        <v>316</v>
      </c>
      <c r="O84" s="22">
        <v>310</v>
      </c>
      <c r="P84" s="43"/>
      <c r="Q84" s="22">
        <v>220</v>
      </c>
      <c r="R84" s="22">
        <v>15</v>
      </c>
      <c r="S84" s="37">
        <v>186</v>
      </c>
      <c r="T84" s="37"/>
      <c r="U84" s="22">
        <v>360</v>
      </c>
      <c r="V84" s="22">
        <v>2230</v>
      </c>
      <c r="W84" s="22">
        <v>3280</v>
      </c>
      <c r="X84" s="22">
        <v>15</v>
      </c>
    </row>
    <row r="85" spans="1:24" x14ac:dyDescent="0.3">
      <c r="A85" s="22"/>
      <c r="B85" s="41"/>
      <c r="C85" s="22"/>
      <c r="D85" s="22"/>
      <c r="E85" s="22"/>
      <c r="F85" s="22"/>
      <c r="G85" s="22"/>
      <c r="H85" s="65"/>
      <c r="I85" s="174">
        <v>2896.2</v>
      </c>
      <c r="K85" s="24">
        <v>461</v>
      </c>
      <c r="L85" s="56"/>
      <c r="M85" s="44">
        <v>426</v>
      </c>
      <c r="N85" s="22">
        <v>1560</v>
      </c>
      <c r="O85" s="22">
        <v>510</v>
      </c>
      <c r="P85" s="43"/>
      <c r="Q85" s="22">
        <v>600</v>
      </c>
      <c r="R85" s="22">
        <v>429.9</v>
      </c>
      <c r="S85" s="37">
        <v>790</v>
      </c>
      <c r="T85" s="37"/>
      <c r="U85" s="22">
        <v>606</v>
      </c>
      <c r="V85" s="22"/>
      <c r="W85" s="22">
        <v>426</v>
      </c>
      <c r="X85" s="22">
        <v>46</v>
      </c>
    </row>
    <row r="86" spans="1:24" x14ac:dyDescent="0.3">
      <c r="A86" s="22"/>
      <c r="B86" s="22"/>
      <c r="C86" s="22"/>
      <c r="D86" s="22"/>
      <c r="E86" s="22"/>
      <c r="F86" s="22"/>
      <c r="G86" s="22"/>
      <c r="H86" s="160"/>
      <c r="I86" s="174">
        <v>907.36</v>
      </c>
      <c r="K86" s="24">
        <v>4780</v>
      </c>
      <c r="L86" s="56"/>
      <c r="M86" s="41">
        <v>4180</v>
      </c>
      <c r="N86" s="22"/>
      <c r="O86" s="22">
        <v>3700</v>
      </c>
      <c r="P86" s="22"/>
      <c r="Q86" s="22">
        <v>2145</v>
      </c>
      <c r="R86" s="22"/>
      <c r="S86" s="37"/>
      <c r="T86" s="37"/>
      <c r="U86" s="22">
        <v>4030</v>
      </c>
      <c r="V86" s="22"/>
      <c r="W86" s="22">
        <v>280</v>
      </c>
      <c r="X86" s="22">
        <v>399.8</v>
      </c>
    </row>
    <row r="87" spans="1:24" x14ac:dyDescent="0.3">
      <c r="A87" s="22"/>
      <c r="B87" s="22"/>
      <c r="C87" s="22"/>
      <c r="D87" s="22"/>
      <c r="E87" s="22"/>
      <c r="F87" s="22"/>
      <c r="G87" s="22"/>
      <c r="H87" s="65"/>
      <c r="I87" s="174">
        <v>7485.72</v>
      </c>
      <c r="K87" s="24">
        <v>580</v>
      </c>
      <c r="L87" s="56"/>
      <c r="M87" s="22">
        <v>350</v>
      </c>
      <c r="N87" s="22"/>
      <c r="O87" s="22">
        <v>420</v>
      </c>
      <c r="P87" s="22"/>
      <c r="Q87" s="22"/>
      <c r="R87" s="22"/>
      <c r="S87" s="37"/>
      <c r="T87" s="37"/>
      <c r="U87" s="22">
        <v>280</v>
      </c>
      <c r="V87" s="22"/>
      <c r="W87" s="22"/>
      <c r="X87" s="22"/>
    </row>
    <row r="88" spans="1:24" x14ac:dyDescent="0.3">
      <c r="A88" s="22"/>
      <c r="B88" s="22"/>
      <c r="C88" s="22"/>
      <c r="D88" s="22"/>
      <c r="E88" s="22"/>
      <c r="F88" s="22"/>
      <c r="G88" s="22"/>
      <c r="H88" s="160"/>
      <c r="I88" s="174">
        <v>907.36</v>
      </c>
      <c r="K88" s="133"/>
      <c r="L88" s="166"/>
      <c r="M88" s="166"/>
      <c r="N88" s="166"/>
      <c r="O88" s="22"/>
      <c r="P88" s="22"/>
      <c r="Q88" s="22"/>
      <c r="R88" s="166"/>
      <c r="S88" s="166"/>
      <c r="T88" s="167"/>
      <c r="U88" s="22"/>
      <c r="V88" s="166"/>
      <c r="W88" s="166"/>
      <c r="X88" s="166"/>
    </row>
    <row r="89" spans="1:24" x14ac:dyDescent="0.3">
      <c r="A89" s="22"/>
      <c r="B89" s="22"/>
      <c r="C89" s="22"/>
      <c r="D89" s="22"/>
      <c r="E89" s="22"/>
      <c r="F89" s="22"/>
      <c r="G89" s="22"/>
      <c r="H89" s="65"/>
      <c r="I89" s="174">
        <v>1528.68</v>
      </c>
      <c r="K89" s="24"/>
      <c r="L89" s="56"/>
      <c r="M89" s="22"/>
      <c r="N89" s="22"/>
      <c r="O89" s="22"/>
      <c r="P89" s="22"/>
      <c r="Q89" s="22"/>
      <c r="R89" s="22"/>
      <c r="S89" s="22"/>
      <c r="T89" s="37"/>
      <c r="U89" s="22"/>
      <c r="V89" s="22"/>
      <c r="W89" s="22"/>
      <c r="X89" s="22"/>
    </row>
    <row r="90" spans="1:24" x14ac:dyDescent="0.3">
      <c r="A90" s="22"/>
      <c r="B90" s="22"/>
      <c r="C90" s="22"/>
      <c r="D90" s="22"/>
      <c r="E90" s="22"/>
      <c r="F90" s="22"/>
      <c r="G90" s="22"/>
      <c r="H90" s="160"/>
      <c r="I90" s="174">
        <v>4490</v>
      </c>
      <c r="K90" s="24"/>
      <c r="L90" s="56"/>
      <c r="M90" s="22"/>
      <c r="N90" s="22"/>
      <c r="O90" s="22"/>
      <c r="P90" s="22"/>
      <c r="Q90" s="22"/>
      <c r="R90" s="22"/>
      <c r="S90" s="22"/>
      <c r="T90" s="37"/>
      <c r="U90" s="22"/>
      <c r="V90" s="22"/>
      <c r="W90" s="22"/>
      <c r="X90" s="22"/>
    </row>
    <row r="91" spans="1:24" x14ac:dyDescent="0.3">
      <c r="A91" s="22"/>
      <c r="B91" s="22"/>
      <c r="C91" s="22"/>
      <c r="D91" s="22"/>
      <c r="E91" s="22"/>
      <c r="F91" s="22"/>
      <c r="G91" s="22"/>
      <c r="H91" s="65"/>
      <c r="I91" s="174">
        <v>2977.36</v>
      </c>
      <c r="K91" s="24"/>
      <c r="L91" s="56"/>
      <c r="M91" s="22"/>
      <c r="N91" s="22"/>
      <c r="O91" s="22"/>
      <c r="P91" s="22"/>
      <c r="Q91" s="22"/>
      <c r="R91" s="22"/>
      <c r="S91" s="22"/>
      <c r="T91" s="37"/>
      <c r="U91" s="22"/>
      <c r="V91" s="22"/>
      <c r="W91" s="22"/>
      <c r="X91" s="22"/>
    </row>
    <row r="92" spans="1:24" x14ac:dyDescent="0.3">
      <c r="A92" s="22"/>
      <c r="B92" s="22"/>
      <c r="C92" s="22"/>
      <c r="D92" s="22"/>
      <c r="E92" s="22"/>
      <c r="F92" s="22"/>
      <c r="G92" s="22"/>
      <c r="H92" s="160"/>
      <c r="I92" s="174">
        <v>296.55</v>
      </c>
      <c r="K92" s="24"/>
      <c r="L92" s="56"/>
      <c r="M92" s="22"/>
      <c r="N92" s="22"/>
      <c r="O92" s="22"/>
      <c r="P92" s="22" t="s">
        <v>14</v>
      </c>
      <c r="Q92" s="22"/>
      <c r="R92" s="22"/>
      <c r="S92" s="22"/>
      <c r="T92" s="37"/>
      <c r="U92" s="22"/>
      <c r="V92" s="22"/>
      <c r="W92" s="22"/>
      <c r="X92" s="22"/>
    </row>
    <row r="93" spans="1:24" x14ac:dyDescent="0.3">
      <c r="A93" s="22"/>
      <c r="B93" s="22"/>
      <c r="C93" s="22"/>
      <c r="D93" s="22"/>
      <c r="E93" s="22"/>
      <c r="F93" s="22"/>
      <c r="G93" s="22"/>
      <c r="H93" s="65"/>
      <c r="I93" s="170"/>
      <c r="K93" s="24"/>
      <c r="L93" s="56"/>
      <c r="M93" s="22"/>
      <c r="N93" s="22" t="s">
        <v>9</v>
      </c>
      <c r="O93" s="43"/>
      <c r="P93" s="22"/>
      <c r="Q93" s="22"/>
      <c r="R93" s="22"/>
      <c r="S93" s="22"/>
      <c r="T93" s="37"/>
      <c r="U93" s="22"/>
      <c r="V93" s="22"/>
      <c r="W93" s="22"/>
      <c r="X93" s="22"/>
    </row>
    <row r="94" spans="1:24" ht="15" thickBot="1" x14ac:dyDescent="0.35">
      <c r="A94" s="22"/>
      <c r="B94" s="22"/>
      <c r="C94" s="22"/>
      <c r="D94" s="22"/>
      <c r="E94" s="22"/>
      <c r="F94" s="22"/>
      <c r="G94" s="22"/>
      <c r="H94" s="160"/>
      <c r="I94" s="27"/>
      <c r="K94" s="24"/>
      <c r="L94" s="56"/>
      <c r="M94" s="22"/>
      <c r="N94" s="22"/>
      <c r="O94" s="43"/>
      <c r="P94" s="22"/>
      <c r="Q94" s="22"/>
      <c r="R94" s="22"/>
      <c r="S94" s="22"/>
      <c r="T94" s="37"/>
      <c r="U94" s="22"/>
      <c r="V94" s="22"/>
      <c r="W94" s="22"/>
      <c r="X94" s="22"/>
    </row>
    <row r="95" spans="1:24" ht="15.6" thickTop="1" thickBot="1" x14ac:dyDescent="0.35">
      <c r="A95" s="22"/>
      <c r="B95" s="22"/>
      <c r="C95" s="22"/>
      <c r="D95" s="22"/>
      <c r="E95" s="22"/>
      <c r="F95" s="22"/>
      <c r="G95" s="22"/>
      <c r="H95" s="65"/>
      <c r="I95" s="132">
        <f>SUM(I82:I94)</f>
        <v>33275.450000000004</v>
      </c>
      <c r="K95" s="24"/>
      <c r="L95" s="56"/>
      <c r="M95" s="22"/>
      <c r="N95" s="22"/>
      <c r="O95" s="43"/>
      <c r="P95" s="22"/>
      <c r="Q95" s="22"/>
      <c r="R95" s="22"/>
      <c r="S95" s="22"/>
      <c r="T95" s="37"/>
      <c r="U95" s="22"/>
      <c r="V95" s="22"/>
      <c r="W95" s="22"/>
      <c r="X95" s="22"/>
    </row>
    <row r="96" spans="1:24" ht="15.6" thickTop="1" thickBot="1" x14ac:dyDescent="0.35">
      <c r="A96" s="22"/>
      <c r="B96" s="22"/>
      <c r="C96" s="22"/>
      <c r="D96" s="22"/>
      <c r="E96" s="22"/>
      <c r="F96" s="22"/>
      <c r="G96" s="22"/>
      <c r="H96" s="160"/>
      <c r="I96" s="27"/>
      <c r="K96" s="133"/>
      <c r="L96" s="166"/>
      <c r="M96" s="166"/>
      <c r="N96" s="166"/>
      <c r="O96" s="166"/>
      <c r="P96" s="166"/>
      <c r="Q96" s="166"/>
      <c r="R96" s="166"/>
      <c r="S96" s="166"/>
      <c r="T96" s="167"/>
      <c r="U96" s="22"/>
      <c r="V96" s="166"/>
      <c r="W96" s="166"/>
      <c r="X96" s="166"/>
    </row>
    <row r="97" spans="1:24" ht="15" thickBot="1" x14ac:dyDescent="0.35">
      <c r="A97" s="140">
        <f>SUM(A82:A96)</f>
        <v>4720.04</v>
      </c>
      <c r="B97" s="140">
        <f t="shared" ref="B97:G97" si="21">SUM(B82:B96)</f>
        <v>3794.8199999999997</v>
      </c>
      <c r="C97" s="140">
        <f t="shared" si="21"/>
        <v>4301.1099999999997</v>
      </c>
      <c r="D97" s="140">
        <f t="shared" si="21"/>
        <v>3550.54</v>
      </c>
      <c r="E97" s="140">
        <f t="shared" si="21"/>
        <v>620</v>
      </c>
      <c r="F97" s="140">
        <f t="shared" si="21"/>
        <v>4674.95</v>
      </c>
      <c r="G97" s="140">
        <f t="shared" si="21"/>
        <v>4019.95</v>
      </c>
      <c r="H97" s="29">
        <f>SUM(A97:G97)+I95</f>
        <v>58956.860000000008</v>
      </c>
      <c r="I97" s="150" t="s">
        <v>64</v>
      </c>
      <c r="K97" s="152">
        <f t="shared" ref="K97:V97" si="22">SUM(K82:K96)</f>
        <v>6101</v>
      </c>
      <c r="L97" s="152">
        <f t="shared" ref="L97:O97" si="23">SUM(L82:L96)</f>
        <v>279.8</v>
      </c>
      <c r="M97" s="152">
        <f t="shared" si="23"/>
        <v>5426</v>
      </c>
      <c r="N97" s="152">
        <f t="shared" si="23"/>
        <v>2114</v>
      </c>
      <c r="O97" s="152">
        <f t="shared" si="23"/>
        <v>4970</v>
      </c>
      <c r="P97" s="152">
        <f t="shared" si="22"/>
        <v>350</v>
      </c>
      <c r="Q97" s="152">
        <f t="shared" si="22"/>
        <v>2995</v>
      </c>
      <c r="R97" s="152">
        <f t="shared" si="22"/>
        <v>476.9</v>
      </c>
      <c r="S97" s="152">
        <f t="shared" si="22"/>
        <v>1056</v>
      </c>
      <c r="T97" s="152">
        <f t="shared" si="22"/>
        <v>15</v>
      </c>
      <c r="U97" s="152">
        <f t="shared" si="22"/>
        <v>5306</v>
      </c>
      <c r="V97" s="152">
        <f t="shared" si="22"/>
        <v>2245</v>
      </c>
      <c r="W97" s="152">
        <f>SUM(W82:W96)</f>
        <v>4636</v>
      </c>
      <c r="X97" s="154">
        <f t="shared" ref="X97" si="24">SUM(X82:X96)</f>
        <v>1690.8</v>
      </c>
    </row>
    <row r="98" spans="1:24" ht="15" thickBot="1" x14ac:dyDescent="0.35">
      <c r="A98" s="140">
        <v>4720.04</v>
      </c>
      <c r="B98" s="140">
        <v>3794.82</v>
      </c>
      <c r="C98" s="140">
        <v>4301.1099999999997</v>
      </c>
      <c r="D98" s="140">
        <v>3435.54</v>
      </c>
      <c r="E98" s="140">
        <v>620</v>
      </c>
      <c r="F98" s="140">
        <v>4674.9546700000001</v>
      </c>
      <c r="G98" s="140">
        <v>4019.95</v>
      </c>
      <c r="H98" s="29">
        <f>SUM(A98:G98)+I95</f>
        <v>58841.86467000001</v>
      </c>
      <c r="I98" s="173"/>
      <c r="K98" s="152">
        <v>6101</v>
      </c>
      <c r="L98" s="152">
        <v>279.8</v>
      </c>
      <c r="M98" s="152">
        <v>5426</v>
      </c>
      <c r="N98" s="152">
        <v>2114</v>
      </c>
      <c r="O98" s="152">
        <v>4970</v>
      </c>
      <c r="P98" s="152">
        <v>350</v>
      </c>
      <c r="Q98" s="152">
        <v>2995</v>
      </c>
      <c r="R98" s="152">
        <v>476.9</v>
      </c>
      <c r="S98" s="152">
        <v>1056</v>
      </c>
      <c r="T98" s="152">
        <v>15</v>
      </c>
      <c r="U98" s="152">
        <v>5306</v>
      </c>
      <c r="V98" s="152">
        <v>2245</v>
      </c>
      <c r="W98" s="152">
        <v>4636</v>
      </c>
      <c r="X98" s="152">
        <v>1690.8</v>
      </c>
    </row>
    <row r="99" spans="1:24" ht="15" thickBot="1" x14ac:dyDescent="0.35">
      <c r="A99" s="172">
        <f t="shared" ref="A99:H99" si="25">A97-A98</f>
        <v>0</v>
      </c>
      <c r="B99" s="172">
        <f t="shared" si="25"/>
        <v>0</v>
      </c>
      <c r="C99" s="172">
        <f t="shared" si="25"/>
        <v>0</v>
      </c>
      <c r="D99" s="172">
        <f t="shared" si="25"/>
        <v>115</v>
      </c>
      <c r="E99" s="172">
        <f t="shared" si="25"/>
        <v>0</v>
      </c>
      <c r="F99" s="172">
        <f t="shared" si="25"/>
        <v>-4.6700000002601882E-3</v>
      </c>
      <c r="G99" s="172">
        <f t="shared" si="25"/>
        <v>0</v>
      </c>
      <c r="H99" s="172">
        <f t="shared" si="25"/>
        <v>114.99532999999792</v>
      </c>
      <c r="I99" s="172"/>
      <c r="K99" s="172">
        <f>K97-K98</f>
        <v>0</v>
      </c>
      <c r="L99" s="172">
        <f>L97-L98</f>
        <v>0</v>
      </c>
      <c r="M99" s="172">
        <f t="shared" ref="M99:X99" si="26">M97-M98</f>
        <v>0</v>
      </c>
      <c r="N99" s="172">
        <f t="shared" si="26"/>
        <v>0</v>
      </c>
      <c r="O99" s="172">
        <f t="shared" si="26"/>
        <v>0</v>
      </c>
      <c r="P99" s="172">
        <f t="shared" si="26"/>
        <v>0</v>
      </c>
      <c r="Q99" s="172">
        <f t="shared" si="26"/>
        <v>0</v>
      </c>
      <c r="R99" s="172">
        <f t="shared" si="26"/>
        <v>0</v>
      </c>
      <c r="S99" s="172">
        <f t="shared" si="26"/>
        <v>0</v>
      </c>
      <c r="T99" s="172">
        <f t="shared" si="26"/>
        <v>0</v>
      </c>
      <c r="U99" s="172">
        <f t="shared" si="26"/>
        <v>0</v>
      </c>
      <c r="V99" s="172">
        <f t="shared" si="26"/>
        <v>0</v>
      </c>
      <c r="W99" s="172">
        <f t="shared" si="26"/>
        <v>0</v>
      </c>
      <c r="X99" s="172">
        <f t="shared" si="26"/>
        <v>0</v>
      </c>
    </row>
    <row r="100" spans="1:24" ht="15" thickBot="1" x14ac:dyDescent="0.35"/>
    <row r="101" spans="1:24" x14ac:dyDescent="0.3">
      <c r="A101" s="157">
        <v>46211</v>
      </c>
      <c r="B101" s="157">
        <v>46212</v>
      </c>
      <c r="C101" s="157">
        <v>46213</v>
      </c>
      <c r="D101" s="157">
        <v>46214</v>
      </c>
      <c r="E101" s="157">
        <v>46215</v>
      </c>
      <c r="F101" s="157">
        <v>46216</v>
      </c>
      <c r="G101" s="157">
        <v>46217</v>
      </c>
      <c r="H101" s="157"/>
      <c r="I101" s="13" t="s">
        <v>8</v>
      </c>
      <c r="K101" s="59">
        <v>46211</v>
      </c>
      <c r="L101" s="59"/>
      <c r="M101" s="59">
        <f>K101+1</f>
        <v>46212</v>
      </c>
      <c r="N101" s="59"/>
      <c r="O101" s="59">
        <f>M101+1</f>
        <v>46213</v>
      </c>
      <c r="P101" s="59"/>
      <c r="Q101" s="59">
        <f>O101+1</f>
        <v>46214</v>
      </c>
      <c r="R101" s="59"/>
      <c r="S101" s="59">
        <f>Q101+1</f>
        <v>46215</v>
      </c>
      <c r="T101" s="59"/>
      <c r="U101" s="59">
        <f>S101+1</f>
        <v>46216</v>
      </c>
      <c r="V101" s="59"/>
      <c r="W101" s="59">
        <f>U101+1</f>
        <v>46217</v>
      </c>
      <c r="X101" s="59"/>
    </row>
    <row r="102" spans="1:24" ht="15" thickBot="1" x14ac:dyDescent="0.35">
      <c r="A102" s="22">
        <v>295</v>
      </c>
      <c r="B102" s="22">
        <v>340</v>
      </c>
      <c r="C102" s="22">
        <v>145</v>
      </c>
      <c r="D102" s="22">
        <v>165</v>
      </c>
      <c r="E102" s="22">
        <v>670</v>
      </c>
      <c r="F102" s="22">
        <v>438.1</v>
      </c>
      <c r="G102" s="22">
        <v>460</v>
      </c>
      <c r="H102" s="160"/>
      <c r="I102" s="174">
        <v>4835.7</v>
      </c>
      <c r="K102" s="124" t="s">
        <v>10</v>
      </c>
      <c r="L102" s="125" t="s">
        <v>11</v>
      </c>
      <c r="M102" s="126" t="s">
        <v>10</v>
      </c>
      <c r="N102" s="126" t="s">
        <v>11</v>
      </c>
      <c r="O102" s="126" t="s">
        <v>10</v>
      </c>
      <c r="P102" s="126" t="s">
        <v>11</v>
      </c>
      <c r="Q102" s="126"/>
      <c r="R102" s="126" t="s">
        <v>11</v>
      </c>
      <c r="S102" s="126" t="s">
        <v>10</v>
      </c>
      <c r="T102" s="126" t="s">
        <v>11</v>
      </c>
      <c r="U102" s="126" t="s">
        <v>10</v>
      </c>
      <c r="V102" s="126" t="s">
        <v>11</v>
      </c>
      <c r="W102" s="126" t="s">
        <v>10</v>
      </c>
      <c r="X102" s="143" t="s">
        <v>11</v>
      </c>
    </row>
    <row r="103" spans="1:24" x14ac:dyDescent="0.3">
      <c r="A103" s="22">
        <v>2348.1</v>
      </c>
      <c r="B103" s="22">
        <v>2055</v>
      </c>
      <c r="C103" s="22">
        <v>2675</v>
      </c>
      <c r="D103" s="22">
        <v>1745</v>
      </c>
      <c r="E103" s="22"/>
      <c r="F103" s="22">
        <v>2545</v>
      </c>
      <c r="G103" s="22">
        <v>1900</v>
      </c>
      <c r="H103" s="65"/>
      <c r="I103" s="174">
        <v>6609.74</v>
      </c>
      <c r="K103" s="24">
        <v>260</v>
      </c>
      <c r="L103" s="56">
        <v>15</v>
      </c>
      <c r="M103" s="22">
        <v>290</v>
      </c>
      <c r="N103" s="22">
        <v>15</v>
      </c>
      <c r="O103" s="22">
        <v>32</v>
      </c>
      <c r="P103" s="43">
        <v>15</v>
      </c>
      <c r="Q103" s="22">
        <v>32</v>
      </c>
      <c r="R103" s="22">
        <v>15</v>
      </c>
      <c r="S103" s="37">
        <v>80</v>
      </c>
      <c r="T103" s="37">
        <v>15</v>
      </c>
      <c r="U103" s="22">
        <v>300</v>
      </c>
      <c r="V103" s="22">
        <v>15</v>
      </c>
      <c r="W103" s="22">
        <v>200</v>
      </c>
      <c r="X103" s="22">
        <v>15</v>
      </c>
    </row>
    <row r="104" spans="1:24" x14ac:dyDescent="0.3">
      <c r="A104" s="22">
        <v>1730.57</v>
      </c>
      <c r="B104" s="44">
        <v>1833.13</v>
      </c>
      <c r="C104" s="22">
        <v>1730.57</v>
      </c>
      <c r="D104" s="22">
        <v>1422.12</v>
      </c>
      <c r="E104" s="46"/>
      <c r="F104" s="1">
        <v>1622.15</v>
      </c>
      <c r="G104" s="22">
        <v>1503.43</v>
      </c>
      <c r="H104" s="160"/>
      <c r="I104" s="174">
        <v>1977.75</v>
      </c>
      <c r="K104" s="24">
        <v>561</v>
      </c>
      <c r="L104" s="56">
        <v>41</v>
      </c>
      <c r="M104" s="22">
        <v>546</v>
      </c>
      <c r="N104" s="22"/>
      <c r="O104" s="22">
        <v>310</v>
      </c>
      <c r="P104" s="43"/>
      <c r="Q104" s="22">
        <v>310</v>
      </c>
      <c r="R104" s="22">
        <v>35</v>
      </c>
      <c r="S104" s="37">
        <v>216</v>
      </c>
      <c r="T104" s="37"/>
      <c r="U104" s="22">
        <v>702</v>
      </c>
      <c r="V104" s="22">
        <v>15</v>
      </c>
      <c r="W104" s="22">
        <v>366</v>
      </c>
      <c r="X104" s="22">
        <v>95</v>
      </c>
    </row>
    <row r="105" spans="1:24" x14ac:dyDescent="0.3">
      <c r="A105" s="22"/>
      <c r="B105" s="41"/>
      <c r="C105" s="22"/>
      <c r="D105" s="22"/>
      <c r="E105" s="22"/>
      <c r="F105" s="22"/>
      <c r="G105" s="22"/>
      <c r="H105" s="65"/>
      <c r="I105" s="174">
        <v>453.68</v>
      </c>
      <c r="K105" s="24">
        <v>3390</v>
      </c>
      <c r="L105" s="56">
        <v>200</v>
      </c>
      <c r="M105" s="44">
        <v>6340</v>
      </c>
      <c r="N105" s="22"/>
      <c r="O105" s="22">
        <v>636</v>
      </c>
      <c r="P105" s="43"/>
      <c r="Q105" s="22">
        <v>373</v>
      </c>
      <c r="R105" s="22"/>
      <c r="S105" s="37">
        <v>910</v>
      </c>
      <c r="T105" s="37"/>
      <c r="U105" s="22">
        <v>4310</v>
      </c>
      <c r="V105" s="22">
        <v>120</v>
      </c>
      <c r="W105" s="22">
        <v>3220</v>
      </c>
      <c r="X105" s="22">
        <v>60</v>
      </c>
    </row>
    <row r="106" spans="1:24" x14ac:dyDescent="0.3">
      <c r="A106" s="22"/>
      <c r="B106" s="22"/>
      <c r="C106" s="22"/>
      <c r="D106" s="22"/>
      <c r="E106" s="22"/>
      <c r="F106" s="22"/>
      <c r="G106" s="22"/>
      <c r="H106" s="160"/>
      <c r="I106" s="174">
        <v>6805.2</v>
      </c>
      <c r="K106" s="24">
        <v>220</v>
      </c>
      <c r="L106" s="56"/>
      <c r="M106" s="41">
        <v>210</v>
      </c>
      <c r="N106" s="22"/>
      <c r="O106" s="22">
        <v>3940</v>
      </c>
      <c r="P106" s="22"/>
      <c r="Q106" s="22">
        <v>1970</v>
      </c>
      <c r="R106" s="22"/>
      <c r="S106" s="37"/>
      <c r="T106" s="37"/>
      <c r="U106" s="22">
        <v>210</v>
      </c>
      <c r="V106" s="22">
        <v>60</v>
      </c>
      <c r="W106" s="22">
        <v>1330</v>
      </c>
      <c r="X106" s="22"/>
    </row>
    <row r="107" spans="1:24" x14ac:dyDescent="0.3">
      <c r="A107" s="22"/>
      <c r="B107" s="22"/>
      <c r="C107" s="22"/>
      <c r="D107" s="22"/>
      <c r="E107" s="22"/>
      <c r="F107" s="22"/>
      <c r="G107" s="22"/>
      <c r="H107" s="65"/>
      <c r="I107" s="174">
        <v>1361.04</v>
      </c>
      <c r="K107" s="24"/>
      <c r="L107" s="56"/>
      <c r="M107" s="22"/>
      <c r="N107" s="22"/>
      <c r="O107" s="22">
        <v>770</v>
      </c>
      <c r="P107" s="22"/>
      <c r="Q107" s="22"/>
      <c r="R107" s="22"/>
      <c r="S107" s="37"/>
      <c r="T107" s="37"/>
      <c r="U107" s="22"/>
      <c r="V107" s="22"/>
      <c r="W107" s="22"/>
      <c r="X107" s="22"/>
    </row>
    <row r="108" spans="1:24" x14ac:dyDescent="0.3">
      <c r="A108" s="22"/>
      <c r="B108" s="22"/>
      <c r="C108" s="22"/>
      <c r="D108" s="22"/>
      <c r="E108" s="22"/>
      <c r="F108" s="22"/>
      <c r="G108" s="22"/>
      <c r="H108" s="160"/>
      <c r="I108" s="174">
        <v>2108.6799999999998</v>
      </c>
      <c r="K108" s="133"/>
      <c r="L108" s="166"/>
      <c r="M108" s="166"/>
      <c r="N108" s="166"/>
      <c r="O108" s="22"/>
      <c r="P108" s="22"/>
      <c r="Q108" s="22"/>
      <c r="R108" s="166"/>
      <c r="S108" s="166"/>
      <c r="T108" s="167"/>
      <c r="U108" s="22"/>
      <c r="V108" s="166"/>
      <c r="W108" s="166"/>
      <c r="X108" s="166"/>
    </row>
    <row r="109" spans="1:24" x14ac:dyDescent="0.3">
      <c r="A109" s="22"/>
      <c r="B109" s="22"/>
      <c r="C109" s="22"/>
      <c r="D109" s="22"/>
      <c r="E109" s="22"/>
      <c r="F109" s="22"/>
      <c r="G109" s="22"/>
      <c r="H109" s="65"/>
      <c r="I109" s="174">
        <v>5307.2</v>
      </c>
      <c r="K109" s="24"/>
      <c r="L109" s="56"/>
      <c r="M109" s="22"/>
      <c r="N109" s="22"/>
      <c r="O109" s="22"/>
      <c r="P109" s="22"/>
      <c r="Q109" s="22"/>
      <c r="R109" s="22"/>
      <c r="S109" s="22"/>
      <c r="T109" s="37"/>
      <c r="U109" s="22"/>
      <c r="V109" s="22"/>
      <c r="W109" s="22"/>
      <c r="X109" s="22"/>
    </row>
    <row r="110" spans="1:24" x14ac:dyDescent="0.3">
      <c r="A110" s="22"/>
      <c r="B110" s="22"/>
      <c r="C110" s="22"/>
      <c r="D110" s="22"/>
      <c r="E110" s="22"/>
      <c r="F110" s="22"/>
      <c r="G110" s="22"/>
      <c r="H110" s="160"/>
      <c r="I110" s="174">
        <v>2663.68</v>
      </c>
      <c r="K110" s="24"/>
      <c r="L110" s="56"/>
      <c r="M110" s="22"/>
      <c r="N110" s="22"/>
      <c r="O110" s="22"/>
      <c r="P110" s="22"/>
      <c r="Q110" s="22"/>
      <c r="R110" s="22"/>
      <c r="S110" s="22"/>
      <c r="T110" s="37"/>
      <c r="U110" s="22"/>
      <c r="V110" s="22"/>
      <c r="W110" s="22"/>
      <c r="X110" s="22"/>
    </row>
    <row r="111" spans="1:24" x14ac:dyDescent="0.3">
      <c r="A111" s="22"/>
      <c r="B111" s="22"/>
      <c r="C111" s="22"/>
      <c r="D111" s="22"/>
      <c r="E111" s="22" t="s">
        <v>9</v>
      </c>
      <c r="F111" s="22"/>
      <c r="G111" s="22"/>
      <c r="H111" s="65"/>
      <c r="I111" s="174">
        <v>296.55</v>
      </c>
      <c r="K111" s="24"/>
      <c r="L111" s="56"/>
      <c r="M111" s="22"/>
      <c r="N111" s="22"/>
      <c r="O111" s="22"/>
      <c r="P111" s="22"/>
      <c r="Q111" s="22"/>
      <c r="R111" s="22"/>
      <c r="S111" s="22"/>
      <c r="T111" s="37"/>
      <c r="U111" s="22"/>
      <c r="V111" s="22"/>
      <c r="W111" s="22"/>
      <c r="X111" s="22"/>
    </row>
    <row r="112" spans="1:24" x14ac:dyDescent="0.3">
      <c r="A112" s="22"/>
      <c r="B112" s="22"/>
      <c r="C112" s="22"/>
      <c r="D112" s="22"/>
      <c r="E112" s="22"/>
      <c r="F112" s="22"/>
      <c r="G112" s="22"/>
      <c r="H112" s="160"/>
      <c r="I112" s="174"/>
      <c r="K112" s="24"/>
      <c r="L112" s="56"/>
      <c r="M112" s="22"/>
      <c r="N112" s="22"/>
      <c r="O112" s="22"/>
      <c r="P112" s="22" t="s">
        <v>14</v>
      </c>
      <c r="Q112" s="22"/>
      <c r="R112" s="22"/>
      <c r="S112" s="22"/>
      <c r="T112" s="37"/>
      <c r="U112" s="22"/>
      <c r="V112" s="22"/>
      <c r="W112" s="22"/>
      <c r="X112" s="22"/>
    </row>
    <row r="113" spans="1:24" x14ac:dyDescent="0.3">
      <c r="A113" s="22"/>
      <c r="B113" s="22"/>
      <c r="C113" s="22"/>
      <c r="D113" s="22"/>
      <c r="E113" s="22"/>
      <c r="F113" s="22"/>
      <c r="G113" s="22"/>
      <c r="H113" s="65"/>
      <c r="I113" s="170"/>
      <c r="K113" s="24"/>
      <c r="L113" s="56"/>
      <c r="M113" s="22"/>
      <c r="N113" s="22" t="s">
        <v>9</v>
      </c>
      <c r="O113" s="43"/>
      <c r="P113" s="22"/>
      <c r="Q113" s="22"/>
      <c r="R113" s="22"/>
      <c r="S113" s="22"/>
      <c r="T113" s="37"/>
      <c r="U113" s="22"/>
      <c r="V113" s="22"/>
      <c r="W113" s="22"/>
      <c r="X113" s="22"/>
    </row>
    <row r="114" spans="1:24" ht="15" thickBot="1" x14ac:dyDescent="0.35">
      <c r="A114" s="22"/>
      <c r="B114" s="22"/>
      <c r="C114" s="22"/>
      <c r="D114" s="22"/>
      <c r="E114" s="22"/>
      <c r="F114" s="22"/>
      <c r="G114" s="22"/>
      <c r="H114" s="160"/>
      <c r="I114" s="27"/>
      <c r="K114" s="24"/>
      <c r="L114" s="56"/>
      <c r="M114" s="22"/>
      <c r="N114" s="22"/>
      <c r="O114" s="43"/>
      <c r="P114" s="22"/>
      <c r="Q114" s="22"/>
      <c r="R114" s="22"/>
      <c r="S114" s="22"/>
      <c r="T114" s="37"/>
      <c r="U114" s="22"/>
      <c r="V114" s="22"/>
      <c r="W114" s="22"/>
      <c r="X114" s="22"/>
    </row>
    <row r="115" spans="1:24" ht="15.6" thickTop="1" thickBot="1" x14ac:dyDescent="0.35">
      <c r="A115" s="22"/>
      <c r="B115" s="22"/>
      <c r="C115" s="22"/>
      <c r="D115" s="22"/>
      <c r="E115" s="22"/>
      <c r="F115" s="22"/>
      <c r="G115" s="22"/>
      <c r="H115" s="65">
        <v>448.1</v>
      </c>
      <c r="I115" s="132">
        <f>SUM(I102:I114)</f>
        <v>32419.22</v>
      </c>
      <c r="K115" s="24"/>
      <c r="L115" s="56"/>
      <c r="M115" s="22"/>
      <c r="N115" s="22"/>
      <c r="O115" s="43"/>
      <c r="P115" s="22"/>
      <c r="Q115" s="22"/>
      <c r="R115" s="22"/>
      <c r="S115" s="22"/>
      <c r="T115" s="37"/>
      <c r="U115" s="22"/>
      <c r="V115" s="22"/>
      <c r="W115" s="22"/>
      <c r="X115" s="22"/>
    </row>
    <row r="116" spans="1:24" ht="15.6" thickTop="1" thickBot="1" x14ac:dyDescent="0.35">
      <c r="A116" s="22"/>
      <c r="B116" s="22"/>
      <c r="C116" s="22"/>
      <c r="D116" s="22"/>
      <c r="E116" s="22"/>
      <c r="F116" s="22"/>
      <c r="G116" s="22"/>
      <c r="H116" s="160"/>
      <c r="I116" s="27"/>
      <c r="K116" s="133"/>
      <c r="L116" s="166"/>
      <c r="M116" s="166"/>
      <c r="N116" s="166"/>
      <c r="O116" s="166"/>
      <c r="P116" s="166"/>
      <c r="Q116" s="166"/>
      <c r="R116" s="166"/>
      <c r="S116" s="166"/>
      <c r="T116" s="167"/>
      <c r="U116" s="22"/>
      <c r="V116" s="166"/>
      <c r="W116" s="166"/>
      <c r="X116" s="166"/>
    </row>
    <row r="117" spans="1:24" ht="15" thickBot="1" x14ac:dyDescent="0.35">
      <c r="A117" s="140">
        <f>SUM(A102:A116)</f>
        <v>4373.67</v>
      </c>
      <c r="B117" s="140">
        <f t="shared" ref="B117:G117" si="27">SUM(B102:B116)</f>
        <v>4228.13</v>
      </c>
      <c r="C117" s="140">
        <f t="shared" si="27"/>
        <v>4550.57</v>
      </c>
      <c r="D117" s="140">
        <f t="shared" si="27"/>
        <v>3332.12</v>
      </c>
      <c r="E117" s="140">
        <f t="shared" si="27"/>
        <v>670</v>
      </c>
      <c r="F117" s="140">
        <f t="shared" si="27"/>
        <v>4605.25</v>
      </c>
      <c r="G117" s="140">
        <f t="shared" si="27"/>
        <v>3863.4300000000003</v>
      </c>
      <c r="H117" s="29">
        <f>SUM(A117:G117)+I115+H115</f>
        <v>58490.49</v>
      </c>
      <c r="I117" s="150" t="s">
        <v>64</v>
      </c>
      <c r="K117" s="152">
        <f t="shared" ref="K117:V117" si="28">SUM(K102:K116)</f>
        <v>4431</v>
      </c>
      <c r="L117" s="152">
        <f t="shared" si="28"/>
        <v>256</v>
      </c>
      <c r="M117" s="152">
        <f t="shared" si="28"/>
        <v>7386</v>
      </c>
      <c r="N117" s="152">
        <f t="shared" si="28"/>
        <v>15</v>
      </c>
      <c r="O117" s="152">
        <f t="shared" si="28"/>
        <v>5688</v>
      </c>
      <c r="P117" s="152">
        <f t="shared" si="28"/>
        <v>15</v>
      </c>
      <c r="Q117" s="152">
        <f t="shared" si="28"/>
        <v>2685</v>
      </c>
      <c r="R117" s="152">
        <f t="shared" si="28"/>
        <v>50</v>
      </c>
      <c r="S117" s="152">
        <f t="shared" si="28"/>
        <v>1206</v>
      </c>
      <c r="T117" s="152">
        <f t="shared" si="28"/>
        <v>15</v>
      </c>
      <c r="U117" s="152">
        <f t="shared" si="28"/>
        <v>5522</v>
      </c>
      <c r="V117" s="152">
        <f t="shared" si="28"/>
        <v>210</v>
      </c>
      <c r="W117" s="152">
        <f>SUM(W102:W116)</f>
        <v>5116</v>
      </c>
      <c r="X117" s="154">
        <f t="shared" ref="X117" si="29">SUM(X102:X116)</f>
        <v>170</v>
      </c>
    </row>
    <row r="118" spans="1:24" ht="15" thickBot="1" x14ac:dyDescent="0.35">
      <c r="A118" s="140">
        <v>4373.67</v>
      </c>
      <c r="B118" s="140">
        <v>4228.13</v>
      </c>
      <c r="C118" s="140">
        <v>4550.57</v>
      </c>
      <c r="D118" s="140">
        <v>3332.12</v>
      </c>
      <c r="E118" s="140">
        <v>670</v>
      </c>
      <c r="F118" s="140">
        <v>4605.25</v>
      </c>
      <c r="G118" s="140">
        <v>3863.43</v>
      </c>
      <c r="H118" s="140">
        <f>SUM(A118:G118)+I115</f>
        <v>58042.39</v>
      </c>
      <c r="I118" s="140"/>
      <c r="K118" s="152">
        <v>4431</v>
      </c>
      <c r="L118" s="152">
        <v>256</v>
      </c>
      <c r="M118" s="152">
        <v>7386</v>
      </c>
      <c r="N118" s="152">
        <v>15</v>
      </c>
      <c r="O118" s="152">
        <v>5688</v>
      </c>
      <c r="P118" s="152">
        <v>15</v>
      </c>
      <c r="Q118" s="152">
        <v>2685</v>
      </c>
      <c r="R118" s="152">
        <v>50</v>
      </c>
      <c r="S118" s="152">
        <v>1206</v>
      </c>
      <c r="T118" s="152">
        <v>15</v>
      </c>
      <c r="U118" s="152">
        <v>5522</v>
      </c>
      <c r="V118" s="152">
        <v>210</v>
      </c>
      <c r="W118" s="152">
        <v>5116</v>
      </c>
      <c r="X118" s="152">
        <v>170</v>
      </c>
    </row>
    <row r="119" spans="1:24" ht="15" thickBot="1" x14ac:dyDescent="0.35">
      <c r="A119" s="172">
        <f t="shared" ref="A119:H119" si="30">A117-A118</f>
        <v>0</v>
      </c>
      <c r="B119" s="172">
        <f t="shared" si="30"/>
        <v>0</v>
      </c>
      <c r="C119" s="172">
        <f t="shared" si="30"/>
        <v>0</v>
      </c>
      <c r="D119" s="172">
        <f t="shared" si="30"/>
        <v>0</v>
      </c>
      <c r="E119" s="172">
        <f t="shared" si="30"/>
        <v>0</v>
      </c>
      <c r="F119" s="172">
        <f t="shared" si="30"/>
        <v>0</v>
      </c>
      <c r="G119" s="172">
        <f t="shared" si="30"/>
        <v>0</v>
      </c>
      <c r="H119" s="172">
        <f t="shared" si="30"/>
        <v>448.09999999999854</v>
      </c>
      <c r="I119" s="172"/>
      <c r="K119" s="172">
        <f>K117-K118</f>
        <v>0</v>
      </c>
      <c r="L119" s="172">
        <f>L117-L118</f>
        <v>0</v>
      </c>
      <c r="M119" s="172">
        <f t="shared" ref="M119:X119" si="31">M117-M118</f>
        <v>0</v>
      </c>
      <c r="N119" s="172">
        <f t="shared" si="31"/>
        <v>0</v>
      </c>
      <c r="O119" s="172">
        <f t="shared" si="31"/>
        <v>0</v>
      </c>
      <c r="P119" s="172">
        <f t="shared" si="31"/>
        <v>0</v>
      </c>
      <c r="Q119" s="172">
        <f t="shared" si="31"/>
        <v>0</v>
      </c>
      <c r="R119" s="172">
        <f t="shared" si="31"/>
        <v>0</v>
      </c>
      <c r="S119" s="172">
        <f t="shared" si="31"/>
        <v>0</v>
      </c>
      <c r="T119" s="172">
        <f t="shared" si="31"/>
        <v>0</v>
      </c>
      <c r="U119" s="172">
        <f t="shared" si="31"/>
        <v>0</v>
      </c>
      <c r="V119" s="172">
        <f t="shared" si="31"/>
        <v>0</v>
      </c>
      <c r="W119" s="172">
        <f t="shared" si="31"/>
        <v>0</v>
      </c>
      <c r="X119" s="172">
        <f t="shared" si="31"/>
        <v>0</v>
      </c>
    </row>
    <row r="120" spans="1:24" ht="15" thickBot="1" x14ac:dyDescent="0.35"/>
    <row r="121" spans="1:24" x14ac:dyDescent="0.3">
      <c r="A121" s="157">
        <v>46218</v>
      </c>
      <c r="B121" s="157">
        <v>46219</v>
      </c>
      <c r="C121" s="157">
        <v>46220</v>
      </c>
      <c r="D121" s="157">
        <v>46221</v>
      </c>
      <c r="E121" s="157">
        <v>46222</v>
      </c>
      <c r="F121" s="157">
        <v>46223</v>
      </c>
      <c r="G121" s="157">
        <v>46224</v>
      </c>
      <c r="H121" s="157"/>
      <c r="I121" s="13" t="s">
        <v>8</v>
      </c>
      <c r="K121" s="59">
        <v>46218</v>
      </c>
      <c r="L121" s="59"/>
      <c r="M121" s="59">
        <f>K121+1</f>
        <v>46219</v>
      </c>
      <c r="N121" s="59"/>
      <c r="O121" s="59">
        <f>M121+1</f>
        <v>46220</v>
      </c>
      <c r="P121" s="59"/>
      <c r="Q121" s="59">
        <f>O121+1</f>
        <v>46221</v>
      </c>
      <c r="R121" s="59"/>
      <c r="S121" s="59">
        <f>Q121+1</f>
        <v>46222</v>
      </c>
      <c r="T121" s="59"/>
      <c r="U121" s="59">
        <f>S121+1</f>
        <v>46223</v>
      </c>
      <c r="V121" s="59"/>
      <c r="W121" s="59">
        <f>U121+1</f>
        <v>46224</v>
      </c>
      <c r="X121" s="59"/>
    </row>
    <row r="122" spans="1:24" ht="15" thickBot="1" x14ac:dyDescent="0.35">
      <c r="A122" s="22">
        <v>445</v>
      </c>
      <c r="B122" s="22">
        <v>135</v>
      </c>
      <c r="C122" s="22">
        <v>245</v>
      </c>
      <c r="D122" s="22">
        <v>180</v>
      </c>
      <c r="E122" s="22">
        <v>680</v>
      </c>
      <c r="F122" s="22">
        <v>471.78</v>
      </c>
      <c r="G122" s="22">
        <v>265</v>
      </c>
      <c r="H122" s="160"/>
      <c r="I122" s="174">
        <v>5005.7</v>
      </c>
      <c r="K122" s="124" t="s">
        <v>10</v>
      </c>
      <c r="L122" s="125" t="s">
        <v>11</v>
      </c>
      <c r="M122" s="126" t="s">
        <v>10</v>
      </c>
      <c r="N122" s="126" t="s">
        <v>11</v>
      </c>
      <c r="O122" s="126" t="s">
        <v>10</v>
      </c>
      <c r="P122" s="126" t="s">
        <v>11</v>
      </c>
      <c r="Q122" s="126"/>
      <c r="R122" s="126" t="s">
        <v>11</v>
      </c>
      <c r="S122" s="126" t="s">
        <v>10</v>
      </c>
      <c r="T122" s="126" t="s">
        <v>11</v>
      </c>
      <c r="U122" s="126" t="s">
        <v>10</v>
      </c>
      <c r="V122" s="126" t="s">
        <v>11</v>
      </c>
      <c r="W122" s="126" t="s">
        <v>10</v>
      </c>
      <c r="X122" s="143" t="s">
        <v>11</v>
      </c>
    </row>
    <row r="123" spans="1:24" x14ac:dyDescent="0.3">
      <c r="A123" s="22">
        <v>2538.1</v>
      </c>
      <c r="B123" s="22">
        <v>2471.5500000000002</v>
      </c>
      <c r="C123" s="22">
        <v>2918.1</v>
      </c>
      <c r="D123" s="22">
        <v>1485</v>
      </c>
      <c r="E123" s="22"/>
      <c r="F123" s="22">
        <v>3270</v>
      </c>
      <c r="G123" s="22">
        <v>2563.1</v>
      </c>
      <c r="H123" s="65"/>
      <c r="I123" s="174">
        <v>6516.2</v>
      </c>
      <c r="K123" s="24">
        <v>180</v>
      </c>
      <c r="L123" s="56">
        <v>15</v>
      </c>
      <c r="M123" s="22">
        <v>390</v>
      </c>
      <c r="N123" s="22">
        <v>15</v>
      </c>
      <c r="O123" s="22">
        <v>290</v>
      </c>
      <c r="P123" s="43">
        <v>15</v>
      </c>
      <c r="Q123" s="22">
        <v>32</v>
      </c>
      <c r="R123" s="22">
        <v>15</v>
      </c>
      <c r="S123" s="37">
        <v>80</v>
      </c>
      <c r="T123" s="37">
        <v>15</v>
      </c>
      <c r="U123" s="22">
        <v>230</v>
      </c>
      <c r="V123" s="22">
        <v>15</v>
      </c>
      <c r="W123" s="22">
        <v>340</v>
      </c>
      <c r="X123" s="22">
        <v>15</v>
      </c>
    </row>
    <row r="124" spans="1:24" x14ac:dyDescent="0.3">
      <c r="A124" s="22">
        <v>1570.87</v>
      </c>
      <c r="B124" s="44">
        <v>1812.15</v>
      </c>
      <c r="C124" s="22">
        <v>1586.26</v>
      </c>
      <c r="D124" s="22">
        <v>2735.82</v>
      </c>
      <c r="E124" s="46"/>
      <c r="F124" s="1">
        <v>1652.45</v>
      </c>
      <c r="G124" s="22">
        <v>1519.59</v>
      </c>
      <c r="H124" s="160"/>
      <c r="I124" s="174">
        <v>556.84</v>
      </c>
      <c r="K124" s="24">
        <v>456</v>
      </c>
      <c r="L124" s="56">
        <v>1320</v>
      </c>
      <c r="M124" s="22">
        <v>456</v>
      </c>
      <c r="N124" s="22">
        <v>15</v>
      </c>
      <c r="O124" s="22">
        <v>546</v>
      </c>
      <c r="P124" s="43">
        <v>60</v>
      </c>
      <c r="Q124" s="22">
        <v>320</v>
      </c>
      <c r="R124" s="22"/>
      <c r="S124" s="37">
        <v>156</v>
      </c>
      <c r="T124" s="37"/>
      <c r="U124" s="22">
        <v>576</v>
      </c>
      <c r="V124" s="22">
        <v>49.9</v>
      </c>
      <c r="W124" s="22">
        <v>366</v>
      </c>
      <c r="X124" s="22">
        <v>30</v>
      </c>
    </row>
    <row r="125" spans="1:24" x14ac:dyDescent="0.3">
      <c r="A125" s="22"/>
      <c r="B125" s="41"/>
      <c r="C125" s="22"/>
      <c r="D125" s="22"/>
      <c r="E125" s="22"/>
      <c r="F125" s="22"/>
      <c r="G125" s="22"/>
      <c r="H125" s="65"/>
      <c r="I125" s="174">
        <v>2898.1</v>
      </c>
      <c r="K125" s="24">
        <v>3770</v>
      </c>
      <c r="L125" s="56"/>
      <c r="M125" s="44">
        <v>3040</v>
      </c>
      <c r="N125" s="22"/>
      <c r="O125" s="22">
        <v>4210</v>
      </c>
      <c r="P125" s="43"/>
      <c r="Q125" s="22">
        <v>282</v>
      </c>
      <c r="R125" s="22"/>
      <c r="S125" s="37">
        <v>610</v>
      </c>
      <c r="T125" s="37"/>
      <c r="U125" s="22">
        <v>3235</v>
      </c>
      <c r="V125" s="22">
        <v>32</v>
      </c>
      <c r="W125" s="22">
        <v>2390</v>
      </c>
      <c r="X125" s="22"/>
    </row>
    <row r="126" spans="1:24" x14ac:dyDescent="0.3">
      <c r="A126" s="22"/>
      <c r="B126" s="22"/>
      <c r="C126" s="22"/>
      <c r="D126" s="22"/>
      <c r="E126" s="22"/>
      <c r="F126" s="22"/>
      <c r="G126" s="22"/>
      <c r="H126" s="160"/>
      <c r="I126" s="174">
        <v>453.68</v>
      </c>
      <c r="K126" s="24">
        <v>910</v>
      </c>
      <c r="L126" s="56"/>
      <c r="M126" s="41">
        <v>490</v>
      </c>
      <c r="N126" s="22"/>
      <c r="O126" s="22">
        <v>700</v>
      </c>
      <c r="P126" s="22"/>
      <c r="Q126" s="22">
        <v>1220</v>
      </c>
      <c r="R126" s="22"/>
      <c r="S126" s="37"/>
      <c r="T126" s="37"/>
      <c r="U126" s="22">
        <v>630</v>
      </c>
      <c r="V126" s="22"/>
      <c r="W126" s="22">
        <v>70</v>
      </c>
      <c r="X126" s="22"/>
    </row>
    <row r="127" spans="1:24" x14ac:dyDescent="0.3">
      <c r="A127" s="22"/>
      <c r="B127" s="22"/>
      <c r="C127" s="22"/>
      <c r="D127" s="22"/>
      <c r="E127" s="22"/>
      <c r="F127" s="22"/>
      <c r="G127" s="22"/>
      <c r="H127" s="65"/>
      <c r="I127" s="174">
        <v>6805.2</v>
      </c>
      <c r="K127" s="24"/>
      <c r="L127" s="56"/>
      <c r="M127" s="22"/>
      <c r="N127" s="22"/>
      <c r="O127" s="22"/>
      <c r="P127" s="22"/>
      <c r="Q127" s="22">
        <v>140</v>
      </c>
      <c r="R127" s="22"/>
      <c r="S127" s="37"/>
      <c r="T127" s="37"/>
      <c r="U127" s="22"/>
      <c r="V127" s="22"/>
      <c r="W127" s="22"/>
      <c r="X127" s="22"/>
    </row>
    <row r="128" spans="1:24" x14ac:dyDescent="0.3">
      <c r="A128" s="22"/>
      <c r="B128" s="22"/>
      <c r="C128" s="22"/>
      <c r="D128" s="22"/>
      <c r="E128" s="22"/>
      <c r="F128" s="22"/>
      <c r="G128" s="22"/>
      <c r="H128" s="160"/>
      <c r="I128" s="174">
        <v>1361.04</v>
      </c>
      <c r="K128" s="133"/>
      <c r="L128" s="166"/>
      <c r="M128" s="166"/>
      <c r="N128" s="166"/>
      <c r="O128" s="22"/>
      <c r="P128" s="22"/>
      <c r="Q128" s="22"/>
      <c r="R128" s="166"/>
      <c r="S128" s="166"/>
      <c r="T128" s="167"/>
      <c r="U128" s="22"/>
      <c r="V128" s="166"/>
      <c r="W128" s="166"/>
      <c r="X128" s="166"/>
    </row>
    <row r="129" spans="1:24" x14ac:dyDescent="0.3">
      <c r="A129" s="22"/>
      <c r="B129" s="22"/>
      <c r="C129" s="22"/>
      <c r="D129" s="22"/>
      <c r="E129" s="22"/>
      <c r="F129" s="22"/>
      <c r="G129" s="22"/>
      <c r="H129" s="65"/>
      <c r="I129" s="174">
        <v>3419.46</v>
      </c>
      <c r="K129" s="24"/>
      <c r="L129" s="56"/>
      <c r="M129" s="22"/>
      <c r="N129" s="22"/>
      <c r="O129" s="22"/>
      <c r="P129" s="22"/>
      <c r="Q129" s="22"/>
      <c r="R129" s="22"/>
      <c r="S129" s="22"/>
      <c r="T129" s="37"/>
      <c r="U129" s="22"/>
      <c r="V129" s="22"/>
      <c r="W129" s="22"/>
      <c r="X129" s="22"/>
    </row>
    <row r="130" spans="1:24" x14ac:dyDescent="0.3">
      <c r="A130" s="22"/>
      <c r="B130" s="22"/>
      <c r="C130" s="22"/>
      <c r="D130" s="22"/>
      <c r="E130" s="22"/>
      <c r="F130" s="22"/>
      <c r="G130" s="22"/>
      <c r="H130" s="160"/>
      <c r="I130" s="174">
        <v>4366.8</v>
      </c>
      <c r="K130" s="24"/>
      <c r="L130" s="56"/>
      <c r="M130" s="22"/>
      <c r="N130" s="22"/>
      <c r="O130" s="22"/>
      <c r="P130" s="22"/>
      <c r="Q130" s="22"/>
      <c r="R130" s="22"/>
      <c r="S130" s="22"/>
      <c r="T130" s="37"/>
      <c r="U130" s="22"/>
      <c r="V130" s="22"/>
      <c r="W130" s="22"/>
      <c r="X130" s="22"/>
    </row>
    <row r="131" spans="1:24" x14ac:dyDescent="0.3">
      <c r="A131" s="22"/>
      <c r="B131" s="22"/>
      <c r="C131" s="22"/>
      <c r="D131" s="22"/>
      <c r="E131" s="22"/>
      <c r="F131" s="22"/>
      <c r="G131" s="22"/>
      <c r="H131" s="65"/>
      <c r="I131" s="174">
        <v>2663.68</v>
      </c>
      <c r="K131" s="24"/>
      <c r="L131" s="56"/>
      <c r="M131" s="22"/>
      <c r="N131" s="22"/>
      <c r="O131" s="22"/>
      <c r="P131" s="22"/>
      <c r="Q131" s="22"/>
      <c r="R131" s="22"/>
      <c r="S131" s="22"/>
      <c r="T131" s="37"/>
      <c r="U131" s="22"/>
      <c r="V131" s="22"/>
      <c r="W131" s="22"/>
      <c r="X131" s="22"/>
    </row>
    <row r="132" spans="1:24" x14ac:dyDescent="0.3">
      <c r="A132" s="22"/>
      <c r="B132" s="22"/>
      <c r="C132" s="22"/>
      <c r="D132" s="22"/>
      <c r="E132" s="22"/>
      <c r="F132" s="22"/>
      <c r="G132" s="22"/>
      <c r="H132" s="160"/>
      <c r="I132" s="174">
        <v>120</v>
      </c>
      <c r="K132" s="24"/>
      <c r="L132" s="56"/>
      <c r="M132" s="22"/>
      <c r="N132" s="22"/>
      <c r="O132" s="22"/>
      <c r="P132" s="22" t="s">
        <v>14</v>
      </c>
      <c r="Q132" s="22"/>
      <c r="R132" s="22"/>
      <c r="S132" s="22"/>
      <c r="T132" s="37"/>
      <c r="U132" s="22"/>
      <c r="V132" s="22"/>
      <c r="W132" s="22"/>
      <c r="X132" s="22"/>
    </row>
    <row r="133" spans="1:24" x14ac:dyDescent="0.3">
      <c r="A133" s="22"/>
      <c r="B133" s="22"/>
      <c r="C133" s="22"/>
      <c r="D133" s="22"/>
      <c r="E133" s="22"/>
      <c r="F133" s="22"/>
      <c r="G133" s="22"/>
      <c r="H133" s="65"/>
      <c r="I133" s="174">
        <v>63.68</v>
      </c>
      <c r="K133" s="24"/>
      <c r="L133" s="56"/>
      <c r="M133" s="22"/>
      <c r="N133" s="22" t="s">
        <v>9</v>
      </c>
      <c r="O133" s="43"/>
      <c r="P133" s="22"/>
      <c r="Q133" s="22"/>
      <c r="R133" s="22"/>
      <c r="S133" s="22"/>
      <c r="T133" s="37"/>
      <c r="U133" s="22"/>
      <c r="V133" s="22"/>
      <c r="W133" s="22"/>
      <c r="X133" s="22"/>
    </row>
    <row r="134" spans="1:24" ht="15" thickBot="1" x14ac:dyDescent="0.35">
      <c r="A134" s="22"/>
      <c r="B134" s="22"/>
      <c r="C134" s="22"/>
      <c r="D134" s="22"/>
      <c r="E134" s="22"/>
      <c r="F134" s="22"/>
      <c r="G134" s="22"/>
      <c r="H134" s="160"/>
      <c r="I134" s="27"/>
      <c r="K134" s="24"/>
      <c r="L134" s="56"/>
      <c r="M134" s="22"/>
      <c r="N134" s="22"/>
      <c r="O134" s="43"/>
      <c r="P134" s="22"/>
      <c r="Q134" s="22"/>
      <c r="R134" s="22"/>
      <c r="S134" s="22"/>
      <c r="T134" s="37"/>
      <c r="U134" s="22"/>
      <c r="V134" s="22"/>
      <c r="W134" s="22"/>
      <c r="X134" s="22"/>
    </row>
    <row r="135" spans="1:24" ht="15.6" thickTop="1" thickBot="1" x14ac:dyDescent="0.35">
      <c r="A135" s="22"/>
      <c r="B135" s="22"/>
      <c r="C135" s="22"/>
      <c r="D135" s="22"/>
      <c r="E135" s="22"/>
      <c r="F135" s="22"/>
      <c r="G135" s="22"/>
      <c r="H135" s="65"/>
      <c r="I135" s="132">
        <f>SUM(I122:I134)</f>
        <v>34230.379999999997</v>
      </c>
      <c r="K135" s="24"/>
      <c r="L135" s="56"/>
      <c r="M135" s="22"/>
      <c r="N135" s="22"/>
      <c r="O135" s="43"/>
      <c r="P135" s="22"/>
      <c r="Q135" s="22"/>
      <c r="R135" s="22"/>
      <c r="S135" s="22"/>
      <c r="T135" s="37"/>
      <c r="U135" s="22"/>
      <c r="V135" s="22"/>
      <c r="W135" s="22"/>
      <c r="X135" s="22"/>
    </row>
    <row r="136" spans="1:24" ht="15.6" thickTop="1" thickBot="1" x14ac:dyDescent="0.35">
      <c r="A136" s="22"/>
      <c r="B136" s="22"/>
      <c r="C136" s="22"/>
      <c r="D136" s="22"/>
      <c r="E136" s="22"/>
      <c r="F136" s="22"/>
      <c r="G136" s="22"/>
      <c r="H136" s="160"/>
      <c r="I136" s="27"/>
      <c r="K136" s="133"/>
      <c r="L136" s="166"/>
      <c r="M136" s="166"/>
      <c r="N136" s="166"/>
      <c r="O136" s="166"/>
      <c r="P136" s="166"/>
      <c r="Q136" s="166"/>
      <c r="R136" s="166"/>
      <c r="S136" s="166"/>
      <c r="T136" s="167"/>
      <c r="U136" s="22"/>
      <c r="V136" s="166"/>
      <c r="W136" s="166"/>
      <c r="X136" s="166"/>
    </row>
    <row r="137" spans="1:24" ht="15" thickBot="1" x14ac:dyDescent="0.35">
      <c r="A137" s="140">
        <f>SUM(A122:A136)</f>
        <v>4553.9699999999993</v>
      </c>
      <c r="B137" s="140">
        <f t="shared" ref="B137:G137" si="32">SUM(B122:B136)</f>
        <v>4418.7000000000007</v>
      </c>
      <c r="C137" s="140">
        <f t="shared" si="32"/>
        <v>4749.3599999999997</v>
      </c>
      <c r="D137" s="140">
        <f t="shared" si="32"/>
        <v>4400.82</v>
      </c>
      <c r="E137" s="140">
        <f t="shared" si="32"/>
        <v>680</v>
      </c>
      <c r="F137" s="140">
        <f t="shared" si="32"/>
        <v>5394.23</v>
      </c>
      <c r="G137" s="140">
        <f t="shared" si="32"/>
        <v>4347.6899999999996</v>
      </c>
      <c r="H137" s="29">
        <f>SUM(A137:G137)+I135</f>
        <v>62775.149999999994</v>
      </c>
      <c r="I137" s="150" t="s">
        <v>64</v>
      </c>
      <c r="K137" s="152">
        <f t="shared" ref="K137:V137" si="33">SUM(K122:K136)</f>
        <v>5316</v>
      </c>
      <c r="L137" s="152">
        <f t="shared" si="33"/>
        <v>1335</v>
      </c>
      <c r="M137" s="152">
        <f t="shared" si="33"/>
        <v>4376</v>
      </c>
      <c r="N137" s="152">
        <f t="shared" si="33"/>
        <v>30</v>
      </c>
      <c r="O137" s="152">
        <f t="shared" si="33"/>
        <v>5746</v>
      </c>
      <c r="P137" s="152">
        <f t="shared" si="33"/>
        <v>75</v>
      </c>
      <c r="Q137" s="152">
        <f t="shared" si="33"/>
        <v>1994</v>
      </c>
      <c r="R137" s="152">
        <f t="shared" si="33"/>
        <v>15</v>
      </c>
      <c r="S137" s="152">
        <f t="shared" si="33"/>
        <v>846</v>
      </c>
      <c r="T137" s="152">
        <f t="shared" si="33"/>
        <v>15</v>
      </c>
      <c r="U137" s="152">
        <f t="shared" si="33"/>
        <v>4671</v>
      </c>
      <c r="V137" s="152">
        <f t="shared" si="33"/>
        <v>96.9</v>
      </c>
      <c r="W137" s="152">
        <f>SUM(W122:W136)</f>
        <v>3166</v>
      </c>
      <c r="X137" s="154">
        <f t="shared" ref="X137" si="34">SUM(X122:X136)</f>
        <v>45</v>
      </c>
    </row>
    <row r="138" spans="1:24" ht="15" thickBot="1" x14ac:dyDescent="0.35">
      <c r="A138" s="140">
        <v>4553.97</v>
      </c>
      <c r="B138" s="140">
        <v>4418.7</v>
      </c>
      <c r="C138" s="140">
        <v>4749.3599999999997</v>
      </c>
      <c r="D138" s="140">
        <v>4400.82</v>
      </c>
      <c r="E138" s="140">
        <v>680</v>
      </c>
      <c r="F138" s="140">
        <v>5394.23</v>
      </c>
      <c r="G138" s="140">
        <v>4347.6899999999996</v>
      </c>
      <c r="H138" s="140">
        <f>SUM(A138:G138)+I135</f>
        <v>62775.149999999994</v>
      </c>
      <c r="I138" s="140"/>
      <c r="K138" s="152">
        <v>5316</v>
      </c>
      <c r="L138" s="152">
        <v>1335</v>
      </c>
      <c r="M138" s="152">
        <v>4376</v>
      </c>
      <c r="N138" s="152">
        <v>30</v>
      </c>
      <c r="O138" s="152">
        <v>5746</v>
      </c>
      <c r="P138" s="152">
        <v>75</v>
      </c>
      <c r="Q138" s="152">
        <v>1994</v>
      </c>
      <c r="R138" s="152">
        <v>15</v>
      </c>
      <c r="S138" s="152">
        <v>846</v>
      </c>
      <c r="T138" s="152">
        <v>15</v>
      </c>
      <c r="U138" s="152">
        <v>4671</v>
      </c>
      <c r="V138" s="152">
        <v>96.9</v>
      </c>
      <c r="W138" s="152">
        <v>3166</v>
      </c>
      <c r="X138" s="152">
        <v>45</v>
      </c>
    </row>
    <row r="139" spans="1:24" ht="15" thickBot="1" x14ac:dyDescent="0.35">
      <c r="A139" s="172">
        <f t="shared" ref="A139" si="35">A137-A138</f>
        <v>0</v>
      </c>
      <c r="B139" s="172">
        <f t="shared" ref="B139:H139" si="36">B137-B138</f>
        <v>0</v>
      </c>
      <c r="C139" s="172">
        <f t="shared" si="36"/>
        <v>0</v>
      </c>
      <c r="D139" s="172">
        <f t="shared" si="36"/>
        <v>0</v>
      </c>
      <c r="E139" s="172">
        <f t="shared" si="36"/>
        <v>0</v>
      </c>
      <c r="F139" s="172">
        <f t="shared" si="36"/>
        <v>0</v>
      </c>
      <c r="G139" s="172">
        <f t="shared" si="36"/>
        <v>0</v>
      </c>
      <c r="H139" s="172">
        <f t="shared" si="36"/>
        <v>0</v>
      </c>
      <c r="I139" s="172"/>
      <c r="K139" s="172">
        <f>K137-K138</f>
        <v>0</v>
      </c>
      <c r="L139" s="172">
        <f>L137-L138</f>
        <v>0</v>
      </c>
      <c r="M139" s="172">
        <f t="shared" ref="M139:X139" si="37">M137-M138</f>
        <v>0</v>
      </c>
      <c r="N139" s="172">
        <f t="shared" si="37"/>
        <v>0</v>
      </c>
      <c r="O139" s="172">
        <f t="shared" si="37"/>
        <v>0</v>
      </c>
      <c r="P139" s="172">
        <f t="shared" si="37"/>
        <v>0</v>
      </c>
      <c r="Q139" s="172">
        <f t="shared" si="37"/>
        <v>0</v>
      </c>
      <c r="R139" s="172">
        <f t="shared" si="37"/>
        <v>0</v>
      </c>
      <c r="S139" s="172">
        <f t="shared" si="37"/>
        <v>0</v>
      </c>
      <c r="T139" s="172">
        <f t="shared" si="37"/>
        <v>0</v>
      </c>
      <c r="U139" s="172">
        <f t="shared" si="37"/>
        <v>0</v>
      </c>
      <c r="V139" s="172">
        <f t="shared" si="37"/>
        <v>0</v>
      </c>
      <c r="W139" s="172">
        <f t="shared" si="37"/>
        <v>0</v>
      </c>
      <c r="X139" s="172">
        <f t="shared" si="37"/>
        <v>0</v>
      </c>
    </row>
    <row r="140" spans="1:24" ht="15" thickBot="1" x14ac:dyDescent="0.35"/>
    <row r="141" spans="1:24" x14ac:dyDescent="0.3">
      <c r="A141" s="157">
        <v>46225</v>
      </c>
      <c r="B141" s="157">
        <v>46226</v>
      </c>
      <c r="C141" s="157">
        <v>46227</v>
      </c>
      <c r="D141" s="157">
        <v>46228</v>
      </c>
      <c r="E141" s="157">
        <v>46229</v>
      </c>
      <c r="F141" s="157">
        <v>46230</v>
      </c>
      <c r="G141" s="157">
        <v>46231</v>
      </c>
      <c r="H141" s="157"/>
      <c r="I141" s="13" t="s">
        <v>8</v>
      </c>
      <c r="K141" s="59">
        <v>46225</v>
      </c>
      <c r="L141" s="59"/>
      <c r="M141" s="59">
        <f>K141+1</f>
        <v>46226</v>
      </c>
      <c r="N141" s="59"/>
      <c r="O141" s="59">
        <f>M141+1</f>
        <v>46227</v>
      </c>
      <c r="P141" s="59"/>
      <c r="Q141" s="59">
        <f>O141+1</f>
        <v>46228</v>
      </c>
      <c r="R141" s="59"/>
      <c r="S141" s="59">
        <f>Q141+1</f>
        <v>46229</v>
      </c>
      <c r="T141" s="59"/>
      <c r="U141" s="59">
        <f>S141+1</f>
        <v>46230</v>
      </c>
      <c r="V141" s="59"/>
      <c r="W141" s="59">
        <f>U141+1</f>
        <v>46231</v>
      </c>
      <c r="X141" s="59"/>
    </row>
    <row r="142" spans="1:24" ht="15" thickBot="1" x14ac:dyDescent="0.35">
      <c r="A142" s="22">
        <v>260</v>
      </c>
      <c r="B142" s="22">
        <v>504.94</v>
      </c>
      <c r="C142" s="22">
        <v>370.23</v>
      </c>
      <c r="D142" s="22">
        <v>386.55</v>
      </c>
      <c r="E142" s="22">
        <v>183.1</v>
      </c>
      <c r="F142" s="22">
        <v>401.78</v>
      </c>
      <c r="G142" s="22">
        <v>471.78</v>
      </c>
      <c r="H142" s="160"/>
      <c r="I142" s="174">
        <v>4853.32</v>
      </c>
      <c r="K142" s="124" t="s">
        <v>10</v>
      </c>
      <c r="L142" s="125" t="s">
        <v>11</v>
      </c>
      <c r="M142" s="126" t="s">
        <v>10</v>
      </c>
      <c r="N142" s="126" t="s">
        <v>11</v>
      </c>
      <c r="O142" s="126" t="s">
        <v>10</v>
      </c>
      <c r="P142" s="126" t="s">
        <v>11</v>
      </c>
      <c r="Q142" s="126"/>
      <c r="R142" s="126" t="s">
        <v>11</v>
      </c>
      <c r="S142" s="126" t="s">
        <v>10</v>
      </c>
      <c r="T142" s="126" t="s">
        <v>11</v>
      </c>
      <c r="U142" s="126" t="s">
        <v>10</v>
      </c>
      <c r="V142" s="126" t="s">
        <v>11</v>
      </c>
      <c r="W142" s="126" t="s">
        <v>10</v>
      </c>
      <c r="X142" s="143" t="s">
        <v>11</v>
      </c>
    </row>
    <row r="143" spans="1:24" x14ac:dyDescent="0.3">
      <c r="A143" s="22">
        <v>2305</v>
      </c>
      <c r="B143" s="22">
        <v>2635</v>
      </c>
      <c r="C143" s="22">
        <v>3245</v>
      </c>
      <c r="D143" s="22">
        <v>1980</v>
      </c>
      <c r="E143" s="22">
        <v>900</v>
      </c>
      <c r="F143" s="22">
        <v>2890</v>
      </c>
      <c r="G143" s="22">
        <v>2695</v>
      </c>
      <c r="H143" s="65"/>
      <c r="I143" s="174">
        <v>6672.1</v>
      </c>
      <c r="K143" s="24">
        <v>30</v>
      </c>
      <c r="L143" s="56">
        <v>15</v>
      </c>
      <c r="M143" s="22">
        <v>230</v>
      </c>
      <c r="N143" s="22">
        <v>15</v>
      </c>
      <c r="O143" s="22">
        <v>360</v>
      </c>
      <c r="P143" s="43">
        <v>15</v>
      </c>
      <c r="Q143" s="22">
        <v>210</v>
      </c>
      <c r="R143" s="22">
        <v>15</v>
      </c>
      <c r="S143" s="37">
        <v>126</v>
      </c>
      <c r="T143" s="37">
        <v>15</v>
      </c>
      <c r="U143" s="22">
        <v>260</v>
      </c>
      <c r="V143" s="22">
        <v>15</v>
      </c>
      <c r="W143" s="22">
        <v>320</v>
      </c>
      <c r="X143" s="22">
        <v>15</v>
      </c>
    </row>
    <row r="144" spans="1:24" x14ac:dyDescent="0.3">
      <c r="A144" s="22">
        <v>1849.29</v>
      </c>
      <c r="B144" s="44">
        <v>2070.5700000000002</v>
      </c>
      <c r="C144" s="22">
        <v>1730.57</v>
      </c>
      <c r="D144" s="22">
        <v>1422.12</v>
      </c>
      <c r="E144" s="46"/>
      <c r="F144" s="1">
        <v>2063.0100000000002</v>
      </c>
      <c r="G144" s="22">
        <v>1900.57</v>
      </c>
      <c r="H144" s="160"/>
      <c r="I144" s="174">
        <v>3933.1</v>
      </c>
      <c r="K144" s="24">
        <v>330</v>
      </c>
      <c r="L144" s="56">
        <v>142</v>
      </c>
      <c r="M144" s="22">
        <v>456</v>
      </c>
      <c r="N144" s="22"/>
      <c r="O144" s="22">
        <v>576</v>
      </c>
      <c r="P144" s="43"/>
      <c r="Q144" s="22">
        <v>766</v>
      </c>
      <c r="R144" s="22"/>
      <c r="S144" s="37">
        <v>380</v>
      </c>
      <c r="T144" s="37"/>
      <c r="U144" s="22">
        <v>591</v>
      </c>
      <c r="V144" s="22">
        <v>52</v>
      </c>
      <c r="W144" s="22">
        <v>396</v>
      </c>
      <c r="X144" s="22">
        <v>680.6</v>
      </c>
    </row>
    <row r="145" spans="1:24" x14ac:dyDescent="0.3">
      <c r="A145" s="22"/>
      <c r="B145" s="41"/>
      <c r="C145" s="22"/>
      <c r="D145" s="22"/>
      <c r="E145" s="22"/>
      <c r="F145" s="22"/>
      <c r="G145" s="22"/>
      <c r="H145" s="65"/>
      <c r="I145" s="174">
        <v>453.68</v>
      </c>
      <c r="K145" s="24">
        <v>486</v>
      </c>
      <c r="L145" s="56">
        <v>70</v>
      </c>
      <c r="M145" s="44">
        <v>2300</v>
      </c>
      <c r="N145" s="22"/>
      <c r="O145" s="22">
        <v>3455</v>
      </c>
      <c r="P145" s="43"/>
      <c r="Q145" s="22">
        <v>2450</v>
      </c>
      <c r="R145" s="22"/>
      <c r="S145" s="37"/>
      <c r="T145" s="37"/>
      <c r="U145" s="22">
        <v>4115</v>
      </c>
      <c r="V145" s="22"/>
      <c r="W145" s="22">
        <v>2800</v>
      </c>
      <c r="X145" s="22"/>
    </row>
    <row r="146" spans="1:24" x14ac:dyDescent="0.3">
      <c r="A146" s="22"/>
      <c r="B146" s="22"/>
      <c r="C146" s="22"/>
      <c r="D146" s="22"/>
      <c r="E146" s="22"/>
      <c r="F146" s="22"/>
      <c r="G146" s="22"/>
      <c r="H146" s="160"/>
      <c r="I146" s="174">
        <v>6805.2</v>
      </c>
      <c r="K146" s="24">
        <v>3335</v>
      </c>
      <c r="L146" s="56"/>
      <c r="M146" s="41">
        <v>630</v>
      </c>
      <c r="N146" s="22"/>
      <c r="O146" s="22">
        <v>350</v>
      </c>
      <c r="P146" s="22"/>
      <c r="Q146" s="22"/>
      <c r="R146" s="22"/>
      <c r="S146" s="37"/>
      <c r="T146" s="37"/>
      <c r="U146" s="22">
        <v>280</v>
      </c>
      <c r="V146" s="22"/>
      <c r="W146" s="22">
        <v>360</v>
      </c>
      <c r="X146" s="22"/>
    </row>
    <row r="147" spans="1:24" x14ac:dyDescent="0.3">
      <c r="A147" s="22"/>
      <c r="B147" s="22"/>
      <c r="C147" s="22"/>
      <c r="D147" s="22"/>
      <c r="E147" s="22"/>
      <c r="F147" s="22"/>
      <c r="G147" s="22"/>
      <c r="H147" s="65"/>
      <c r="I147" s="174">
        <v>1361.04</v>
      </c>
      <c r="K147" s="24">
        <v>210</v>
      </c>
      <c r="L147" s="56"/>
      <c r="M147" s="22"/>
      <c r="N147" s="22"/>
      <c r="O147" s="22"/>
      <c r="P147" s="22"/>
      <c r="Q147" s="22"/>
      <c r="R147" s="22"/>
      <c r="S147" s="37"/>
      <c r="T147" s="37"/>
      <c r="U147" s="22"/>
      <c r="V147" s="22"/>
      <c r="W147" s="22"/>
      <c r="X147" s="22"/>
    </row>
    <row r="148" spans="1:24" x14ac:dyDescent="0.3">
      <c r="A148" s="22"/>
      <c r="B148" s="22"/>
      <c r="C148" s="22"/>
      <c r="D148" s="22"/>
      <c r="E148" s="22"/>
      <c r="F148" s="22"/>
      <c r="G148" s="22"/>
      <c r="H148" s="160"/>
      <c r="I148" s="174">
        <v>1483.19</v>
      </c>
      <c r="K148" s="133"/>
      <c r="L148" s="166"/>
      <c r="M148" s="166"/>
      <c r="N148" s="166"/>
      <c r="O148" s="22"/>
      <c r="P148" s="22"/>
      <c r="Q148" s="22"/>
      <c r="R148" s="166"/>
      <c r="S148" s="166"/>
      <c r="T148" s="167"/>
      <c r="U148" s="22"/>
      <c r="V148" s="166"/>
      <c r="W148" s="166"/>
      <c r="X148" s="166"/>
    </row>
    <row r="149" spans="1:24" x14ac:dyDescent="0.3">
      <c r="A149" s="22"/>
      <c r="B149" s="22"/>
      <c r="C149" s="22"/>
      <c r="D149" s="22"/>
      <c r="E149" s="22"/>
      <c r="F149" s="22"/>
      <c r="G149" s="22"/>
      <c r="H149" s="65"/>
      <c r="I149" s="174">
        <v>2663.68</v>
      </c>
      <c r="K149" s="24"/>
      <c r="L149" s="56"/>
      <c r="M149" s="22"/>
      <c r="N149" s="22"/>
      <c r="O149" s="22"/>
      <c r="P149" s="22"/>
      <c r="Q149" s="22"/>
      <c r="R149" s="22"/>
      <c r="S149" s="22"/>
      <c r="T149" s="37"/>
      <c r="U149" s="22"/>
      <c r="V149" s="22"/>
      <c r="W149" s="22"/>
      <c r="X149" s="22"/>
    </row>
    <row r="150" spans="1:24" x14ac:dyDescent="0.3">
      <c r="A150" s="22"/>
      <c r="B150" s="22"/>
      <c r="C150" s="22"/>
      <c r="D150" s="22"/>
      <c r="E150" s="22"/>
      <c r="F150" s="22"/>
      <c r="G150" s="22"/>
      <c r="H150" s="160"/>
      <c r="I150" s="174">
        <v>453.68</v>
      </c>
      <c r="K150" s="24"/>
      <c r="L150" s="56"/>
      <c r="M150" s="22"/>
      <c r="N150" s="22"/>
      <c r="O150" s="22"/>
      <c r="P150" s="22"/>
      <c r="Q150" s="22"/>
      <c r="R150" s="22"/>
      <c r="S150" s="22"/>
      <c r="T150" s="37"/>
      <c r="U150" s="22"/>
      <c r="V150" s="22"/>
      <c r="W150" s="22"/>
      <c r="X150" s="22"/>
    </row>
    <row r="151" spans="1:24" x14ac:dyDescent="0.3">
      <c r="A151" s="22"/>
      <c r="B151" s="22"/>
      <c r="C151" s="22"/>
      <c r="D151" s="22"/>
      <c r="E151" s="22"/>
      <c r="F151" s="22"/>
      <c r="G151" s="22"/>
      <c r="H151" s="65"/>
      <c r="I151" s="174">
        <v>484.8</v>
      </c>
      <c r="K151" s="24"/>
      <c r="L151" s="56"/>
      <c r="M151" s="22"/>
      <c r="N151" s="22"/>
      <c r="O151" s="22"/>
      <c r="P151" s="22"/>
      <c r="Q151" s="22"/>
      <c r="R151" s="22"/>
      <c r="S151" s="22"/>
      <c r="T151" s="37"/>
      <c r="U151" s="22"/>
      <c r="V151" s="22"/>
      <c r="W151" s="22"/>
      <c r="X151" s="22"/>
    </row>
    <row r="152" spans="1:24" x14ac:dyDescent="0.3">
      <c r="A152" s="22"/>
      <c r="B152" s="22"/>
      <c r="C152" s="22"/>
      <c r="D152" s="22"/>
      <c r="E152" s="22"/>
      <c r="F152" s="22"/>
      <c r="G152" s="22"/>
      <c r="H152" s="160"/>
      <c r="I152" s="174"/>
      <c r="K152" s="24"/>
      <c r="L152" s="56"/>
      <c r="M152" s="22"/>
      <c r="N152" s="22"/>
      <c r="O152" s="22"/>
      <c r="P152" s="22" t="s">
        <v>14</v>
      </c>
      <c r="Q152" s="22"/>
      <c r="R152" s="22"/>
      <c r="S152" s="22"/>
      <c r="T152" s="37"/>
      <c r="U152" s="22"/>
      <c r="V152" s="22"/>
      <c r="W152" s="22"/>
      <c r="X152" s="22"/>
    </row>
    <row r="153" spans="1:24" x14ac:dyDescent="0.3">
      <c r="A153" s="22"/>
      <c r="B153" s="22"/>
      <c r="C153" s="22"/>
      <c r="D153" s="22"/>
      <c r="E153" s="22"/>
      <c r="F153" s="22"/>
      <c r="G153" s="22"/>
      <c r="H153" s="65"/>
      <c r="I153" s="174"/>
      <c r="K153" s="24"/>
      <c r="L153" s="56"/>
      <c r="M153" s="22"/>
      <c r="N153" s="22" t="s">
        <v>9</v>
      </c>
      <c r="O153" s="43"/>
      <c r="P153" s="22"/>
      <c r="Q153" s="22"/>
      <c r="R153" s="22"/>
      <c r="S153" s="22"/>
      <c r="T153" s="37"/>
      <c r="U153" s="22"/>
      <c r="V153" s="22"/>
      <c r="W153" s="22"/>
      <c r="X153" s="22"/>
    </row>
    <row r="154" spans="1:24" ht="15" thickBot="1" x14ac:dyDescent="0.35">
      <c r="A154" s="22"/>
      <c r="B154" s="22"/>
      <c r="C154" s="22"/>
      <c r="D154" s="22"/>
      <c r="E154" s="22"/>
      <c r="F154" s="22"/>
      <c r="G154" s="22"/>
      <c r="H154" s="160"/>
      <c r="I154" s="27"/>
      <c r="K154" s="24"/>
      <c r="L154" s="56"/>
      <c r="M154" s="22"/>
      <c r="N154" s="22"/>
      <c r="O154" s="43"/>
      <c r="P154" s="22"/>
      <c r="Q154" s="22"/>
      <c r="R154" s="22"/>
      <c r="S154" s="22"/>
      <c r="T154" s="37"/>
      <c r="U154" s="22"/>
      <c r="V154" s="22"/>
      <c r="W154" s="22"/>
      <c r="X154" s="22"/>
    </row>
    <row r="155" spans="1:24" ht="15.6" thickTop="1" thickBot="1" x14ac:dyDescent="0.35">
      <c r="A155" s="22"/>
      <c r="B155" s="22"/>
      <c r="C155" s="22"/>
      <c r="D155" s="22"/>
      <c r="E155" s="22"/>
      <c r="F155" s="22"/>
      <c r="G155" s="22"/>
      <c r="H155" s="65">
        <v>226.84</v>
      </c>
      <c r="I155" s="132">
        <f>SUM(I142:I154)</f>
        <v>29163.79</v>
      </c>
      <c r="K155" s="24"/>
      <c r="L155" s="56"/>
      <c r="M155" s="22"/>
      <c r="N155" s="22"/>
      <c r="O155" s="43"/>
      <c r="P155" s="22"/>
      <c r="Q155" s="22"/>
      <c r="R155" s="22"/>
      <c r="S155" s="22"/>
      <c r="T155" s="37"/>
      <c r="U155" s="22"/>
      <c r="V155" s="22"/>
      <c r="W155" s="22"/>
      <c r="X155" s="22"/>
    </row>
    <row r="156" spans="1:24" ht="15.6" thickTop="1" thickBot="1" x14ac:dyDescent="0.35">
      <c r="A156" s="22"/>
      <c r="B156" s="22"/>
      <c r="C156" s="22"/>
      <c r="D156" s="22"/>
      <c r="E156" s="22"/>
      <c r="F156" s="22"/>
      <c r="G156" s="22"/>
      <c r="H156" s="160"/>
      <c r="I156" s="27"/>
      <c r="K156" s="133"/>
      <c r="L156" s="166"/>
      <c r="M156" s="166"/>
      <c r="N156" s="166"/>
      <c r="O156" s="166"/>
      <c r="P156" s="166"/>
      <c r="Q156" s="166"/>
      <c r="R156" s="166"/>
      <c r="S156" s="166"/>
      <c r="T156" s="167"/>
      <c r="U156" s="22"/>
      <c r="V156" s="166"/>
      <c r="W156" s="166"/>
      <c r="X156" s="166"/>
    </row>
    <row r="157" spans="1:24" ht="15" thickBot="1" x14ac:dyDescent="0.35">
      <c r="A157" s="140">
        <f>SUM(A142:A156)</f>
        <v>4414.29</v>
      </c>
      <c r="B157" s="140">
        <f t="shared" ref="B157:G157" si="38">SUM(B142:B156)</f>
        <v>5210.51</v>
      </c>
      <c r="C157" s="140">
        <f t="shared" si="38"/>
        <v>5345.8</v>
      </c>
      <c r="D157" s="140">
        <f t="shared" si="38"/>
        <v>3788.67</v>
      </c>
      <c r="E157" s="140">
        <f t="shared" si="38"/>
        <v>1083.0999999999999</v>
      </c>
      <c r="F157" s="140">
        <f t="shared" si="38"/>
        <v>5354.79</v>
      </c>
      <c r="G157" s="140">
        <f t="shared" si="38"/>
        <v>5067.3499999999995</v>
      </c>
      <c r="H157" s="29">
        <f>SUM(A157:G157)+I155+H155</f>
        <v>59655.139999999992</v>
      </c>
      <c r="I157" s="150" t="s">
        <v>64</v>
      </c>
      <c r="K157" s="152">
        <f t="shared" ref="K157:V157" si="39">SUM(K142:K156)</f>
        <v>4391</v>
      </c>
      <c r="L157" s="152">
        <f t="shared" si="39"/>
        <v>227</v>
      </c>
      <c r="M157" s="152">
        <f t="shared" si="39"/>
        <v>3616</v>
      </c>
      <c r="N157" s="152">
        <f t="shared" si="39"/>
        <v>15</v>
      </c>
      <c r="O157" s="152">
        <f t="shared" si="39"/>
        <v>4741</v>
      </c>
      <c r="P157" s="152">
        <f t="shared" si="39"/>
        <v>15</v>
      </c>
      <c r="Q157" s="152">
        <f t="shared" si="39"/>
        <v>3426</v>
      </c>
      <c r="R157" s="152">
        <f t="shared" si="39"/>
        <v>15</v>
      </c>
      <c r="S157" s="152">
        <f t="shared" si="39"/>
        <v>506</v>
      </c>
      <c r="T157" s="152">
        <f t="shared" si="39"/>
        <v>15</v>
      </c>
      <c r="U157" s="152">
        <f t="shared" si="39"/>
        <v>5246</v>
      </c>
      <c r="V157" s="152">
        <f t="shared" si="39"/>
        <v>67</v>
      </c>
      <c r="W157" s="152">
        <f>SUM(W142:W156)</f>
        <v>3876</v>
      </c>
      <c r="X157" s="154">
        <f t="shared" ref="X157" si="40">SUM(X142:X156)</f>
        <v>695.6</v>
      </c>
    </row>
    <row r="158" spans="1:24" ht="15" thickBot="1" x14ac:dyDescent="0.35">
      <c r="A158" s="140">
        <v>4414.29</v>
      </c>
      <c r="B158" s="140">
        <v>5210.51</v>
      </c>
      <c r="C158" s="140">
        <v>5345.8</v>
      </c>
      <c r="D158" s="140">
        <v>3788.67</v>
      </c>
      <c r="E158" s="140">
        <v>1083.0999999999999</v>
      </c>
      <c r="F158" s="140">
        <v>5354.79</v>
      </c>
      <c r="G158" s="140">
        <v>5067.3500000000004</v>
      </c>
      <c r="H158" s="29">
        <f>SUM(A158:G158)+I155</f>
        <v>59428.299999999996</v>
      </c>
      <c r="I158" s="140"/>
      <c r="K158" s="152">
        <v>4391</v>
      </c>
      <c r="L158" s="152">
        <v>227</v>
      </c>
      <c r="M158" s="152">
        <v>3616</v>
      </c>
      <c r="N158" s="152">
        <v>15</v>
      </c>
      <c r="O158" s="152">
        <v>4741</v>
      </c>
      <c r="P158" s="152">
        <v>15</v>
      </c>
      <c r="Q158" s="152">
        <v>3426</v>
      </c>
      <c r="R158" s="152">
        <v>15</v>
      </c>
      <c r="S158" s="152">
        <v>506</v>
      </c>
      <c r="T158" s="152">
        <v>15</v>
      </c>
      <c r="U158" s="152">
        <v>5246</v>
      </c>
      <c r="V158" s="152">
        <v>67</v>
      </c>
      <c r="W158" s="152">
        <v>3876</v>
      </c>
      <c r="X158" s="152">
        <v>695.6</v>
      </c>
    </row>
    <row r="159" spans="1:24" ht="15" thickBot="1" x14ac:dyDescent="0.35">
      <c r="A159" s="172">
        <f t="shared" ref="A159:H159" si="41">A157-A158</f>
        <v>0</v>
      </c>
      <c r="B159" s="172">
        <f t="shared" si="41"/>
        <v>0</v>
      </c>
      <c r="C159" s="172">
        <f t="shared" si="41"/>
        <v>0</v>
      </c>
      <c r="D159" s="172">
        <f t="shared" si="41"/>
        <v>0</v>
      </c>
      <c r="E159" s="172">
        <f t="shared" si="41"/>
        <v>0</v>
      </c>
      <c r="F159" s="172">
        <f t="shared" si="41"/>
        <v>0</v>
      </c>
      <c r="G159" s="172">
        <f t="shared" si="41"/>
        <v>0</v>
      </c>
      <c r="H159" s="172">
        <f t="shared" si="41"/>
        <v>226.83999999999651</v>
      </c>
      <c r="I159" s="172"/>
      <c r="K159" s="172">
        <f>K157-K158</f>
        <v>0</v>
      </c>
      <c r="L159" s="172">
        <f>L157-L158</f>
        <v>0</v>
      </c>
      <c r="M159" s="172">
        <f t="shared" ref="M159:X159" si="42">M157-M158</f>
        <v>0</v>
      </c>
      <c r="N159" s="172">
        <f t="shared" si="42"/>
        <v>0</v>
      </c>
      <c r="O159" s="172">
        <f t="shared" si="42"/>
        <v>0</v>
      </c>
      <c r="P159" s="172">
        <f t="shared" si="42"/>
        <v>0</v>
      </c>
      <c r="Q159" s="172">
        <f t="shared" si="42"/>
        <v>0</v>
      </c>
      <c r="R159" s="172">
        <f t="shared" si="42"/>
        <v>0</v>
      </c>
      <c r="S159" s="172">
        <f t="shared" si="42"/>
        <v>0</v>
      </c>
      <c r="T159" s="172">
        <f t="shared" si="42"/>
        <v>0</v>
      </c>
      <c r="U159" s="172">
        <f t="shared" si="42"/>
        <v>0</v>
      </c>
      <c r="V159" s="172">
        <f t="shared" si="42"/>
        <v>0</v>
      </c>
      <c r="W159" s="172">
        <f t="shared" si="42"/>
        <v>0</v>
      </c>
      <c r="X159" s="172">
        <f t="shared" si="42"/>
        <v>0</v>
      </c>
    </row>
    <row r="160" spans="1:24" ht="15" thickBot="1" x14ac:dyDescent="0.35"/>
    <row r="161" spans="1:24" x14ac:dyDescent="0.3">
      <c r="A161" s="157">
        <v>46232</v>
      </c>
      <c r="B161" s="157">
        <v>46233</v>
      </c>
      <c r="C161" s="157">
        <v>46234</v>
      </c>
      <c r="D161" s="157">
        <v>46235</v>
      </c>
      <c r="E161" s="157">
        <v>46236</v>
      </c>
      <c r="F161" s="157">
        <v>46237</v>
      </c>
      <c r="G161" s="157">
        <v>46238</v>
      </c>
      <c r="H161" s="157"/>
      <c r="I161" s="13" t="s">
        <v>8</v>
      </c>
      <c r="K161" s="59">
        <v>46232</v>
      </c>
      <c r="L161" s="59"/>
      <c r="M161" s="59">
        <f>K161+1</f>
        <v>46233</v>
      </c>
      <c r="N161" s="59"/>
      <c r="O161" s="59">
        <f>M161+1</f>
        <v>46234</v>
      </c>
      <c r="P161" s="59"/>
      <c r="Q161" s="59">
        <f>O161+1</f>
        <v>46235</v>
      </c>
      <c r="R161" s="59"/>
      <c r="S161" s="59">
        <f>Q161+1</f>
        <v>46236</v>
      </c>
      <c r="T161" s="59"/>
      <c r="U161" s="59">
        <f>S161+1</f>
        <v>46237</v>
      </c>
      <c r="V161" s="59"/>
      <c r="W161" s="59">
        <f>U161+1</f>
        <v>46238</v>
      </c>
      <c r="X161" s="59"/>
    </row>
    <row r="162" spans="1:24" ht="15" thickBot="1" x14ac:dyDescent="0.35">
      <c r="A162" s="22">
        <v>471.84</v>
      </c>
      <c r="B162" s="22">
        <v>360</v>
      </c>
      <c r="C162" s="22">
        <v>385.23</v>
      </c>
      <c r="D162" s="22">
        <v>210</v>
      </c>
      <c r="E162" s="22">
        <v>128.1</v>
      </c>
      <c r="F162" s="22">
        <v>338.1</v>
      </c>
      <c r="G162" s="22">
        <v>345</v>
      </c>
      <c r="H162" s="160"/>
      <c r="I162" s="174">
        <v>5515.7</v>
      </c>
      <c r="K162" s="124" t="s">
        <v>10</v>
      </c>
      <c r="L162" s="125" t="s">
        <v>11</v>
      </c>
      <c r="M162" s="126" t="s">
        <v>10</v>
      </c>
      <c r="N162" s="126" t="s">
        <v>11</v>
      </c>
      <c r="O162" s="126" t="s">
        <v>10</v>
      </c>
      <c r="P162" s="126" t="s">
        <v>11</v>
      </c>
      <c r="Q162" s="126"/>
      <c r="R162" s="126" t="s">
        <v>11</v>
      </c>
      <c r="S162" s="126" t="s">
        <v>10</v>
      </c>
      <c r="T162" s="126" t="s">
        <v>11</v>
      </c>
      <c r="U162" s="126" t="s">
        <v>10</v>
      </c>
      <c r="V162" s="126" t="s">
        <v>11</v>
      </c>
      <c r="W162" s="126" t="s">
        <v>10</v>
      </c>
      <c r="X162" s="143" t="s">
        <v>11</v>
      </c>
    </row>
    <row r="163" spans="1:24" x14ac:dyDescent="0.3">
      <c r="A163" s="22">
        <v>2870</v>
      </c>
      <c r="B163" s="22">
        <v>2326.5500000000002</v>
      </c>
      <c r="C163" s="22">
        <v>3477.5</v>
      </c>
      <c r="D163" s="22">
        <v>1565</v>
      </c>
      <c r="E163" s="22">
        <v>1025</v>
      </c>
      <c r="F163" s="22">
        <v>3437.5</v>
      </c>
      <c r="G163" s="22">
        <v>2333.1</v>
      </c>
      <c r="H163" s="65"/>
      <c r="I163" s="174">
        <v>6672.1</v>
      </c>
      <c r="K163" s="24">
        <v>150</v>
      </c>
      <c r="L163" s="56">
        <v>15</v>
      </c>
      <c r="M163" s="22">
        <v>260</v>
      </c>
      <c r="N163" s="22">
        <v>15</v>
      </c>
      <c r="O163" s="22">
        <v>240</v>
      </c>
      <c r="P163" s="43">
        <v>15</v>
      </c>
      <c r="Q163" s="22">
        <v>290</v>
      </c>
      <c r="R163" s="22">
        <v>15</v>
      </c>
      <c r="S163" s="37">
        <v>156</v>
      </c>
      <c r="T163" s="37">
        <v>15</v>
      </c>
      <c r="U163" s="22">
        <v>290</v>
      </c>
      <c r="V163" s="22">
        <v>15</v>
      </c>
      <c r="W163" s="22">
        <v>260</v>
      </c>
      <c r="X163" s="22">
        <v>15</v>
      </c>
    </row>
    <row r="164" spans="1:24" x14ac:dyDescent="0.3">
      <c r="A164" s="22">
        <v>1620.45</v>
      </c>
      <c r="B164" s="44">
        <v>1798.01</v>
      </c>
      <c r="C164" s="22">
        <v>1604.59</v>
      </c>
      <c r="D164" s="22">
        <v>1700.54</v>
      </c>
      <c r="E164" s="46"/>
      <c r="F164" s="1">
        <v>1761.36</v>
      </c>
      <c r="G164" s="22">
        <v>1951.85</v>
      </c>
      <c r="H164" s="160"/>
      <c r="I164" s="174">
        <v>417.63</v>
      </c>
      <c r="K164" s="24">
        <v>516</v>
      </c>
      <c r="L164" s="56">
        <v>45</v>
      </c>
      <c r="M164" s="22">
        <v>456</v>
      </c>
      <c r="N164" s="22"/>
      <c r="O164" s="22">
        <v>576</v>
      </c>
      <c r="P164" s="43">
        <v>60</v>
      </c>
      <c r="Q164" s="22">
        <v>252</v>
      </c>
      <c r="R164" s="22">
        <v>32</v>
      </c>
      <c r="S164" s="37">
        <v>380</v>
      </c>
      <c r="T164" s="37">
        <v>220</v>
      </c>
      <c r="U164" s="22">
        <v>576</v>
      </c>
      <c r="V164" s="22">
        <v>740</v>
      </c>
      <c r="W164" s="22">
        <v>366</v>
      </c>
      <c r="X164" s="22">
        <v>120</v>
      </c>
    </row>
    <row r="165" spans="1:24" x14ac:dyDescent="0.3">
      <c r="A165" s="22"/>
      <c r="B165" s="41"/>
      <c r="C165" s="22"/>
      <c r="D165" s="22"/>
      <c r="E165" s="22"/>
      <c r="F165" s="22"/>
      <c r="G165" s="22"/>
      <c r="H165" s="65"/>
      <c r="I165" s="174">
        <v>3096.55</v>
      </c>
      <c r="K165" s="24">
        <v>2945</v>
      </c>
      <c r="L165" s="56">
        <v>1200</v>
      </c>
      <c r="M165" s="44">
        <v>3060</v>
      </c>
      <c r="N165" s="22"/>
      <c r="O165" s="22">
        <v>3540</v>
      </c>
      <c r="P165" s="43">
        <v>660</v>
      </c>
      <c r="Q165" s="22">
        <v>1010</v>
      </c>
      <c r="R165" s="22"/>
      <c r="S165" s="37"/>
      <c r="T165" s="37"/>
      <c r="U165" s="22">
        <v>3180</v>
      </c>
      <c r="V165" s="22"/>
      <c r="W165" s="22">
        <v>3310</v>
      </c>
      <c r="X165" s="22">
        <v>70</v>
      </c>
    </row>
    <row r="166" spans="1:24" x14ac:dyDescent="0.3">
      <c r="A166" s="22"/>
      <c r="B166" s="22"/>
      <c r="C166" s="22"/>
      <c r="D166" s="22"/>
      <c r="E166" s="22"/>
      <c r="F166" s="22"/>
      <c r="G166" s="22"/>
      <c r="H166" s="160"/>
      <c r="I166" s="174">
        <v>907.36</v>
      </c>
      <c r="K166" s="24"/>
      <c r="L166" s="56"/>
      <c r="M166" s="41">
        <v>70</v>
      </c>
      <c r="N166" s="22"/>
      <c r="O166" s="22">
        <v>420</v>
      </c>
      <c r="P166" s="22"/>
      <c r="Q166" s="22"/>
      <c r="R166" s="22"/>
      <c r="S166" s="37"/>
      <c r="T166" s="37"/>
      <c r="U166" s="22">
        <v>70</v>
      </c>
      <c r="V166" s="22"/>
      <c r="W166" s="22">
        <v>210</v>
      </c>
      <c r="X166" s="22"/>
    </row>
    <row r="167" spans="1:24" x14ac:dyDescent="0.3">
      <c r="A167" s="22"/>
      <c r="B167" s="22"/>
      <c r="C167" s="22"/>
      <c r="D167" s="22"/>
      <c r="E167" s="22"/>
      <c r="F167" s="22"/>
      <c r="G167" s="22"/>
      <c r="H167" s="65"/>
      <c r="I167" s="174">
        <v>2663.68</v>
      </c>
      <c r="K167" s="24"/>
      <c r="L167" s="56"/>
      <c r="M167" s="22"/>
      <c r="N167" s="22"/>
      <c r="O167" s="22"/>
      <c r="P167" s="22"/>
      <c r="Q167" s="22"/>
      <c r="R167" s="22"/>
      <c r="S167" s="37"/>
      <c r="T167" s="37"/>
      <c r="U167" s="22"/>
      <c r="V167" s="22"/>
      <c r="W167" s="22"/>
      <c r="X167" s="22"/>
    </row>
    <row r="168" spans="1:24" x14ac:dyDescent="0.3">
      <c r="A168" s="22"/>
      <c r="B168" s="22"/>
      <c r="C168" s="22"/>
      <c r="D168" s="22"/>
      <c r="E168" s="22"/>
      <c r="F168" s="22"/>
      <c r="G168" s="22"/>
      <c r="H168" s="160"/>
      <c r="I168" s="174">
        <v>6805.2</v>
      </c>
      <c r="K168" s="133"/>
      <c r="L168" s="166"/>
      <c r="M168" s="166"/>
      <c r="N168" s="166"/>
      <c r="O168" s="22"/>
      <c r="P168" s="22"/>
      <c r="Q168" s="22"/>
      <c r="R168" s="166"/>
      <c r="S168" s="166"/>
      <c r="T168" s="167"/>
      <c r="U168" s="22"/>
      <c r="V168" s="166"/>
      <c r="W168" s="166"/>
      <c r="X168" s="166"/>
    </row>
    <row r="169" spans="1:24" x14ac:dyDescent="0.3">
      <c r="A169" s="22"/>
      <c r="B169" s="22"/>
      <c r="C169" s="22"/>
      <c r="D169" s="22"/>
      <c r="E169" s="22"/>
      <c r="F169" s="22"/>
      <c r="G169" s="22"/>
      <c r="H169" s="65"/>
      <c r="I169" s="174">
        <v>1466.44</v>
      </c>
      <c r="K169" s="24"/>
      <c r="L169" s="56"/>
      <c r="M169" s="22"/>
      <c r="N169" s="22"/>
      <c r="O169" s="22"/>
      <c r="P169" s="22"/>
      <c r="Q169" s="22"/>
      <c r="R169" s="22"/>
      <c r="S169" s="22"/>
      <c r="T169" s="37"/>
      <c r="U169" s="22"/>
      <c r="V169" s="22"/>
      <c r="W169" s="22"/>
      <c r="X169" s="22"/>
    </row>
    <row r="170" spans="1:24" x14ac:dyDescent="0.3">
      <c r="A170" s="22"/>
      <c r="B170" s="22"/>
      <c r="C170" s="22"/>
      <c r="D170" s="22"/>
      <c r="E170" s="22"/>
      <c r="F170" s="22"/>
      <c r="G170" s="22"/>
      <c r="H170" s="160"/>
      <c r="I170" s="174">
        <v>1574.17</v>
      </c>
      <c r="K170" s="24"/>
      <c r="L170" s="56"/>
      <c r="M170" s="22"/>
      <c r="N170" s="22"/>
      <c r="O170" s="22"/>
      <c r="P170" s="22"/>
      <c r="Q170" s="22"/>
      <c r="R170" s="22"/>
      <c r="S170" s="22"/>
      <c r="T170" s="37"/>
      <c r="U170" s="22"/>
      <c r="V170" s="22"/>
      <c r="W170" s="22"/>
      <c r="X170" s="22"/>
    </row>
    <row r="171" spans="1:24" x14ac:dyDescent="0.3">
      <c r="A171" s="22"/>
      <c r="B171" s="22"/>
      <c r="C171" s="22"/>
      <c r="D171" s="22"/>
      <c r="E171" s="22"/>
      <c r="F171" s="22"/>
      <c r="G171" s="22"/>
      <c r="H171" s="65"/>
      <c r="I171" s="174">
        <v>486.55</v>
      </c>
      <c r="K171" s="24"/>
      <c r="L171" s="56"/>
      <c r="M171" s="22"/>
      <c r="N171" s="22"/>
      <c r="O171" s="22"/>
      <c r="P171" s="22"/>
      <c r="Q171" s="22"/>
      <c r="R171" s="22"/>
      <c r="S171" s="22"/>
      <c r="T171" s="37"/>
      <c r="U171" s="22"/>
      <c r="V171" s="22"/>
      <c r="W171" s="22"/>
      <c r="X171" s="22"/>
    </row>
    <row r="172" spans="1:24" x14ac:dyDescent="0.3">
      <c r="A172" s="22"/>
      <c r="B172" s="22"/>
      <c r="C172" s="22"/>
      <c r="D172" s="22"/>
      <c r="E172" s="22"/>
      <c r="F172" s="22"/>
      <c r="G172" s="22"/>
      <c r="H172" s="160"/>
      <c r="I172" s="174">
        <v>435.84</v>
      </c>
      <c r="K172" s="24"/>
      <c r="L172" s="56"/>
      <c r="M172" s="22"/>
      <c r="N172" s="22"/>
      <c r="O172" s="22"/>
      <c r="P172" s="22" t="s">
        <v>14</v>
      </c>
      <c r="Q172" s="22"/>
      <c r="R172" s="22"/>
      <c r="S172" s="22"/>
      <c r="T172" s="37"/>
      <c r="U172" s="22"/>
      <c r="V172" s="22"/>
      <c r="W172" s="22"/>
      <c r="X172" s="22"/>
    </row>
    <row r="173" spans="1:24" x14ac:dyDescent="0.3">
      <c r="A173" s="22"/>
      <c r="B173" s="22"/>
      <c r="C173" s="22"/>
      <c r="D173" s="22"/>
      <c r="E173" s="22"/>
      <c r="F173" s="22"/>
      <c r="G173" s="22"/>
      <c r="H173" s="65"/>
      <c r="I173" s="174"/>
      <c r="K173" s="24"/>
      <c r="L173" s="56"/>
      <c r="M173" s="22"/>
      <c r="N173" s="22" t="s">
        <v>9</v>
      </c>
      <c r="O173" s="43"/>
      <c r="P173" s="22"/>
      <c r="Q173" s="22"/>
      <c r="R173" s="22"/>
      <c r="S173" s="22"/>
      <c r="T173" s="37"/>
      <c r="U173" s="22"/>
      <c r="V173" s="22"/>
      <c r="W173" s="22"/>
      <c r="X173" s="22"/>
    </row>
    <row r="174" spans="1:24" ht="15" thickBot="1" x14ac:dyDescent="0.35">
      <c r="A174" s="22"/>
      <c r="B174" s="22"/>
      <c r="C174" s="22"/>
      <c r="D174" s="22"/>
      <c r="E174" s="22"/>
      <c r="F174" s="22"/>
      <c r="G174" s="22"/>
      <c r="H174" s="160"/>
      <c r="I174" s="27"/>
      <c r="K174" s="24"/>
      <c r="L174" s="56"/>
      <c r="M174" s="22"/>
      <c r="N174" s="22"/>
      <c r="O174" s="43"/>
      <c r="P174" s="22"/>
      <c r="Q174" s="22"/>
      <c r="R174" s="22"/>
      <c r="S174" s="22"/>
      <c r="T174" s="37"/>
      <c r="U174" s="22"/>
      <c r="V174" s="22"/>
      <c r="W174" s="22"/>
      <c r="X174" s="22"/>
    </row>
    <row r="175" spans="1:24" ht="15.6" thickTop="1" thickBot="1" x14ac:dyDescent="0.35">
      <c r="A175" s="22"/>
      <c r="B175" s="22"/>
      <c r="C175" s="22"/>
      <c r="D175" s="22"/>
      <c r="E175" s="22"/>
      <c r="F175" s="22"/>
      <c r="G175" s="22"/>
      <c r="H175" s="65"/>
      <c r="I175" s="132">
        <f>SUM(I162:I174)</f>
        <v>30041.22</v>
      </c>
      <c r="K175" s="24"/>
      <c r="L175" s="56"/>
      <c r="M175" s="22"/>
      <c r="N175" s="22"/>
      <c r="O175" s="43"/>
      <c r="P175" s="22"/>
      <c r="Q175" s="22"/>
      <c r="R175" s="22"/>
      <c r="S175" s="22"/>
      <c r="T175" s="37"/>
      <c r="U175" s="22"/>
      <c r="V175" s="22"/>
      <c r="W175" s="22"/>
      <c r="X175" s="22"/>
    </row>
    <row r="176" spans="1:24" ht="15.6" thickTop="1" thickBot="1" x14ac:dyDescent="0.35">
      <c r="A176" s="22"/>
      <c r="B176" s="22"/>
      <c r="C176" s="22"/>
      <c r="D176" s="22"/>
      <c r="E176" s="22"/>
      <c r="F176" s="22"/>
      <c r="G176" s="22"/>
      <c r="H176" s="160"/>
      <c r="I176" s="27"/>
      <c r="K176" s="133"/>
      <c r="L176" s="166"/>
      <c r="M176" s="166"/>
      <c r="N176" s="166"/>
      <c r="O176" s="166"/>
      <c r="P176" s="166"/>
      <c r="Q176" s="166"/>
      <c r="R176" s="166"/>
      <c r="S176" s="166"/>
      <c r="T176" s="167"/>
      <c r="U176" s="22"/>
      <c r="V176" s="166"/>
      <c r="W176" s="166"/>
      <c r="X176" s="166"/>
    </row>
    <row r="177" spans="1:24" ht="15" thickBot="1" x14ac:dyDescent="0.35">
      <c r="A177" s="140">
        <f>SUM(A162:A176)</f>
        <v>4962.29</v>
      </c>
      <c r="B177" s="140">
        <f t="shared" ref="B177:G177" si="43">SUM(B162:B176)</f>
        <v>4484.5600000000004</v>
      </c>
      <c r="C177" s="140">
        <f t="shared" si="43"/>
        <v>5467.32</v>
      </c>
      <c r="D177" s="140">
        <f t="shared" si="43"/>
        <v>3475.54</v>
      </c>
      <c r="E177" s="140">
        <f t="shared" si="43"/>
        <v>1153.0999999999999</v>
      </c>
      <c r="F177" s="140">
        <f t="shared" si="43"/>
        <v>5536.96</v>
      </c>
      <c r="G177" s="140">
        <f t="shared" si="43"/>
        <v>4629.95</v>
      </c>
      <c r="H177" s="29">
        <f>SUM(A177:G177)+I175</f>
        <v>59750.94</v>
      </c>
      <c r="I177" s="150" t="s">
        <v>64</v>
      </c>
      <c r="K177" s="152">
        <f t="shared" ref="K177:V177" si="44">SUM(K162:K176)</f>
        <v>3611</v>
      </c>
      <c r="L177" s="152">
        <f t="shared" si="44"/>
        <v>1260</v>
      </c>
      <c r="M177" s="152">
        <f t="shared" si="44"/>
        <v>3846</v>
      </c>
      <c r="N177" s="152">
        <f t="shared" si="44"/>
        <v>15</v>
      </c>
      <c r="O177" s="152">
        <f t="shared" si="44"/>
        <v>4776</v>
      </c>
      <c r="P177" s="152">
        <f t="shared" si="44"/>
        <v>735</v>
      </c>
      <c r="Q177" s="152">
        <f t="shared" si="44"/>
        <v>1552</v>
      </c>
      <c r="R177" s="152">
        <f t="shared" si="44"/>
        <v>47</v>
      </c>
      <c r="S177" s="152">
        <f t="shared" si="44"/>
        <v>536</v>
      </c>
      <c r="T177" s="152">
        <f t="shared" si="44"/>
        <v>235</v>
      </c>
      <c r="U177" s="152">
        <f t="shared" si="44"/>
        <v>4116</v>
      </c>
      <c r="V177" s="152">
        <f t="shared" si="44"/>
        <v>755</v>
      </c>
      <c r="W177" s="152">
        <f>SUM(W162:W176)</f>
        <v>4146</v>
      </c>
      <c r="X177" s="154">
        <f t="shared" ref="X177" si="45">SUM(X162:X176)</f>
        <v>205</v>
      </c>
    </row>
    <row r="178" spans="1:24" ht="15" thickBot="1" x14ac:dyDescent="0.35">
      <c r="A178" s="140">
        <v>4962.29</v>
      </c>
      <c r="B178" s="140">
        <v>4484.5600000000004</v>
      </c>
      <c r="C178" s="140">
        <v>5467.32</v>
      </c>
      <c r="D178" s="140">
        <v>3475.54</v>
      </c>
      <c r="E178" s="140">
        <v>1153.0999999999999</v>
      </c>
      <c r="F178" s="140">
        <v>5536.96</v>
      </c>
      <c r="G178" s="140">
        <v>4629.95</v>
      </c>
      <c r="H178" s="29">
        <f>SUM(A178:G178)+I175</f>
        <v>59750.94</v>
      </c>
      <c r="I178" s="140"/>
      <c r="K178" s="152">
        <v>3611</v>
      </c>
      <c r="L178" s="152">
        <v>1260</v>
      </c>
      <c r="M178" s="152">
        <v>3846</v>
      </c>
      <c r="N178" s="152">
        <v>15</v>
      </c>
      <c r="O178" s="152">
        <v>4776</v>
      </c>
      <c r="P178" s="152">
        <v>735</v>
      </c>
      <c r="Q178" s="152">
        <v>1552</v>
      </c>
      <c r="R178" s="152">
        <v>47</v>
      </c>
      <c r="S178" s="152">
        <v>536</v>
      </c>
      <c r="T178" s="152">
        <v>235</v>
      </c>
      <c r="U178" s="152">
        <v>4116</v>
      </c>
      <c r="V178" s="152">
        <v>755</v>
      </c>
      <c r="W178" s="152">
        <v>4146</v>
      </c>
      <c r="X178" s="152">
        <v>205</v>
      </c>
    </row>
    <row r="179" spans="1:24" ht="15" thickBot="1" x14ac:dyDescent="0.35">
      <c r="A179" s="172">
        <f t="shared" ref="A179:H179" si="46">A177-A178</f>
        <v>0</v>
      </c>
      <c r="B179" s="172">
        <f t="shared" si="46"/>
        <v>0</v>
      </c>
      <c r="C179" s="172">
        <f t="shared" si="46"/>
        <v>0</v>
      </c>
      <c r="D179" s="172">
        <f t="shared" si="46"/>
        <v>0</v>
      </c>
      <c r="E179" s="172">
        <f t="shared" si="46"/>
        <v>0</v>
      </c>
      <c r="F179" s="172">
        <f t="shared" si="46"/>
        <v>0</v>
      </c>
      <c r="G179" s="172">
        <f t="shared" si="46"/>
        <v>0</v>
      </c>
      <c r="H179" s="172">
        <f t="shared" si="46"/>
        <v>0</v>
      </c>
      <c r="I179" s="172"/>
      <c r="K179" s="172">
        <f>K177-K178</f>
        <v>0</v>
      </c>
      <c r="L179" s="172">
        <f>L177-L178</f>
        <v>0</v>
      </c>
      <c r="M179" s="172">
        <f t="shared" ref="M179:X179" si="47">M177-M178</f>
        <v>0</v>
      </c>
      <c r="N179" s="172">
        <f t="shared" si="47"/>
        <v>0</v>
      </c>
      <c r="O179" s="172">
        <f t="shared" si="47"/>
        <v>0</v>
      </c>
      <c r="P179" s="172">
        <f t="shared" si="47"/>
        <v>0</v>
      </c>
      <c r="Q179" s="172">
        <f t="shared" si="47"/>
        <v>0</v>
      </c>
      <c r="R179" s="172">
        <f t="shared" si="47"/>
        <v>0</v>
      </c>
      <c r="S179" s="172">
        <f t="shared" si="47"/>
        <v>0</v>
      </c>
      <c r="T179" s="172">
        <f t="shared" si="47"/>
        <v>0</v>
      </c>
      <c r="U179" s="172">
        <f t="shared" si="47"/>
        <v>0</v>
      </c>
      <c r="V179" s="172">
        <f t="shared" si="47"/>
        <v>0</v>
      </c>
      <c r="W179" s="172">
        <f t="shared" si="47"/>
        <v>0</v>
      </c>
      <c r="X179" s="172">
        <f t="shared" si="47"/>
        <v>0</v>
      </c>
    </row>
    <row r="180" spans="1:24" ht="15" thickBot="1" x14ac:dyDescent="0.35"/>
    <row r="181" spans="1:24" x14ac:dyDescent="0.3">
      <c r="A181" s="157">
        <v>46239</v>
      </c>
      <c r="B181" s="157">
        <v>46240</v>
      </c>
      <c r="C181" s="157">
        <v>46241</v>
      </c>
      <c r="D181" s="157">
        <v>46242</v>
      </c>
      <c r="E181" s="157">
        <v>46243</v>
      </c>
      <c r="F181" s="157">
        <v>46244</v>
      </c>
      <c r="G181" s="157">
        <v>46245</v>
      </c>
      <c r="H181" s="157"/>
      <c r="I181" s="13" t="s">
        <v>8</v>
      </c>
      <c r="K181" s="59">
        <v>46239</v>
      </c>
      <c r="L181" s="59"/>
      <c r="M181" s="59">
        <f>K181+1</f>
        <v>46240</v>
      </c>
      <c r="N181" s="59"/>
      <c r="O181" s="59">
        <f>M181+1</f>
        <v>46241</v>
      </c>
      <c r="P181" s="59"/>
      <c r="Q181" s="59">
        <f>O181+1</f>
        <v>46242</v>
      </c>
      <c r="R181" s="59"/>
      <c r="S181" s="59">
        <f>Q181+1</f>
        <v>46243</v>
      </c>
      <c r="T181" s="59"/>
      <c r="U181" s="59">
        <f>S181+1</f>
        <v>46244</v>
      </c>
      <c r="V181" s="59"/>
      <c r="W181" s="59">
        <f>U181+1</f>
        <v>46245</v>
      </c>
      <c r="X181" s="59"/>
    </row>
    <row r="182" spans="1:24" ht="15" thickBot="1" x14ac:dyDescent="0.35">
      <c r="A182" s="22">
        <v>403.68</v>
      </c>
      <c r="B182" s="22">
        <v>390</v>
      </c>
      <c r="C182" s="22">
        <v>430</v>
      </c>
      <c r="D182" s="22">
        <v>130</v>
      </c>
      <c r="E182" s="22">
        <v>955</v>
      </c>
      <c r="F182" s="22">
        <v>516.78</v>
      </c>
      <c r="G182" s="22">
        <v>526.84</v>
      </c>
      <c r="H182" s="160"/>
      <c r="I182" s="174">
        <v>3136.55</v>
      </c>
      <c r="K182" s="124" t="s">
        <v>10</v>
      </c>
      <c r="L182" s="125" t="s">
        <v>11</v>
      </c>
      <c r="M182" s="126" t="s">
        <v>10</v>
      </c>
      <c r="N182" s="126" t="s">
        <v>11</v>
      </c>
      <c r="O182" s="126" t="s">
        <v>10</v>
      </c>
      <c r="P182" s="126" t="s">
        <v>11</v>
      </c>
      <c r="Q182" s="126"/>
      <c r="R182" s="126" t="s">
        <v>11</v>
      </c>
      <c r="S182" s="126" t="s">
        <v>10</v>
      </c>
      <c r="T182" s="126" t="s">
        <v>11</v>
      </c>
      <c r="U182" s="126" t="s">
        <v>10</v>
      </c>
      <c r="V182" s="126" t="s">
        <v>11</v>
      </c>
      <c r="W182" s="126" t="s">
        <v>10</v>
      </c>
      <c r="X182" s="143" t="s">
        <v>11</v>
      </c>
    </row>
    <row r="183" spans="1:24" x14ac:dyDescent="0.3">
      <c r="A183" s="22">
        <v>2540</v>
      </c>
      <c r="B183" s="22">
        <v>2685</v>
      </c>
      <c r="C183" s="22">
        <v>3137.5</v>
      </c>
      <c r="D183" s="22">
        <v>2115</v>
      </c>
      <c r="E183" s="22"/>
      <c r="F183" s="22">
        <v>3532.5</v>
      </c>
      <c r="G183" s="22">
        <v>2866.55</v>
      </c>
      <c r="H183" s="65"/>
      <c r="I183" s="174">
        <v>476.24</v>
      </c>
      <c r="K183" s="24">
        <v>210</v>
      </c>
      <c r="L183" s="56">
        <v>15</v>
      </c>
      <c r="M183" s="22">
        <v>490</v>
      </c>
      <c r="N183" s="22">
        <v>15</v>
      </c>
      <c r="O183" s="22">
        <v>370</v>
      </c>
      <c r="P183" s="43">
        <v>15</v>
      </c>
      <c r="Q183" s="37">
        <v>32</v>
      </c>
      <c r="R183" s="37">
        <v>15</v>
      </c>
      <c r="S183" s="37">
        <v>70</v>
      </c>
      <c r="T183" s="37">
        <v>15</v>
      </c>
      <c r="U183" s="22">
        <v>460</v>
      </c>
      <c r="V183" s="22">
        <v>15</v>
      </c>
      <c r="W183" s="22">
        <v>32</v>
      </c>
      <c r="X183" s="22">
        <v>15</v>
      </c>
    </row>
    <row r="184" spans="1:24" x14ac:dyDescent="0.3">
      <c r="A184" s="22">
        <v>2173.13</v>
      </c>
      <c r="B184" s="44">
        <v>2003.13</v>
      </c>
      <c r="C184" s="22">
        <v>2003.13</v>
      </c>
      <c r="D184" s="22">
        <v>1422.12</v>
      </c>
      <c r="E184" s="46"/>
      <c r="F184" s="1"/>
      <c r="G184" s="22">
        <v>2173.13</v>
      </c>
      <c r="H184" s="160"/>
      <c r="I184" s="174">
        <v>2643.68</v>
      </c>
      <c r="K184" s="24">
        <v>486</v>
      </c>
      <c r="L184" s="56">
        <v>32</v>
      </c>
      <c r="M184" s="22">
        <v>584</v>
      </c>
      <c r="N184" s="22">
        <v>32</v>
      </c>
      <c r="O184" s="22">
        <v>704</v>
      </c>
      <c r="P184" s="43">
        <v>32</v>
      </c>
      <c r="Q184" s="37">
        <v>210</v>
      </c>
      <c r="R184" s="37">
        <v>30</v>
      </c>
      <c r="S184" s="37">
        <v>126</v>
      </c>
      <c r="T184" s="37"/>
      <c r="U184" s="22">
        <v>672</v>
      </c>
      <c r="V184" s="22">
        <v>60</v>
      </c>
      <c r="W184" s="22">
        <v>440</v>
      </c>
      <c r="X184" s="22">
        <v>60</v>
      </c>
    </row>
    <row r="185" spans="1:24" x14ac:dyDescent="0.3">
      <c r="A185" s="22"/>
      <c r="B185" s="41"/>
      <c r="C185" s="22" t="s">
        <v>14</v>
      </c>
      <c r="D185" s="22"/>
      <c r="E185" s="22"/>
      <c r="F185" s="22"/>
      <c r="G185" s="22"/>
      <c r="H185" s="65"/>
      <c r="I185" s="174">
        <v>8166.24</v>
      </c>
      <c r="K185" s="24">
        <v>3075</v>
      </c>
      <c r="L185" s="56">
        <v>509.7</v>
      </c>
      <c r="M185" s="44">
        <v>2580</v>
      </c>
      <c r="N185" s="22">
        <v>223</v>
      </c>
      <c r="O185" s="22">
        <v>3490</v>
      </c>
      <c r="P185" s="43">
        <v>244.5</v>
      </c>
      <c r="Q185" s="37">
        <v>480</v>
      </c>
      <c r="R185" s="37">
        <v>32</v>
      </c>
      <c r="S185" s="37">
        <v>310</v>
      </c>
      <c r="T185" s="37"/>
      <c r="U185" s="22">
        <v>3360</v>
      </c>
      <c r="V185" s="22"/>
      <c r="W185" s="22">
        <v>494</v>
      </c>
      <c r="X185" s="22">
        <v>180</v>
      </c>
    </row>
    <row r="186" spans="1:24" x14ac:dyDescent="0.3">
      <c r="A186" s="22"/>
      <c r="B186" s="22"/>
      <c r="C186" s="22"/>
      <c r="D186" s="22"/>
      <c r="E186" s="22"/>
      <c r="F186" s="22"/>
      <c r="G186" s="22"/>
      <c r="H186" s="160"/>
      <c r="I186" s="174">
        <v>1059.3</v>
      </c>
      <c r="K186" s="24">
        <v>210</v>
      </c>
      <c r="L186" s="56">
        <v>1260</v>
      </c>
      <c r="M186" s="41">
        <v>210</v>
      </c>
      <c r="N186" s="22">
        <v>1875</v>
      </c>
      <c r="O186" s="22">
        <v>500</v>
      </c>
      <c r="P186" s="22">
        <v>32</v>
      </c>
      <c r="Q186" s="37">
        <v>1160</v>
      </c>
      <c r="R186" s="37">
        <v>60</v>
      </c>
      <c r="S186" s="37"/>
      <c r="T186" s="37"/>
      <c r="U186" s="22"/>
      <c r="V186" s="22"/>
      <c r="W186" s="22">
        <v>2510</v>
      </c>
      <c r="X186" s="22"/>
    </row>
    <row r="187" spans="1:24" x14ac:dyDescent="0.3">
      <c r="A187" s="22"/>
      <c r="B187" s="22"/>
      <c r="C187" s="22"/>
      <c r="D187" s="22"/>
      <c r="E187" s="22"/>
      <c r="F187" s="22"/>
      <c r="G187" s="22"/>
      <c r="H187" s="65"/>
      <c r="I187" s="174">
        <v>2050.12</v>
      </c>
      <c r="K187" s="24"/>
      <c r="L187" s="56"/>
      <c r="M187" s="22"/>
      <c r="N187" s="22"/>
      <c r="O187" s="22"/>
      <c r="P187" s="22"/>
      <c r="Q187" s="22"/>
      <c r="R187" s="37">
        <v>238</v>
      </c>
      <c r="S187" s="37"/>
      <c r="T187" s="37"/>
      <c r="U187" s="22"/>
      <c r="V187" s="22"/>
      <c r="W187" s="22">
        <v>520</v>
      </c>
      <c r="X187" s="22"/>
    </row>
    <row r="188" spans="1:24" x14ac:dyDescent="0.3">
      <c r="A188" s="22"/>
      <c r="B188" s="22"/>
      <c r="C188" s="22"/>
      <c r="D188" s="22"/>
      <c r="E188" s="22"/>
      <c r="F188" s="22"/>
      <c r="G188" s="22"/>
      <c r="H188" s="160"/>
      <c r="I188" s="174">
        <v>5175.7</v>
      </c>
      <c r="K188" s="133"/>
      <c r="L188" s="166"/>
      <c r="M188" s="166"/>
      <c r="N188" s="166"/>
      <c r="O188" s="22"/>
      <c r="P188" s="22"/>
      <c r="Q188" s="22"/>
      <c r="R188" s="37"/>
      <c r="S188" s="166"/>
      <c r="T188" s="37"/>
      <c r="U188" s="22"/>
      <c r="V188" s="166"/>
      <c r="W188" s="166"/>
      <c r="X188" s="166"/>
    </row>
    <row r="189" spans="1:24" x14ac:dyDescent="0.3">
      <c r="A189" s="22"/>
      <c r="B189" s="22"/>
      <c r="C189" s="22"/>
      <c r="D189" s="22"/>
      <c r="E189" s="22"/>
      <c r="F189" s="22"/>
      <c r="G189" s="22"/>
      <c r="H189" s="65"/>
      <c r="I189" s="174">
        <v>1077.03</v>
      </c>
      <c r="K189" s="24"/>
      <c r="L189" s="56"/>
      <c r="M189" s="22"/>
      <c r="N189" s="22"/>
      <c r="O189" s="22"/>
      <c r="P189" s="22"/>
      <c r="Q189" s="22"/>
      <c r="R189" s="22"/>
      <c r="S189" s="22"/>
      <c r="T189" s="37"/>
      <c r="U189" s="22"/>
      <c r="V189" s="22"/>
      <c r="W189" s="22"/>
      <c r="X189" s="22"/>
    </row>
    <row r="190" spans="1:24" x14ac:dyDescent="0.3">
      <c r="A190" s="22"/>
      <c r="B190" s="22"/>
      <c r="C190" s="22"/>
      <c r="D190" s="22"/>
      <c r="E190" s="22"/>
      <c r="F190" s="22"/>
      <c r="G190" s="22"/>
      <c r="H190" s="160"/>
      <c r="I190" s="174">
        <v>6200.14</v>
      </c>
      <c r="K190" s="24"/>
      <c r="L190" s="56"/>
      <c r="M190" s="22"/>
      <c r="N190" s="22"/>
      <c r="O190" s="22"/>
      <c r="P190" s="22"/>
      <c r="Q190" s="22"/>
      <c r="R190" s="22"/>
      <c r="S190" s="22"/>
      <c r="T190" s="37"/>
      <c r="U190" s="22"/>
      <c r="V190" s="22"/>
      <c r="W190" s="22"/>
      <c r="X190" s="22"/>
    </row>
    <row r="191" spans="1:24" x14ac:dyDescent="0.3">
      <c r="A191" s="22"/>
      <c r="B191" s="22"/>
      <c r="C191" s="22"/>
      <c r="D191" s="22"/>
      <c r="E191" s="22"/>
      <c r="F191" s="22"/>
      <c r="G191" s="22"/>
      <c r="H191" s="65"/>
      <c r="I191" s="174">
        <v>1773.19</v>
      </c>
      <c r="K191" s="24"/>
      <c r="L191" s="56"/>
      <c r="M191" s="22"/>
      <c r="N191" s="22"/>
      <c r="O191" s="22"/>
      <c r="P191" s="22"/>
      <c r="Q191" s="22"/>
      <c r="R191" s="22"/>
      <c r="S191" s="22"/>
      <c r="T191" s="37"/>
      <c r="U191" s="22"/>
      <c r="V191" s="22"/>
      <c r="W191" s="22"/>
      <c r="X191" s="22"/>
    </row>
    <row r="192" spans="1:24" x14ac:dyDescent="0.3">
      <c r="A192" s="22"/>
      <c r="B192" s="22"/>
      <c r="C192" s="22"/>
      <c r="D192" s="22"/>
      <c r="E192" s="22"/>
      <c r="F192" s="22"/>
      <c r="G192" s="22"/>
      <c r="H192" s="160"/>
      <c r="I192" s="174"/>
      <c r="K192" s="24"/>
      <c r="L192" s="56"/>
      <c r="M192" s="22"/>
      <c r="N192" s="22"/>
      <c r="O192" s="22"/>
      <c r="P192" s="22" t="s">
        <v>14</v>
      </c>
      <c r="Q192" s="22"/>
      <c r="R192" s="22"/>
      <c r="S192" s="22"/>
      <c r="T192" s="37"/>
      <c r="U192" s="22"/>
      <c r="V192" s="22"/>
      <c r="W192" s="22"/>
      <c r="X192" s="22"/>
    </row>
    <row r="193" spans="1:24" x14ac:dyDescent="0.3">
      <c r="A193" s="22"/>
      <c r="B193" s="22"/>
      <c r="C193" s="22"/>
      <c r="D193" s="22"/>
      <c r="E193" s="22"/>
      <c r="F193" s="22"/>
      <c r="G193" s="22"/>
      <c r="H193" s="65"/>
      <c r="I193" s="174"/>
      <c r="K193" s="24"/>
      <c r="L193" s="56"/>
      <c r="M193" s="22"/>
      <c r="N193" s="22" t="s">
        <v>9</v>
      </c>
      <c r="O193" s="43"/>
      <c r="P193" s="22"/>
      <c r="Q193" s="22"/>
      <c r="R193" s="22"/>
      <c r="S193" s="22"/>
      <c r="T193" s="37"/>
      <c r="U193" s="22" t="s">
        <v>71</v>
      </c>
      <c r="V193" s="22"/>
      <c r="W193" s="22"/>
      <c r="X193" s="22"/>
    </row>
    <row r="194" spans="1:24" ht="15" thickBot="1" x14ac:dyDescent="0.35">
      <c r="A194" s="22"/>
      <c r="B194" s="22"/>
      <c r="C194" s="22"/>
      <c r="D194" s="22"/>
      <c r="E194" s="22"/>
      <c r="F194" s="22"/>
      <c r="G194" s="22"/>
      <c r="H194" s="160"/>
      <c r="I194" s="27"/>
      <c r="K194" s="24"/>
      <c r="L194" s="56"/>
      <c r="M194" s="22"/>
      <c r="N194" s="22"/>
      <c r="O194" s="43"/>
      <c r="P194" s="22"/>
      <c r="Q194" s="22"/>
      <c r="R194" s="22"/>
      <c r="S194" s="22"/>
      <c r="T194" s="37"/>
      <c r="U194" s="22"/>
      <c r="V194" s="22"/>
      <c r="W194" s="22"/>
      <c r="X194" s="22"/>
    </row>
    <row r="195" spans="1:24" ht="15.6" thickTop="1" thickBot="1" x14ac:dyDescent="0.35">
      <c r="A195" s="22"/>
      <c r="B195" s="22"/>
      <c r="C195" s="22"/>
      <c r="D195" s="22"/>
      <c r="E195" s="22"/>
      <c r="F195" s="22"/>
      <c r="G195" s="22"/>
      <c r="H195" s="65"/>
      <c r="I195" s="132">
        <f>SUM(I182:I194)</f>
        <v>31758.189999999995</v>
      </c>
      <c r="K195" s="24"/>
      <c r="L195" s="56"/>
      <c r="M195" s="22"/>
      <c r="N195" s="22"/>
      <c r="O195" s="43"/>
      <c r="P195" s="22"/>
      <c r="Q195" s="22"/>
      <c r="R195" s="22"/>
      <c r="S195" s="22"/>
      <c r="T195" s="37"/>
      <c r="U195" s="22"/>
      <c r="V195" s="22"/>
      <c r="W195" s="22"/>
      <c r="X195" s="22"/>
    </row>
    <row r="196" spans="1:24" ht="15.6" thickTop="1" thickBot="1" x14ac:dyDescent="0.35">
      <c r="A196" s="22"/>
      <c r="B196" s="22"/>
      <c r="C196" s="22"/>
      <c r="D196" s="22"/>
      <c r="E196" s="22"/>
      <c r="F196" s="22"/>
      <c r="G196" s="22"/>
      <c r="H196" s="160"/>
      <c r="I196" s="27"/>
      <c r="K196" s="133"/>
      <c r="L196" s="166"/>
      <c r="M196" s="166"/>
      <c r="N196" s="166"/>
      <c r="O196" s="166"/>
      <c r="P196" s="166"/>
      <c r="Q196" s="166"/>
      <c r="R196" s="166"/>
      <c r="S196" s="166"/>
      <c r="T196" s="167"/>
      <c r="U196" s="22"/>
      <c r="V196" s="166"/>
      <c r="W196" s="166"/>
      <c r="X196" s="166"/>
    </row>
    <row r="197" spans="1:24" ht="15" thickBot="1" x14ac:dyDescent="0.35">
      <c r="A197" s="140">
        <f>SUM(A182:A196)</f>
        <v>5116.8099999999995</v>
      </c>
      <c r="B197" s="140">
        <f t="shared" ref="B197:G197" si="48">SUM(B182:B196)</f>
        <v>5078.13</v>
      </c>
      <c r="C197" s="140">
        <f t="shared" si="48"/>
        <v>5570.63</v>
      </c>
      <c r="D197" s="140">
        <f t="shared" si="48"/>
        <v>3667.12</v>
      </c>
      <c r="E197" s="140">
        <f t="shared" si="48"/>
        <v>955</v>
      </c>
      <c r="F197" s="140">
        <f t="shared" si="48"/>
        <v>4049.2799999999997</v>
      </c>
      <c r="G197" s="140">
        <f t="shared" si="48"/>
        <v>5566.52</v>
      </c>
      <c r="H197" s="29">
        <f>SUM(A197:G197)+I195</f>
        <v>61761.679999999993</v>
      </c>
      <c r="I197" s="150" t="s">
        <v>64</v>
      </c>
      <c r="K197" s="152">
        <f t="shared" ref="K197:V197" si="49">SUM(K182:K196)</f>
        <v>3981</v>
      </c>
      <c r="L197" s="152">
        <f t="shared" si="49"/>
        <v>1816.7</v>
      </c>
      <c r="M197" s="152">
        <f t="shared" si="49"/>
        <v>3864</v>
      </c>
      <c r="N197" s="152">
        <f t="shared" si="49"/>
        <v>2145</v>
      </c>
      <c r="O197" s="152">
        <f t="shared" si="49"/>
        <v>5064</v>
      </c>
      <c r="P197" s="152">
        <f t="shared" si="49"/>
        <v>323.5</v>
      </c>
      <c r="Q197" s="152">
        <f t="shared" si="49"/>
        <v>1882</v>
      </c>
      <c r="R197" s="152">
        <f t="shared" si="49"/>
        <v>375</v>
      </c>
      <c r="S197" s="152">
        <f t="shared" si="49"/>
        <v>506</v>
      </c>
      <c r="T197" s="152">
        <f t="shared" si="49"/>
        <v>15</v>
      </c>
      <c r="U197" s="152">
        <f t="shared" si="49"/>
        <v>4492</v>
      </c>
      <c r="V197" s="152">
        <f t="shared" si="49"/>
        <v>75</v>
      </c>
      <c r="W197" s="152">
        <f>SUM(W182:W196)</f>
        <v>3996</v>
      </c>
      <c r="X197" s="154">
        <f t="shared" ref="X197" si="50">SUM(X182:X196)</f>
        <v>255</v>
      </c>
    </row>
    <row r="198" spans="1:24" ht="15" thickBot="1" x14ac:dyDescent="0.35">
      <c r="A198" s="22">
        <v>5116.8100000000004</v>
      </c>
      <c r="B198" s="22">
        <v>5078.13</v>
      </c>
      <c r="C198" s="22">
        <v>5570.63</v>
      </c>
      <c r="D198" s="22">
        <v>3667.12</v>
      </c>
      <c r="E198" s="22">
        <v>955</v>
      </c>
      <c r="F198" s="22">
        <v>4049.28</v>
      </c>
      <c r="G198" s="22">
        <v>5566.52</v>
      </c>
      <c r="H198" s="29">
        <f>SUM(A198:G198)+I195</f>
        <v>61761.679999999993</v>
      </c>
      <c r="I198" s="140"/>
      <c r="K198" s="152">
        <v>3981</v>
      </c>
      <c r="L198" s="152">
        <v>1816.7</v>
      </c>
      <c r="M198" s="152">
        <v>3864</v>
      </c>
      <c r="N198" s="152">
        <v>2145</v>
      </c>
      <c r="O198" s="152">
        <v>5064</v>
      </c>
      <c r="P198" s="152">
        <v>323.5</v>
      </c>
      <c r="Q198" s="152">
        <v>1882</v>
      </c>
      <c r="R198" s="152">
        <v>375</v>
      </c>
      <c r="S198" s="152">
        <v>506</v>
      </c>
      <c r="T198" s="152">
        <v>15</v>
      </c>
      <c r="U198" s="152">
        <v>4492</v>
      </c>
      <c r="V198" s="152">
        <v>75</v>
      </c>
      <c r="W198" s="152">
        <v>3996</v>
      </c>
      <c r="X198" s="152">
        <v>255</v>
      </c>
    </row>
    <row r="199" spans="1:24" ht="15" thickBot="1" x14ac:dyDescent="0.35">
      <c r="A199" s="172">
        <f t="shared" ref="A199:H199" si="51">A197-A198</f>
        <v>0</v>
      </c>
      <c r="B199" s="172">
        <f t="shared" si="51"/>
        <v>0</v>
      </c>
      <c r="C199" s="172">
        <f t="shared" si="51"/>
        <v>0</v>
      </c>
      <c r="D199" s="172">
        <f t="shared" si="51"/>
        <v>0</v>
      </c>
      <c r="E199" s="172">
        <f t="shared" si="51"/>
        <v>0</v>
      </c>
      <c r="F199" s="172">
        <f t="shared" si="51"/>
        <v>0</v>
      </c>
      <c r="G199" s="172">
        <f t="shared" si="51"/>
        <v>0</v>
      </c>
      <c r="H199" s="172">
        <f t="shared" si="51"/>
        <v>0</v>
      </c>
      <c r="I199" s="172"/>
      <c r="K199" s="172">
        <f>K197-K198</f>
        <v>0</v>
      </c>
      <c r="L199" s="172">
        <f>L197-L198</f>
        <v>0</v>
      </c>
      <c r="M199" s="172">
        <f t="shared" ref="M199:X199" si="52">M197-M198</f>
        <v>0</v>
      </c>
      <c r="N199" s="172">
        <f t="shared" si="52"/>
        <v>0</v>
      </c>
      <c r="O199" s="172">
        <f t="shared" si="52"/>
        <v>0</v>
      </c>
      <c r="P199" s="172">
        <f t="shared" si="52"/>
        <v>0</v>
      </c>
      <c r="Q199" s="172">
        <f t="shared" si="52"/>
        <v>0</v>
      </c>
      <c r="R199" s="172">
        <f t="shared" si="52"/>
        <v>0</v>
      </c>
      <c r="S199" s="172">
        <f t="shared" si="52"/>
        <v>0</v>
      </c>
      <c r="T199" s="172">
        <f t="shared" si="52"/>
        <v>0</v>
      </c>
      <c r="U199" s="172">
        <f t="shared" si="52"/>
        <v>0</v>
      </c>
      <c r="V199" s="172">
        <f t="shared" si="52"/>
        <v>0</v>
      </c>
      <c r="W199" s="172">
        <f t="shared" si="52"/>
        <v>0</v>
      </c>
      <c r="X199" s="172">
        <f t="shared" si="52"/>
        <v>0</v>
      </c>
    </row>
    <row r="200" spans="1:24" ht="15" thickBot="1" x14ac:dyDescent="0.35"/>
    <row r="201" spans="1:24" x14ac:dyDescent="0.3">
      <c r="A201" s="157">
        <v>46246</v>
      </c>
      <c r="B201" s="157">
        <v>46247</v>
      </c>
      <c r="C201" s="157">
        <v>46248</v>
      </c>
      <c r="D201" s="157">
        <v>46249</v>
      </c>
      <c r="E201" s="157">
        <v>46250</v>
      </c>
      <c r="F201" s="157">
        <v>46251</v>
      </c>
      <c r="G201" s="157">
        <v>46252</v>
      </c>
      <c r="H201" s="157"/>
      <c r="I201" s="13" t="s">
        <v>8</v>
      </c>
      <c r="K201" s="59">
        <v>46246</v>
      </c>
      <c r="L201" s="59"/>
      <c r="M201" s="59">
        <f>K201+1</f>
        <v>46247</v>
      </c>
      <c r="N201" s="59"/>
      <c r="O201" s="59">
        <f>M201+1</f>
        <v>46248</v>
      </c>
      <c r="P201" s="59"/>
      <c r="Q201" s="59">
        <f>O201+1</f>
        <v>46249</v>
      </c>
      <c r="R201" s="59"/>
      <c r="S201" s="59">
        <f>Q201+1</f>
        <v>46250</v>
      </c>
      <c r="T201" s="59"/>
      <c r="U201" s="59">
        <f>S201+1</f>
        <v>46251</v>
      </c>
      <c r="V201" s="59"/>
      <c r="W201" s="59">
        <f>U201+1</f>
        <v>46252</v>
      </c>
      <c r="X201" s="59"/>
    </row>
    <row r="202" spans="1:24" ht="15" thickBot="1" x14ac:dyDescent="0.35">
      <c r="A202" s="22">
        <v>230</v>
      </c>
      <c r="B202" s="22">
        <v>389.94</v>
      </c>
      <c r="C202" s="22">
        <v>423.1</v>
      </c>
      <c r="D202" s="22">
        <v>273.10000000000002</v>
      </c>
      <c r="E202" s="22">
        <v>148.1</v>
      </c>
      <c r="F202" s="22">
        <v>434.94</v>
      </c>
      <c r="G202" s="22">
        <v>504.94</v>
      </c>
      <c r="H202" s="160"/>
      <c r="I202" s="174">
        <v>1528.68</v>
      </c>
      <c r="K202" s="124" t="s">
        <v>10</v>
      </c>
      <c r="L202" s="125" t="s">
        <v>11</v>
      </c>
      <c r="M202" s="126" t="s">
        <v>10</v>
      </c>
      <c r="N202" s="126" t="s">
        <v>11</v>
      </c>
      <c r="O202" s="126" t="s">
        <v>10</v>
      </c>
      <c r="P202" s="126" t="s">
        <v>11</v>
      </c>
      <c r="Q202" s="126"/>
      <c r="R202" s="126" t="s">
        <v>11</v>
      </c>
      <c r="S202" s="126" t="s">
        <v>10</v>
      </c>
      <c r="T202" s="126" t="s">
        <v>11</v>
      </c>
      <c r="U202" s="126" t="s">
        <v>10</v>
      </c>
      <c r="V202" s="126" t="s">
        <v>11</v>
      </c>
      <c r="W202" s="126" t="s">
        <v>10</v>
      </c>
      <c r="X202" s="143" t="s">
        <v>11</v>
      </c>
    </row>
    <row r="203" spans="1:24" x14ac:dyDescent="0.3">
      <c r="A203" s="22">
        <v>158.68</v>
      </c>
      <c r="B203" s="22">
        <v>2785</v>
      </c>
      <c r="C203" s="22">
        <v>3205</v>
      </c>
      <c r="D203" s="22">
        <v>2105</v>
      </c>
      <c r="E203" s="22">
        <v>815</v>
      </c>
      <c r="F203" s="22">
        <v>3575</v>
      </c>
      <c r="G203" s="22">
        <v>3450</v>
      </c>
      <c r="H203" s="65"/>
      <c r="I203" s="174">
        <v>907.36</v>
      </c>
      <c r="K203" s="24">
        <v>460</v>
      </c>
      <c r="L203" s="56">
        <v>15</v>
      </c>
      <c r="M203" s="22">
        <v>550</v>
      </c>
      <c r="N203" s="22">
        <v>15</v>
      </c>
      <c r="O203" s="22">
        <v>500</v>
      </c>
      <c r="P203" s="43">
        <v>15</v>
      </c>
      <c r="Q203" s="37">
        <v>260</v>
      </c>
      <c r="R203" s="37">
        <v>15</v>
      </c>
      <c r="S203" s="37">
        <v>156</v>
      </c>
      <c r="T203" s="37">
        <v>15</v>
      </c>
      <c r="U203" s="22">
        <v>490</v>
      </c>
      <c r="V203" s="22">
        <v>15</v>
      </c>
      <c r="W203" s="22">
        <v>32</v>
      </c>
      <c r="X203" s="22">
        <v>15</v>
      </c>
    </row>
    <row r="204" spans="1:24" x14ac:dyDescent="0.3">
      <c r="A204" s="22">
        <v>1440</v>
      </c>
      <c r="B204" s="44">
        <v>2104.29</v>
      </c>
      <c r="C204" s="22">
        <v>2240.5700000000002</v>
      </c>
      <c r="D204" s="22">
        <v>1700.54</v>
      </c>
      <c r="E204" s="46"/>
      <c r="F204" s="1">
        <v>1519.59</v>
      </c>
      <c r="G204" s="22">
        <v>2451.5500000000002</v>
      </c>
      <c r="H204" s="160"/>
      <c r="I204" s="174">
        <v>6805.2</v>
      </c>
      <c r="K204" s="24">
        <v>486</v>
      </c>
      <c r="L204" s="56">
        <v>60</v>
      </c>
      <c r="M204" s="22">
        <v>584</v>
      </c>
      <c r="N204" s="22">
        <v>98</v>
      </c>
      <c r="O204" s="22">
        <v>704</v>
      </c>
      <c r="P204" s="43"/>
      <c r="Q204" s="37">
        <v>380</v>
      </c>
      <c r="R204" s="37">
        <v>110</v>
      </c>
      <c r="S204" s="37">
        <v>530</v>
      </c>
      <c r="T204" s="37"/>
      <c r="U204" s="22">
        <v>576</v>
      </c>
      <c r="V204" s="22"/>
      <c r="W204" s="22">
        <v>580</v>
      </c>
      <c r="X204" s="22"/>
    </row>
    <row r="205" spans="1:24" x14ac:dyDescent="0.3">
      <c r="A205" s="22">
        <v>1297.5</v>
      </c>
      <c r="B205" s="41"/>
      <c r="C205" s="22"/>
      <c r="D205" s="22"/>
      <c r="E205" s="22"/>
      <c r="F205" s="22"/>
      <c r="G205" s="22"/>
      <c r="H205" s="65"/>
      <c r="I205" s="174">
        <v>2663.68</v>
      </c>
      <c r="K205" s="24">
        <v>3380</v>
      </c>
      <c r="L205" s="56"/>
      <c r="M205" s="44">
        <v>2420</v>
      </c>
      <c r="N205" s="22">
        <v>120</v>
      </c>
      <c r="O205" s="22">
        <v>4205</v>
      </c>
      <c r="P205" s="43"/>
      <c r="Q205" s="37">
        <v>1420</v>
      </c>
      <c r="R205" s="37">
        <v>301.8</v>
      </c>
      <c r="S205" s="37"/>
      <c r="T205" s="37"/>
      <c r="U205" s="22">
        <v>3445</v>
      </c>
      <c r="V205" s="22"/>
      <c r="W205" s="22">
        <v>494</v>
      </c>
      <c r="X205" s="22"/>
    </row>
    <row r="206" spans="1:24" x14ac:dyDescent="0.3">
      <c r="A206" s="22">
        <v>2121.85</v>
      </c>
      <c r="B206" s="22"/>
      <c r="C206" s="22"/>
      <c r="D206" s="22"/>
      <c r="E206" s="22"/>
      <c r="F206" s="22"/>
      <c r="G206" s="22"/>
      <c r="H206" s="160"/>
      <c r="I206" s="174">
        <v>689.08</v>
      </c>
      <c r="K206" s="24">
        <v>810</v>
      </c>
      <c r="L206" s="56"/>
      <c r="M206" s="41">
        <v>280</v>
      </c>
      <c r="N206" s="22"/>
      <c r="O206" s="22">
        <v>360</v>
      </c>
      <c r="P206" s="22"/>
      <c r="Q206" s="37"/>
      <c r="R206" s="37"/>
      <c r="S206" s="37"/>
      <c r="T206" s="37"/>
      <c r="U206" s="22">
        <v>360</v>
      </c>
      <c r="V206" s="22"/>
      <c r="W206" s="22">
        <v>2680</v>
      </c>
      <c r="X206" s="22"/>
    </row>
    <row r="207" spans="1:24" x14ac:dyDescent="0.3">
      <c r="A207" s="22"/>
      <c r="B207" s="22"/>
      <c r="C207" s="22"/>
      <c r="D207" s="22"/>
      <c r="E207" s="22"/>
      <c r="F207" s="22"/>
      <c r="G207" s="22"/>
      <c r="H207" s="65"/>
      <c r="I207" s="174">
        <v>476.24</v>
      </c>
      <c r="K207" s="24"/>
      <c r="L207" s="56"/>
      <c r="M207" s="22"/>
      <c r="N207" s="22"/>
      <c r="O207" s="22"/>
      <c r="P207" s="22"/>
      <c r="Q207" s="22"/>
      <c r="R207" s="37"/>
      <c r="S207" s="37"/>
      <c r="T207" s="37"/>
      <c r="U207" s="22"/>
      <c r="V207" s="22"/>
      <c r="W207" s="22">
        <v>300</v>
      </c>
      <c r="X207" s="22"/>
    </row>
    <row r="208" spans="1:24" x14ac:dyDescent="0.3">
      <c r="A208" s="22"/>
      <c r="B208" s="22"/>
      <c r="C208" s="22"/>
      <c r="D208" s="22"/>
      <c r="E208" s="22"/>
      <c r="F208" s="22"/>
      <c r="G208" s="22"/>
      <c r="H208" s="160"/>
      <c r="I208" s="174">
        <v>907.36</v>
      </c>
      <c r="K208" s="133"/>
      <c r="L208" s="166"/>
      <c r="M208" s="166"/>
      <c r="N208" s="166"/>
      <c r="O208" s="22"/>
      <c r="P208" s="22"/>
      <c r="Q208" s="22"/>
      <c r="R208" s="37"/>
      <c r="S208" s="166"/>
      <c r="T208" s="37"/>
      <c r="U208" s="22"/>
      <c r="V208" s="166"/>
      <c r="W208" s="22"/>
      <c r="X208" s="166"/>
    </row>
    <row r="209" spans="1:24" x14ac:dyDescent="0.3">
      <c r="A209" s="22"/>
      <c r="B209" s="22"/>
      <c r="C209" s="22"/>
      <c r="D209" s="22"/>
      <c r="E209" s="22"/>
      <c r="F209" s="22"/>
      <c r="G209" s="22"/>
      <c r="H209" s="65"/>
      <c r="I209" s="174">
        <v>3115</v>
      </c>
      <c r="K209" s="24"/>
      <c r="L209" s="56"/>
      <c r="M209" s="22"/>
      <c r="N209" s="22"/>
      <c r="O209" s="22"/>
      <c r="P209" s="22"/>
      <c r="Q209" s="22"/>
      <c r="R209" s="22"/>
      <c r="S209" s="22"/>
      <c r="T209" s="37"/>
      <c r="U209" s="22"/>
      <c r="V209" s="22"/>
      <c r="W209" s="22"/>
      <c r="X209" s="22"/>
    </row>
    <row r="210" spans="1:24" x14ac:dyDescent="0.3">
      <c r="A210" s="22"/>
      <c r="B210" s="22"/>
      <c r="C210" s="22"/>
      <c r="D210" s="22"/>
      <c r="E210" s="22"/>
      <c r="F210" s="22"/>
      <c r="G210" s="22"/>
      <c r="H210" s="160"/>
      <c r="I210" s="174">
        <v>5005.7</v>
      </c>
      <c r="K210" s="24"/>
      <c r="L210" s="56"/>
      <c r="M210" s="22"/>
      <c r="N210" s="22"/>
      <c r="O210" s="22"/>
      <c r="P210" s="22"/>
      <c r="Q210" s="22"/>
      <c r="R210" s="22"/>
      <c r="S210" s="22"/>
      <c r="T210" s="37"/>
      <c r="U210" s="22"/>
      <c r="V210" s="22"/>
      <c r="W210" s="22"/>
      <c r="X210" s="22"/>
    </row>
    <row r="211" spans="1:24" x14ac:dyDescent="0.3">
      <c r="A211" s="22"/>
      <c r="B211" s="22"/>
      <c r="C211" s="22"/>
      <c r="D211" s="22"/>
      <c r="E211" s="22"/>
      <c r="F211" s="22"/>
      <c r="G211" s="22"/>
      <c r="H211" s="65"/>
      <c r="I211" s="174">
        <v>6200.14</v>
      </c>
      <c r="K211" s="24"/>
      <c r="L211" s="56"/>
      <c r="M211" s="22"/>
      <c r="N211" s="22"/>
      <c r="O211" s="22"/>
      <c r="P211" s="22"/>
      <c r="Q211" s="22"/>
      <c r="R211" s="22"/>
      <c r="S211" s="22"/>
      <c r="T211" s="37"/>
      <c r="U211" s="22"/>
      <c r="V211" s="22"/>
      <c r="W211" s="22"/>
      <c r="X211" s="22"/>
    </row>
    <row r="212" spans="1:24" x14ac:dyDescent="0.3">
      <c r="A212" s="22"/>
      <c r="B212" s="22"/>
      <c r="C212" s="22"/>
      <c r="D212" s="22"/>
      <c r="E212" s="22"/>
      <c r="F212" s="22"/>
      <c r="G212" s="22"/>
      <c r="H212" s="160"/>
      <c r="I212" s="174"/>
      <c r="K212" s="24"/>
      <c r="L212" s="56"/>
      <c r="M212" s="22"/>
      <c r="N212" s="22"/>
      <c r="O212" s="22"/>
      <c r="P212" s="22" t="s">
        <v>14</v>
      </c>
      <c r="Q212" s="22"/>
      <c r="R212" s="22"/>
      <c r="S212" s="22"/>
      <c r="T212" s="37"/>
      <c r="U212" s="22"/>
      <c r="V212" s="22"/>
      <c r="W212" s="22"/>
      <c r="X212" s="22"/>
    </row>
    <row r="213" spans="1:24" x14ac:dyDescent="0.3">
      <c r="A213" s="22"/>
      <c r="B213" s="22"/>
      <c r="C213" s="22"/>
      <c r="D213" s="22"/>
      <c r="E213" s="22"/>
      <c r="F213" s="22"/>
      <c r="G213" s="22"/>
      <c r="H213" s="65"/>
      <c r="I213" s="174"/>
      <c r="K213" s="24"/>
      <c r="L213" s="56"/>
      <c r="M213" s="22"/>
      <c r="N213" s="22" t="s">
        <v>9</v>
      </c>
      <c r="O213" s="43"/>
      <c r="P213" s="22"/>
      <c r="Q213" s="22"/>
      <c r="R213" s="22"/>
      <c r="S213" s="22"/>
      <c r="T213" s="37"/>
      <c r="U213" s="22"/>
      <c r="V213" s="22"/>
      <c r="W213" s="22"/>
      <c r="X213" s="22"/>
    </row>
    <row r="214" spans="1:24" ht="15" thickBot="1" x14ac:dyDescent="0.35">
      <c r="A214" s="22"/>
      <c r="B214" s="22"/>
      <c r="C214" s="22"/>
      <c r="D214" s="22"/>
      <c r="E214" s="22"/>
      <c r="F214" s="22"/>
      <c r="G214" s="22"/>
      <c r="H214" s="160"/>
      <c r="I214" s="27"/>
      <c r="K214" s="24"/>
      <c r="L214" s="56"/>
      <c r="M214" s="22"/>
      <c r="N214" s="22"/>
      <c r="O214" s="43"/>
      <c r="P214" s="22"/>
      <c r="Q214" s="22"/>
      <c r="R214" s="22"/>
      <c r="S214" s="22"/>
      <c r="T214" s="37"/>
      <c r="U214" s="22"/>
      <c r="V214" s="22"/>
      <c r="W214" s="22"/>
      <c r="X214" s="22"/>
    </row>
    <row r="215" spans="1:24" ht="15.6" thickTop="1" thickBot="1" x14ac:dyDescent="0.35">
      <c r="A215" s="22"/>
      <c r="B215" s="22"/>
      <c r="C215" s="22"/>
      <c r="D215" s="22"/>
      <c r="E215" s="22"/>
      <c r="F215" s="22"/>
      <c r="G215" s="22"/>
      <c r="H215" s="65"/>
      <c r="I215" s="132">
        <f>SUM(I202:I214)</f>
        <v>28298.44</v>
      </c>
      <c r="K215" s="24"/>
      <c r="L215" s="56"/>
      <c r="M215" s="22"/>
      <c r="N215" s="22"/>
      <c r="O215" s="43"/>
      <c r="P215" s="22"/>
      <c r="Q215" s="22"/>
      <c r="R215" s="22"/>
      <c r="S215" s="22"/>
      <c r="T215" s="37"/>
      <c r="U215" s="22"/>
      <c r="V215" s="22"/>
      <c r="W215" s="22"/>
      <c r="X215" s="22"/>
    </row>
    <row r="216" spans="1:24" ht="15.6" thickTop="1" thickBot="1" x14ac:dyDescent="0.35">
      <c r="A216" s="22"/>
      <c r="B216" s="22"/>
      <c r="C216" s="22"/>
      <c r="D216" s="22"/>
      <c r="E216" s="22"/>
      <c r="F216" s="22"/>
      <c r="G216" s="22"/>
      <c r="H216" s="160"/>
      <c r="I216" s="27"/>
      <c r="K216" s="133"/>
      <c r="L216" s="166"/>
      <c r="M216" s="166"/>
      <c r="N216" s="166"/>
      <c r="O216" s="166"/>
      <c r="P216" s="166"/>
      <c r="Q216" s="166"/>
      <c r="R216" s="166"/>
      <c r="S216" s="166"/>
      <c r="T216" s="167"/>
      <c r="U216" s="22"/>
      <c r="V216" s="166"/>
      <c r="W216" s="166"/>
      <c r="X216" s="166"/>
    </row>
    <row r="217" spans="1:24" ht="15" thickBot="1" x14ac:dyDescent="0.35">
      <c r="A217" s="140">
        <f>SUM(A202:A216)</f>
        <v>5248.0300000000007</v>
      </c>
      <c r="B217" s="140">
        <v>5279.23</v>
      </c>
      <c r="C217" s="140">
        <f t="shared" ref="C217:G217" si="53">SUM(C202:C216)</f>
        <v>5868.67</v>
      </c>
      <c r="D217" s="140">
        <f t="shared" si="53"/>
        <v>4078.64</v>
      </c>
      <c r="E217" s="140">
        <f t="shared" si="53"/>
        <v>963.1</v>
      </c>
      <c r="F217" s="140">
        <f t="shared" si="53"/>
        <v>5529.53</v>
      </c>
      <c r="G217" s="140">
        <f t="shared" si="53"/>
        <v>6406.49</v>
      </c>
      <c r="H217" s="29">
        <f>SUM(A217:G217)+I215</f>
        <v>61672.12999999999</v>
      </c>
      <c r="I217" s="150" t="s">
        <v>64</v>
      </c>
      <c r="K217" s="152">
        <f t="shared" ref="K217:V217" si="54">SUM(K202:K216)</f>
        <v>5136</v>
      </c>
      <c r="L217" s="152">
        <f t="shared" si="54"/>
        <v>75</v>
      </c>
      <c r="M217" s="152">
        <f t="shared" si="54"/>
        <v>3834</v>
      </c>
      <c r="N217" s="152">
        <f t="shared" si="54"/>
        <v>233</v>
      </c>
      <c r="O217" s="152">
        <f t="shared" si="54"/>
        <v>5769</v>
      </c>
      <c r="P217" s="152">
        <f t="shared" si="54"/>
        <v>15</v>
      </c>
      <c r="Q217" s="152">
        <f t="shared" si="54"/>
        <v>2060</v>
      </c>
      <c r="R217" s="152">
        <f t="shared" si="54"/>
        <v>426.8</v>
      </c>
      <c r="S217" s="152">
        <f t="shared" si="54"/>
        <v>686</v>
      </c>
      <c r="T217" s="152">
        <f t="shared" si="54"/>
        <v>15</v>
      </c>
      <c r="U217" s="152">
        <f t="shared" si="54"/>
        <v>4871</v>
      </c>
      <c r="V217" s="152">
        <f t="shared" si="54"/>
        <v>15</v>
      </c>
      <c r="W217" s="152">
        <f>SUM(W202:W216)</f>
        <v>4086</v>
      </c>
      <c r="X217" s="154">
        <f t="shared" ref="X217" si="55">SUM(X202:X216)</f>
        <v>15</v>
      </c>
    </row>
    <row r="218" spans="1:24" ht="15" thickBot="1" x14ac:dyDescent="0.35">
      <c r="A218" s="140">
        <v>5248.03</v>
      </c>
      <c r="B218" s="140">
        <v>5279.23</v>
      </c>
      <c r="C218" s="140">
        <v>5868.67</v>
      </c>
      <c r="D218" s="140">
        <v>4078.64</v>
      </c>
      <c r="E218" s="140">
        <v>963.1</v>
      </c>
      <c r="F218" s="140">
        <v>5529.53</v>
      </c>
      <c r="G218" s="140">
        <v>6406.49</v>
      </c>
      <c r="H218" s="29">
        <f>SUM(A218:G218)+I215</f>
        <v>61672.12999999999</v>
      </c>
      <c r="I218" s="140"/>
      <c r="K218" s="152">
        <v>5136</v>
      </c>
      <c r="L218" s="152">
        <v>75</v>
      </c>
      <c r="M218" s="152">
        <v>3834</v>
      </c>
      <c r="N218" s="152">
        <v>233</v>
      </c>
      <c r="O218" s="152">
        <v>5769</v>
      </c>
      <c r="P218" s="152">
        <v>15</v>
      </c>
      <c r="Q218" s="152">
        <v>2060</v>
      </c>
      <c r="R218" s="152">
        <v>426.8</v>
      </c>
      <c r="S218" s="152">
        <v>686</v>
      </c>
      <c r="T218" s="152">
        <v>15</v>
      </c>
      <c r="U218" s="152">
        <v>4871</v>
      </c>
      <c r="V218" s="152">
        <v>15</v>
      </c>
      <c r="W218" s="152">
        <v>4086</v>
      </c>
      <c r="X218" s="152">
        <v>15</v>
      </c>
    </row>
    <row r="219" spans="1:24" ht="15" thickBot="1" x14ac:dyDescent="0.35">
      <c r="A219" s="172">
        <f t="shared" ref="A219:H219" si="56">A217-A218</f>
        <v>0</v>
      </c>
      <c r="B219" s="172">
        <f t="shared" si="56"/>
        <v>0</v>
      </c>
      <c r="C219" s="172">
        <f t="shared" si="56"/>
        <v>0</v>
      </c>
      <c r="D219" s="172">
        <f t="shared" si="56"/>
        <v>0</v>
      </c>
      <c r="E219" s="172">
        <f t="shared" si="56"/>
        <v>0</v>
      </c>
      <c r="F219" s="172">
        <f t="shared" si="56"/>
        <v>0</v>
      </c>
      <c r="G219" s="172">
        <f t="shared" si="56"/>
        <v>0</v>
      </c>
      <c r="H219" s="172">
        <f t="shared" si="56"/>
        <v>0</v>
      </c>
      <c r="I219" s="172"/>
      <c r="K219" s="172">
        <f>K217-K218</f>
        <v>0</v>
      </c>
      <c r="L219" s="172">
        <f>L217-L218</f>
        <v>0</v>
      </c>
      <c r="M219" s="172">
        <f t="shared" ref="M219:X219" si="57">M217-M218</f>
        <v>0</v>
      </c>
      <c r="N219" s="172">
        <f t="shared" si="57"/>
        <v>0</v>
      </c>
      <c r="O219" s="172">
        <f t="shared" si="57"/>
        <v>0</v>
      </c>
      <c r="P219" s="172">
        <f t="shared" si="57"/>
        <v>0</v>
      </c>
      <c r="Q219" s="172">
        <f t="shared" si="57"/>
        <v>0</v>
      </c>
      <c r="R219" s="172">
        <f t="shared" si="57"/>
        <v>0</v>
      </c>
      <c r="S219" s="172">
        <f t="shared" si="57"/>
        <v>0</v>
      </c>
      <c r="T219" s="172">
        <f t="shared" si="57"/>
        <v>0</v>
      </c>
      <c r="U219" s="172">
        <f t="shared" si="57"/>
        <v>0</v>
      </c>
      <c r="V219" s="172">
        <f t="shared" si="57"/>
        <v>0</v>
      </c>
      <c r="W219" s="172">
        <f t="shared" si="57"/>
        <v>0</v>
      </c>
      <c r="X219" s="172">
        <f t="shared" si="57"/>
        <v>0</v>
      </c>
    </row>
    <row r="220" spans="1:24" ht="15" thickBot="1" x14ac:dyDescent="0.35"/>
    <row r="221" spans="1:24" x14ac:dyDescent="0.3">
      <c r="A221" s="157">
        <v>46253</v>
      </c>
      <c r="B221" s="157">
        <v>46254</v>
      </c>
      <c r="C221" s="157">
        <v>46255</v>
      </c>
      <c r="D221" s="157">
        <v>46256</v>
      </c>
      <c r="E221" s="157">
        <v>46257</v>
      </c>
      <c r="F221" s="157">
        <v>46258</v>
      </c>
      <c r="G221" s="157">
        <v>46259</v>
      </c>
      <c r="H221" s="157"/>
      <c r="I221" s="13" t="s">
        <v>8</v>
      </c>
      <c r="K221" s="59">
        <v>46253</v>
      </c>
      <c r="L221" s="59"/>
      <c r="M221" s="59">
        <f>K221+1</f>
        <v>46254</v>
      </c>
      <c r="N221" s="59"/>
      <c r="O221" s="59">
        <f>M221+1</f>
        <v>46255</v>
      </c>
      <c r="P221" s="59"/>
      <c r="Q221" s="59">
        <f>O221+1</f>
        <v>46256</v>
      </c>
      <c r="R221" s="59"/>
      <c r="S221" s="59">
        <f>Q221+1</f>
        <v>46257</v>
      </c>
      <c r="T221" s="59"/>
      <c r="U221" s="59">
        <f>S221+1</f>
        <v>46258</v>
      </c>
      <c r="V221" s="59"/>
      <c r="W221" s="59">
        <f>U221+1</f>
        <v>46259</v>
      </c>
      <c r="X221" s="59"/>
    </row>
    <row r="222" spans="1:24" ht="15" thickBot="1" x14ac:dyDescent="0.35">
      <c r="A222" s="22">
        <v>115</v>
      </c>
      <c r="B222" s="22">
        <v>341.84</v>
      </c>
      <c r="C222" s="22">
        <v>473.68</v>
      </c>
      <c r="D222" s="22">
        <v>241.84</v>
      </c>
      <c r="E222" s="22">
        <v>85</v>
      </c>
      <c r="F222" s="22">
        <v>369.94</v>
      </c>
      <c r="G222" s="22">
        <v>473.68</v>
      </c>
      <c r="H222" s="160"/>
      <c r="I222" s="174">
        <v>5345.7</v>
      </c>
      <c r="K222" s="124" t="s">
        <v>10</v>
      </c>
      <c r="L222" s="125" t="s">
        <v>11</v>
      </c>
      <c r="M222" s="126" t="s">
        <v>10</v>
      </c>
      <c r="N222" s="126" t="s">
        <v>11</v>
      </c>
      <c r="O222" s="126" t="s">
        <v>10</v>
      </c>
      <c r="P222" s="126" t="s">
        <v>11</v>
      </c>
      <c r="Q222" s="126"/>
      <c r="R222" s="126" t="s">
        <v>11</v>
      </c>
      <c r="S222" s="126" t="s">
        <v>10</v>
      </c>
      <c r="T222" s="126" t="s">
        <v>11</v>
      </c>
      <c r="U222" s="126" t="s">
        <v>10</v>
      </c>
      <c r="V222" s="126" t="s">
        <v>11</v>
      </c>
      <c r="W222" s="126" t="s">
        <v>10</v>
      </c>
      <c r="X222" s="143" t="s">
        <v>11</v>
      </c>
    </row>
    <row r="223" spans="1:24" x14ac:dyDescent="0.3">
      <c r="A223" s="22">
        <v>95</v>
      </c>
      <c r="B223" s="22">
        <v>2590</v>
      </c>
      <c r="C223" s="22">
        <v>3467.5</v>
      </c>
      <c r="D223" s="22">
        <v>1475</v>
      </c>
      <c r="E223" s="22">
        <v>575</v>
      </c>
      <c r="F223" s="22">
        <v>3312.5</v>
      </c>
      <c r="G223" s="22">
        <v>2280</v>
      </c>
      <c r="H223" s="65"/>
      <c r="I223" s="174">
        <v>4767.2</v>
      </c>
      <c r="K223" s="24">
        <v>640</v>
      </c>
      <c r="L223" s="56">
        <v>15</v>
      </c>
      <c r="M223" s="22">
        <v>640</v>
      </c>
      <c r="N223" s="22">
        <v>15</v>
      </c>
      <c r="O223" s="22">
        <v>490</v>
      </c>
      <c r="P223" s="43">
        <v>15</v>
      </c>
      <c r="Q223" s="37">
        <v>260</v>
      </c>
      <c r="R223" s="37">
        <v>15</v>
      </c>
      <c r="S223" s="37">
        <v>126</v>
      </c>
      <c r="T223" s="37">
        <v>15</v>
      </c>
      <c r="U223" s="22">
        <v>570</v>
      </c>
      <c r="V223" s="22">
        <v>15</v>
      </c>
      <c r="W223" s="22">
        <v>32</v>
      </c>
      <c r="X223" s="22">
        <v>15</v>
      </c>
    </row>
    <row r="224" spans="1:24" x14ac:dyDescent="0.3">
      <c r="A224" s="22">
        <v>930</v>
      </c>
      <c r="B224" s="44">
        <v>2178.9899999999998</v>
      </c>
      <c r="C224" s="22">
        <v>2348.9899999999998</v>
      </c>
      <c r="D224" s="22">
        <v>1422.12</v>
      </c>
      <c r="E224" s="46"/>
      <c r="F224" s="1">
        <v>1746.73</v>
      </c>
      <c r="G224" s="22">
        <v>1658.8</v>
      </c>
      <c r="H224" s="160"/>
      <c r="I224" s="174">
        <v>835.26</v>
      </c>
      <c r="K224" s="24">
        <v>456</v>
      </c>
      <c r="L224" s="56">
        <v>80</v>
      </c>
      <c r="M224" s="22">
        <v>584</v>
      </c>
      <c r="N224" s="22"/>
      <c r="O224" s="22">
        <v>704</v>
      </c>
      <c r="P224" s="43">
        <v>281.39999999999998</v>
      </c>
      <c r="Q224" s="37">
        <v>350</v>
      </c>
      <c r="R224" s="37">
        <v>32</v>
      </c>
      <c r="S224" s="37">
        <v>590</v>
      </c>
      <c r="T224" s="37"/>
      <c r="U224" s="22">
        <v>576</v>
      </c>
      <c r="V224" s="22">
        <v>60</v>
      </c>
      <c r="W224" s="22">
        <v>510</v>
      </c>
      <c r="X224" s="22">
        <v>234.9</v>
      </c>
    </row>
    <row r="225" spans="1:24" x14ac:dyDescent="0.3">
      <c r="A225" s="22">
        <v>1377.5</v>
      </c>
      <c r="B225" s="41"/>
      <c r="C225" s="22"/>
      <c r="D225" s="22"/>
      <c r="E225" s="22"/>
      <c r="F225" s="22"/>
      <c r="G225" s="22"/>
      <c r="H225" s="65"/>
      <c r="I225" s="174">
        <v>3211.55</v>
      </c>
      <c r="K225" s="24">
        <v>3600</v>
      </c>
      <c r="L225" s="56"/>
      <c r="M225" s="44">
        <v>3160</v>
      </c>
      <c r="N225" s="22"/>
      <c r="O225" s="22">
        <v>4120</v>
      </c>
      <c r="P225" s="43">
        <v>61.2</v>
      </c>
      <c r="Q225" s="37">
        <v>1350</v>
      </c>
      <c r="R225" s="37">
        <v>151.4</v>
      </c>
      <c r="S225" s="37"/>
      <c r="T225" s="37"/>
      <c r="U225" s="22">
        <v>3460</v>
      </c>
      <c r="V225" s="22"/>
      <c r="W225" s="22">
        <v>494</v>
      </c>
      <c r="X225" s="22"/>
    </row>
    <row r="226" spans="1:24" x14ac:dyDescent="0.3">
      <c r="A226" s="22">
        <v>2121.85</v>
      </c>
      <c r="B226" s="22"/>
      <c r="C226" s="22"/>
      <c r="D226" s="22"/>
      <c r="E226" s="22"/>
      <c r="F226" s="22"/>
      <c r="G226" s="22"/>
      <c r="H226" s="160"/>
      <c r="I226" s="174">
        <v>907.36</v>
      </c>
      <c r="K226" s="24">
        <v>230</v>
      </c>
      <c r="L226" s="56"/>
      <c r="M226" s="175">
        <v>70</v>
      </c>
      <c r="N226" s="22"/>
      <c r="O226" s="22">
        <v>420</v>
      </c>
      <c r="P226" s="22"/>
      <c r="Q226" s="37"/>
      <c r="R226" s="37"/>
      <c r="S226" s="37"/>
      <c r="T226" s="37"/>
      <c r="U226" s="22">
        <v>140</v>
      </c>
      <c r="V226" s="22"/>
      <c r="W226" s="22">
        <v>3920</v>
      </c>
      <c r="X226" s="22"/>
    </row>
    <row r="227" spans="1:24" x14ac:dyDescent="0.3">
      <c r="A227" s="22"/>
      <c r="B227" s="22"/>
      <c r="C227" s="22"/>
      <c r="D227" s="22"/>
      <c r="E227" s="22"/>
      <c r="F227" s="22"/>
      <c r="G227" s="22"/>
      <c r="H227" s="65"/>
      <c r="I227" s="174">
        <v>2663.68</v>
      </c>
      <c r="K227" s="24"/>
      <c r="L227" s="56"/>
      <c r="M227" s="22"/>
      <c r="N227" s="22"/>
      <c r="O227" s="22"/>
      <c r="P227" s="22"/>
      <c r="Q227" s="22"/>
      <c r="R227" s="37"/>
      <c r="S227" s="37"/>
      <c r="T227" s="37"/>
      <c r="U227" s="22"/>
      <c r="V227" s="22"/>
      <c r="W227" s="22">
        <v>290</v>
      </c>
      <c r="X227" s="22"/>
    </row>
    <row r="228" spans="1:24" x14ac:dyDescent="0.3">
      <c r="A228" s="22"/>
      <c r="B228" s="22"/>
      <c r="C228" s="22"/>
      <c r="D228" s="22"/>
      <c r="E228" s="22"/>
      <c r="F228" s="22"/>
      <c r="G228" s="22"/>
      <c r="H228" s="160"/>
      <c r="I228" s="174">
        <v>6805.2</v>
      </c>
      <c r="K228" s="133"/>
      <c r="L228" s="166"/>
      <c r="M228" s="166"/>
      <c r="N228" s="166"/>
      <c r="O228" s="22"/>
      <c r="P228" s="22"/>
      <c r="Q228" s="22"/>
      <c r="R228" s="37"/>
      <c r="S228" s="166"/>
      <c r="T228" s="37"/>
      <c r="U228" s="22"/>
      <c r="V228" s="166"/>
      <c r="W228" s="22"/>
      <c r="X228" s="166"/>
    </row>
    <row r="229" spans="1:24" x14ac:dyDescent="0.3">
      <c r="A229" s="22"/>
      <c r="B229" s="22"/>
      <c r="C229" s="22"/>
      <c r="D229" s="22"/>
      <c r="E229" s="22"/>
      <c r="F229" s="22"/>
      <c r="G229" s="22"/>
      <c r="H229" s="65"/>
      <c r="I229" s="174">
        <v>1378.16</v>
      </c>
      <c r="K229" s="24"/>
      <c r="L229" s="56"/>
      <c r="M229" s="22"/>
      <c r="N229" s="22"/>
      <c r="O229" s="22"/>
      <c r="P229" s="22"/>
      <c r="Q229" s="22"/>
      <c r="R229" s="22"/>
      <c r="S229" s="22"/>
      <c r="T229" s="37"/>
      <c r="U229" s="22"/>
      <c r="V229" s="22"/>
      <c r="W229" s="22"/>
      <c r="X229" s="22"/>
    </row>
    <row r="230" spans="1:24" x14ac:dyDescent="0.3">
      <c r="A230" s="22"/>
      <c r="B230" s="22"/>
      <c r="C230" s="22"/>
      <c r="D230" s="22"/>
      <c r="E230" s="22"/>
      <c r="F230" s="22"/>
      <c r="G230" s="22"/>
      <c r="H230" s="160"/>
      <c r="I230" s="174">
        <v>1528.68</v>
      </c>
      <c r="K230" s="24"/>
      <c r="L230" s="56"/>
      <c r="M230" s="22"/>
      <c r="N230" s="22"/>
      <c r="O230" s="22"/>
      <c r="P230" s="22"/>
      <c r="Q230" s="22"/>
      <c r="R230" s="22"/>
      <c r="S230" s="22"/>
      <c r="T230" s="37"/>
      <c r="U230" s="22"/>
      <c r="V230" s="22"/>
      <c r="W230" s="22"/>
      <c r="X230" s="22"/>
    </row>
    <row r="231" spans="1:24" x14ac:dyDescent="0.3">
      <c r="A231" s="22"/>
      <c r="B231" s="22"/>
      <c r="C231" s="22"/>
      <c r="D231" s="22"/>
      <c r="E231" s="22"/>
      <c r="F231" s="22"/>
      <c r="G231" s="22"/>
      <c r="H231" s="65"/>
      <c r="I231" s="174">
        <v>865.63</v>
      </c>
      <c r="K231" s="24"/>
      <c r="L231" s="56"/>
      <c r="M231" s="22"/>
      <c r="N231" s="22"/>
      <c r="O231" s="22"/>
      <c r="P231" s="22"/>
      <c r="Q231" s="22"/>
      <c r="R231" s="22"/>
      <c r="S231" s="22"/>
      <c r="T231" s="37"/>
      <c r="U231" s="22"/>
      <c r="V231" s="22"/>
      <c r="W231" s="22"/>
      <c r="X231" s="22"/>
    </row>
    <row r="232" spans="1:24" x14ac:dyDescent="0.3">
      <c r="A232" s="22"/>
      <c r="B232" s="22"/>
      <c r="C232" s="22"/>
      <c r="D232" s="22"/>
      <c r="E232" s="22"/>
      <c r="F232" s="22"/>
      <c r="G232" s="22"/>
      <c r="H232" s="160"/>
      <c r="I232" s="174">
        <v>395.44</v>
      </c>
      <c r="K232" s="24"/>
      <c r="L232" s="56"/>
      <c r="M232" s="22"/>
      <c r="N232" s="22"/>
      <c r="O232" s="22"/>
      <c r="P232" s="22" t="s">
        <v>14</v>
      </c>
      <c r="Q232" s="22"/>
      <c r="R232" s="22"/>
      <c r="S232" s="22"/>
      <c r="T232" s="37"/>
      <c r="U232" s="22"/>
      <c r="V232" s="22"/>
      <c r="W232" s="22"/>
      <c r="X232" s="22"/>
    </row>
    <row r="233" spans="1:24" x14ac:dyDescent="0.3">
      <c r="A233" s="22"/>
      <c r="B233" s="22"/>
      <c r="C233" s="22"/>
      <c r="D233" s="22"/>
      <c r="E233" s="22"/>
      <c r="F233" s="22"/>
      <c r="G233" s="22"/>
      <c r="H233" s="65"/>
      <c r="I233" s="174">
        <v>1389.3</v>
      </c>
      <c r="K233" s="24"/>
      <c r="L233" s="56"/>
      <c r="M233" s="22"/>
      <c r="N233" s="22" t="s">
        <v>9</v>
      </c>
      <c r="O233" s="43"/>
      <c r="P233" s="22"/>
      <c r="Q233" s="22"/>
      <c r="R233" s="22"/>
      <c r="S233" s="22"/>
      <c r="T233" s="37"/>
      <c r="U233" s="22"/>
      <c r="V233" s="22"/>
      <c r="W233" s="22"/>
      <c r="X233" s="22"/>
    </row>
    <row r="234" spans="1:24" ht="15" thickBot="1" x14ac:dyDescent="0.35">
      <c r="A234" s="22"/>
      <c r="B234" s="22"/>
      <c r="C234" s="22"/>
      <c r="D234" s="22"/>
      <c r="E234" s="22"/>
      <c r="F234" s="22"/>
      <c r="G234" s="22"/>
      <c r="H234" s="160"/>
      <c r="I234" s="27"/>
      <c r="K234" s="24"/>
      <c r="L234" s="56"/>
      <c r="M234" s="22"/>
      <c r="N234" s="22"/>
      <c r="O234" s="43"/>
      <c r="P234" s="22"/>
      <c r="Q234" s="22"/>
      <c r="R234" s="22"/>
      <c r="S234" s="22"/>
      <c r="T234" s="37"/>
      <c r="U234" s="22"/>
      <c r="V234" s="22"/>
      <c r="W234" s="22"/>
      <c r="X234" s="22"/>
    </row>
    <row r="235" spans="1:24" ht="15.6" thickTop="1" thickBot="1" x14ac:dyDescent="0.35">
      <c r="A235" s="22"/>
      <c r="B235" s="22"/>
      <c r="C235" s="22"/>
      <c r="D235" s="22"/>
      <c r="E235" s="22"/>
      <c r="F235" s="22"/>
      <c r="G235" s="22"/>
      <c r="H235" s="65"/>
      <c r="I235" s="132">
        <f>SUM(I222:I234)</f>
        <v>30093.16</v>
      </c>
      <c r="K235" s="24"/>
      <c r="L235" s="56"/>
      <c r="M235" s="22"/>
      <c r="N235" s="22"/>
      <c r="O235" s="43"/>
      <c r="P235" s="22"/>
      <c r="Q235" s="22"/>
      <c r="R235" s="22"/>
      <c r="S235" s="22"/>
      <c r="T235" s="37"/>
      <c r="U235" s="22"/>
      <c r="V235" s="22"/>
      <c r="W235" s="22"/>
      <c r="X235" s="22"/>
    </row>
    <row r="236" spans="1:24" ht="15.6" thickTop="1" thickBot="1" x14ac:dyDescent="0.35">
      <c r="A236" s="22"/>
      <c r="B236" s="22"/>
      <c r="C236" s="22"/>
      <c r="D236" s="22"/>
      <c r="E236" s="22"/>
      <c r="F236" s="22"/>
      <c r="G236" s="22"/>
      <c r="H236" s="160"/>
      <c r="I236" s="27"/>
      <c r="K236" s="133"/>
      <c r="L236" s="166"/>
      <c r="M236" s="166"/>
      <c r="N236" s="166"/>
      <c r="O236" s="166"/>
      <c r="P236" s="166"/>
      <c r="Q236" s="166"/>
      <c r="R236" s="166"/>
      <c r="S236" s="166"/>
      <c r="T236" s="167"/>
      <c r="U236" s="22"/>
      <c r="V236" s="166"/>
      <c r="W236" s="166"/>
      <c r="X236" s="166"/>
    </row>
    <row r="237" spans="1:24" ht="15" thickBot="1" x14ac:dyDescent="0.35">
      <c r="A237" s="140">
        <f>SUM(A222:A236)</f>
        <v>4639.3500000000004</v>
      </c>
      <c r="B237" s="140">
        <f t="shared" ref="B237:C237" si="58">SUM(B222:B236)</f>
        <v>5110.83</v>
      </c>
      <c r="C237" s="140">
        <f t="shared" si="58"/>
        <v>6290.17</v>
      </c>
      <c r="D237" s="140">
        <f t="shared" ref="D237:G237" si="59">SUM(D222:D236)</f>
        <v>3138.96</v>
      </c>
      <c r="E237" s="140">
        <f t="shared" si="59"/>
        <v>660</v>
      </c>
      <c r="F237" s="140">
        <f t="shared" si="59"/>
        <v>5429.17</v>
      </c>
      <c r="G237" s="140">
        <f t="shared" si="59"/>
        <v>4412.4799999999996</v>
      </c>
      <c r="H237" s="29">
        <f>SUM(A237:G237)+I235</f>
        <v>59774.12</v>
      </c>
      <c r="I237" s="150" t="s">
        <v>64</v>
      </c>
      <c r="K237" s="152">
        <f t="shared" ref="K237:V237" si="60">SUM(K222:K236)</f>
        <v>4926</v>
      </c>
      <c r="L237" s="152">
        <f t="shared" si="60"/>
        <v>95</v>
      </c>
      <c r="M237" s="152">
        <f t="shared" si="60"/>
        <v>4454</v>
      </c>
      <c r="N237" s="152">
        <f t="shared" si="60"/>
        <v>15</v>
      </c>
      <c r="O237" s="152">
        <f t="shared" si="60"/>
        <v>5734</v>
      </c>
      <c r="P237" s="152">
        <v>357.6</v>
      </c>
      <c r="Q237" s="152">
        <f t="shared" si="60"/>
        <v>1960</v>
      </c>
      <c r="R237" s="152">
        <f t="shared" si="60"/>
        <v>198.4</v>
      </c>
      <c r="S237" s="152">
        <f t="shared" si="60"/>
        <v>716</v>
      </c>
      <c r="T237" s="152">
        <f t="shared" si="60"/>
        <v>15</v>
      </c>
      <c r="U237" s="152">
        <f t="shared" si="60"/>
        <v>4746</v>
      </c>
      <c r="V237" s="152">
        <f t="shared" si="60"/>
        <v>75</v>
      </c>
      <c r="W237" s="152">
        <f>SUM(W222:W236)</f>
        <v>5246</v>
      </c>
      <c r="X237" s="154">
        <f t="shared" ref="X237" si="61">SUM(X222:X236)</f>
        <v>249.9</v>
      </c>
    </row>
    <row r="238" spans="1:24" ht="15" thickBot="1" x14ac:dyDescent="0.35">
      <c r="A238" s="140">
        <v>4639.3500000000004</v>
      </c>
      <c r="B238" s="140">
        <v>5110.83</v>
      </c>
      <c r="C238" s="140">
        <v>6290.17</v>
      </c>
      <c r="D238" s="140">
        <v>3138.96</v>
      </c>
      <c r="E238" s="140">
        <v>660</v>
      </c>
      <c r="F238" s="140">
        <v>5429.17</v>
      </c>
      <c r="G238" s="140">
        <v>4412.4799999999996</v>
      </c>
      <c r="H238" s="29">
        <f>SUM(A238:G238)+I235</f>
        <v>59774.12</v>
      </c>
      <c r="I238" s="140"/>
      <c r="K238" s="152">
        <v>4926</v>
      </c>
      <c r="L238" s="152">
        <v>95</v>
      </c>
      <c r="M238" s="152">
        <v>4454</v>
      </c>
      <c r="N238" s="152">
        <v>15</v>
      </c>
      <c r="O238" s="152">
        <v>5734</v>
      </c>
      <c r="P238" s="152">
        <v>357.6</v>
      </c>
      <c r="Q238" s="152">
        <v>1960</v>
      </c>
      <c r="R238" s="152">
        <v>198.4</v>
      </c>
      <c r="S238" s="152">
        <v>716</v>
      </c>
      <c r="T238" s="152">
        <v>15</v>
      </c>
      <c r="U238" s="152">
        <v>4746</v>
      </c>
      <c r="V238" s="152">
        <v>75</v>
      </c>
      <c r="W238" s="152">
        <v>5246</v>
      </c>
      <c r="X238" s="152">
        <v>249.9</v>
      </c>
    </row>
    <row r="239" spans="1:24" ht="15" thickBot="1" x14ac:dyDescent="0.35">
      <c r="A239" s="172">
        <f t="shared" ref="A239:H239" si="62">A237-A238</f>
        <v>0</v>
      </c>
      <c r="B239" s="172">
        <f t="shared" si="62"/>
        <v>0</v>
      </c>
      <c r="C239" s="172">
        <f t="shared" si="62"/>
        <v>0</v>
      </c>
      <c r="D239" s="172">
        <f t="shared" si="62"/>
        <v>0</v>
      </c>
      <c r="E239" s="172">
        <f t="shared" si="62"/>
        <v>0</v>
      </c>
      <c r="F239" s="172">
        <f t="shared" si="62"/>
        <v>0</v>
      </c>
      <c r="G239" s="172">
        <f t="shared" si="62"/>
        <v>0</v>
      </c>
      <c r="H239" s="172">
        <f t="shared" si="62"/>
        <v>0</v>
      </c>
      <c r="I239" s="172"/>
      <c r="K239" s="172">
        <f>K237-K238</f>
        <v>0</v>
      </c>
      <c r="L239" s="172">
        <f>L237-L238</f>
        <v>0</v>
      </c>
      <c r="M239" s="172">
        <f t="shared" ref="M239:X239" si="63">M237-M238</f>
        <v>0</v>
      </c>
      <c r="N239" s="172">
        <f>K237-K238</f>
        <v>0</v>
      </c>
      <c r="O239" s="172">
        <f>L237-L238</f>
        <v>0</v>
      </c>
      <c r="P239" s="172">
        <f t="shared" si="63"/>
        <v>0</v>
      </c>
      <c r="Q239" s="172">
        <f t="shared" si="63"/>
        <v>0</v>
      </c>
      <c r="R239" s="172">
        <f t="shared" si="63"/>
        <v>0</v>
      </c>
      <c r="S239" s="172">
        <f t="shared" si="63"/>
        <v>0</v>
      </c>
      <c r="T239" s="172">
        <f t="shared" si="63"/>
        <v>0</v>
      </c>
      <c r="U239" s="172">
        <f t="shared" si="63"/>
        <v>0</v>
      </c>
      <c r="V239" s="172">
        <f t="shared" si="63"/>
        <v>0</v>
      </c>
      <c r="W239" s="172">
        <f t="shared" si="63"/>
        <v>0</v>
      </c>
      <c r="X239" s="172">
        <f t="shared" si="63"/>
        <v>0</v>
      </c>
    </row>
    <row r="240" spans="1:24" ht="15" thickBot="1" x14ac:dyDescent="0.35"/>
    <row r="241" spans="1:24" x14ac:dyDescent="0.3">
      <c r="A241" s="157">
        <v>46260</v>
      </c>
      <c r="B241" s="157">
        <v>46261</v>
      </c>
      <c r="C241" s="157">
        <v>46262</v>
      </c>
      <c r="D241" s="157">
        <v>46263</v>
      </c>
      <c r="E241" s="157">
        <v>46264</v>
      </c>
      <c r="F241" s="157">
        <v>46265</v>
      </c>
      <c r="G241" s="157">
        <v>46266</v>
      </c>
      <c r="H241" s="157"/>
      <c r="I241" s="13" t="s">
        <v>8</v>
      </c>
      <c r="K241" s="59">
        <v>46260</v>
      </c>
      <c r="L241" s="59"/>
      <c r="M241" s="59">
        <f>K241+1</f>
        <v>46261</v>
      </c>
      <c r="N241" s="59"/>
      <c r="O241" s="59">
        <f>M241+1</f>
        <v>46262</v>
      </c>
      <c r="P241" s="59"/>
      <c r="Q241" s="59">
        <f>O241+1</f>
        <v>46263</v>
      </c>
      <c r="R241" s="59"/>
      <c r="S241" s="59">
        <f>Q241+1</f>
        <v>46264</v>
      </c>
      <c r="T241" s="59"/>
      <c r="U241" s="59">
        <f>S241+1</f>
        <v>46265</v>
      </c>
      <c r="V241" s="59"/>
      <c r="W241" s="59">
        <f>U241+1</f>
        <v>46266</v>
      </c>
      <c r="X241" s="59"/>
    </row>
    <row r="242" spans="1:24" ht="15" thickBot="1" x14ac:dyDescent="0.35">
      <c r="A242" s="22">
        <v>401.78</v>
      </c>
      <c r="B242" s="22"/>
      <c r="C242" s="22"/>
      <c r="D242" s="22"/>
      <c r="E242" s="22"/>
      <c r="F242" s="22"/>
      <c r="G242" s="22"/>
      <c r="H242" s="160"/>
      <c r="I242" s="174"/>
      <c r="K242" s="124" t="s">
        <v>10</v>
      </c>
      <c r="L242" s="125" t="s">
        <v>11</v>
      </c>
      <c r="M242" s="126" t="s">
        <v>10</v>
      </c>
      <c r="N242" s="126" t="s">
        <v>11</v>
      </c>
      <c r="O242" s="126" t="s">
        <v>10</v>
      </c>
      <c r="P242" s="126" t="s">
        <v>11</v>
      </c>
      <c r="Q242" s="126"/>
      <c r="R242" s="126" t="s">
        <v>11</v>
      </c>
      <c r="S242" s="126" t="s">
        <v>10</v>
      </c>
      <c r="T242" s="126" t="s">
        <v>11</v>
      </c>
      <c r="U242" s="126" t="s">
        <v>10</v>
      </c>
      <c r="V242" s="126" t="s">
        <v>11</v>
      </c>
      <c r="W242" s="126" t="s">
        <v>10</v>
      </c>
      <c r="X242" s="143" t="s">
        <v>11</v>
      </c>
    </row>
    <row r="243" spans="1:24" x14ac:dyDescent="0.3">
      <c r="A243" s="22">
        <v>2697.5</v>
      </c>
      <c r="B243" s="22"/>
      <c r="C243" s="22"/>
      <c r="D243" s="22"/>
      <c r="E243" s="22"/>
      <c r="F243" s="22"/>
      <c r="G243" s="22"/>
      <c r="H243" s="65"/>
      <c r="I243" s="174"/>
      <c r="K243" s="24">
        <v>490</v>
      </c>
      <c r="L243" s="56">
        <v>15</v>
      </c>
      <c r="M243" s="22"/>
      <c r="N243" s="22"/>
      <c r="O243" s="22"/>
      <c r="P243" s="43"/>
      <c r="Q243" s="37"/>
      <c r="R243" s="37"/>
      <c r="S243" s="37"/>
      <c r="T243" s="37"/>
      <c r="U243" s="22"/>
      <c r="V243" s="22"/>
      <c r="W243" s="22"/>
      <c r="X243" s="22"/>
    </row>
    <row r="244" spans="1:24" x14ac:dyDescent="0.3">
      <c r="A244" s="22">
        <v>1798.01</v>
      </c>
      <c r="B244" s="44"/>
      <c r="C244" s="22"/>
      <c r="D244" s="22"/>
      <c r="E244" s="46"/>
      <c r="F244" s="1"/>
      <c r="G244" s="22"/>
      <c r="H244" s="160"/>
      <c r="I244" s="174"/>
      <c r="K244" s="24">
        <v>486</v>
      </c>
      <c r="L244" s="56">
        <v>960</v>
      </c>
      <c r="M244" s="22"/>
      <c r="N244" s="22"/>
      <c r="O244" s="22"/>
      <c r="P244" s="43"/>
      <c r="Q244" s="37"/>
      <c r="R244" s="37"/>
      <c r="S244" s="37"/>
      <c r="T244" s="37"/>
      <c r="U244" s="22"/>
      <c r="V244" s="22"/>
      <c r="W244" s="22"/>
      <c r="X244" s="22"/>
    </row>
    <row r="245" spans="1:24" x14ac:dyDescent="0.3">
      <c r="A245" s="22"/>
      <c r="B245" s="41"/>
      <c r="C245" s="22"/>
      <c r="D245" s="22"/>
      <c r="E245" s="22"/>
      <c r="F245" s="22"/>
      <c r="G245" s="22"/>
      <c r="H245" s="65"/>
      <c r="I245" s="174"/>
      <c r="K245" s="24">
        <v>3530</v>
      </c>
      <c r="L245" s="56"/>
      <c r="M245" s="44"/>
      <c r="N245" s="22"/>
      <c r="O245" s="22"/>
      <c r="P245" s="43"/>
      <c r="Q245" s="37"/>
      <c r="R245" s="37"/>
      <c r="S245" s="37"/>
      <c r="T245" s="37"/>
      <c r="U245" s="22"/>
      <c r="V245" s="22"/>
      <c r="W245" s="22"/>
      <c r="X245" s="22"/>
    </row>
    <row r="246" spans="1:24" x14ac:dyDescent="0.3">
      <c r="A246" s="22"/>
      <c r="B246" s="22"/>
      <c r="C246" s="22"/>
      <c r="D246" s="22"/>
      <c r="E246" s="22"/>
      <c r="F246" s="22"/>
      <c r="G246" s="22"/>
      <c r="H246" s="160"/>
      <c r="I246" s="174"/>
      <c r="K246" s="24">
        <v>80</v>
      </c>
      <c r="L246" s="56"/>
      <c r="M246" s="175"/>
      <c r="N246" s="22"/>
      <c r="O246" s="22"/>
      <c r="P246" s="22"/>
      <c r="Q246" s="37"/>
      <c r="R246" s="37"/>
      <c r="S246" s="37"/>
      <c r="T246" s="37"/>
      <c r="U246" s="22"/>
      <c r="V246" s="22"/>
      <c r="W246" s="22"/>
      <c r="X246" s="22"/>
    </row>
    <row r="247" spans="1:24" x14ac:dyDescent="0.3">
      <c r="A247" s="22"/>
      <c r="B247" s="22"/>
      <c r="C247" s="22"/>
      <c r="D247" s="22"/>
      <c r="E247" s="22"/>
      <c r="F247" s="22"/>
      <c r="G247" s="22"/>
      <c r="H247" s="65"/>
      <c r="I247" s="174"/>
      <c r="K247" s="24"/>
      <c r="L247" s="56"/>
      <c r="M247" s="22"/>
      <c r="N247" s="22"/>
      <c r="O247" s="22"/>
      <c r="P247" s="22"/>
      <c r="Q247" s="22"/>
      <c r="R247" s="37"/>
      <c r="S247" s="37"/>
      <c r="T247" s="37"/>
      <c r="U247" s="22"/>
      <c r="V247" s="22"/>
      <c r="W247" s="22"/>
      <c r="X247" s="22"/>
    </row>
    <row r="248" spans="1:24" x14ac:dyDescent="0.3">
      <c r="A248" s="22"/>
      <c r="B248" s="22"/>
      <c r="C248" s="22"/>
      <c r="D248" s="22"/>
      <c r="E248" s="22"/>
      <c r="F248" s="22"/>
      <c r="G248" s="22"/>
      <c r="H248" s="160"/>
      <c r="I248" s="174"/>
      <c r="K248" s="133"/>
      <c r="L248" s="166"/>
      <c r="M248" s="166"/>
      <c r="N248" s="166"/>
      <c r="O248" s="22"/>
      <c r="P248" s="22"/>
      <c r="Q248" s="22"/>
      <c r="R248" s="37"/>
      <c r="S248" s="166"/>
      <c r="T248" s="37"/>
      <c r="U248" s="22"/>
      <c r="V248" s="166"/>
      <c r="W248" s="22"/>
      <c r="X248" s="166"/>
    </row>
    <row r="249" spans="1:24" x14ac:dyDescent="0.3">
      <c r="A249" s="22"/>
      <c r="B249" s="22"/>
      <c r="C249" s="22"/>
      <c r="D249" s="22"/>
      <c r="E249" s="22"/>
      <c r="F249" s="22"/>
      <c r="G249" s="22"/>
      <c r="H249" s="65"/>
      <c r="I249" s="174"/>
      <c r="K249" s="24"/>
      <c r="L249" s="56"/>
      <c r="M249" s="22"/>
      <c r="N249" s="22"/>
      <c r="O249" s="22"/>
      <c r="P249" s="22"/>
      <c r="Q249" s="22"/>
      <c r="R249" s="22"/>
      <c r="S249" s="22"/>
      <c r="T249" s="37"/>
      <c r="U249" s="22"/>
      <c r="V249" s="22"/>
      <c r="W249" s="22"/>
      <c r="X249" s="22"/>
    </row>
    <row r="250" spans="1:24" x14ac:dyDescent="0.3">
      <c r="A250" s="22"/>
      <c r="B250" s="22"/>
      <c r="C250" s="22"/>
      <c r="D250" s="22"/>
      <c r="E250" s="22"/>
      <c r="F250" s="22"/>
      <c r="G250" s="22"/>
      <c r="H250" s="160"/>
      <c r="I250" s="174"/>
      <c r="K250" s="24"/>
      <c r="L250" s="56"/>
      <c r="M250" s="22"/>
      <c r="N250" s="22"/>
      <c r="O250" s="22"/>
      <c r="P250" s="22"/>
      <c r="Q250" s="22"/>
      <c r="R250" s="22"/>
      <c r="S250" s="22"/>
      <c r="T250" s="37"/>
      <c r="U250" s="22"/>
      <c r="V250" s="22"/>
      <c r="W250" s="22"/>
      <c r="X250" s="22"/>
    </row>
    <row r="251" spans="1:24" x14ac:dyDescent="0.3">
      <c r="A251" s="22"/>
      <c r="B251" s="22"/>
      <c r="C251" s="22"/>
      <c r="D251" s="22"/>
      <c r="E251" s="22"/>
      <c r="F251" s="22"/>
      <c r="G251" s="22"/>
      <c r="H251" s="65"/>
      <c r="I251" s="174"/>
      <c r="K251" s="24"/>
      <c r="L251" s="56"/>
      <c r="M251" s="22"/>
      <c r="N251" s="22"/>
      <c r="O251" s="22"/>
      <c r="P251" s="22"/>
      <c r="Q251" s="22"/>
      <c r="R251" s="22"/>
      <c r="S251" s="22"/>
      <c r="T251" s="37"/>
      <c r="U251" s="22"/>
      <c r="V251" s="22"/>
      <c r="W251" s="22"/>
      <c r="X251" s="22"/>
    </row>
    <row r="252" spans="1:24" x14ac:dyDescent="0.3">
      <c r="A252" s="22"/>
      <c r="B252" s="22"/>
      <c r="C252" s="22"/>
      <c r="D252" s="22"/>
      <c r="E252" s="22"/>
      <c r="F252" s="22"/>
      <c r="G252" s="22"/>
      <c r="H252" s="160"/>
      <c r="I252" s="174"/>
      <c r="K252" s="24"/>
      <c r="L252" s="56"/>
      <c r="M252" s="22"/>
      <c r="N252" s="22"/>
      <c r="O252" s="22"/>
      <c r="P252" s="22"/>
      <c r="Q252" s="22"/>
      <c r="R252" s="22"/>
      <c r="S252" s="22"/>
      <c r="T252" s="37"/>
      <c r="U252" s="22"/>
      <c r="V252" s="22"/>
      <c r="W252" s="22"/>
      <c r="X252" s="22"/>
    </row>
    <row r="253" spans="1:24" x14ac:dyDescent="0.3">
      <c r="A253" s="22"/>
      <c r="B253" s="22"/>
      <c r="C253" s="22"/>
      <c r="D253" s="22"/>
      <c r="E253" s="22"/>
      <c r="F253" s="22"/>
      <c r="G253" s="22"/>
      <c r="H253" s="65"/>
      <c r="I253" s="174"/>
      <c r="K253" s="24"/>
      <c r="L253" s="56"/>
      <c r="M253" s="22"/>
      <c r="N253" s="22"/>
      <c r="O253" s="43"/>
      <c r="P253" s="22"/>
      <c r="Q253" s="22"/>
      <c r="R253" s="22"/>
      <c r="S253" s="22"/>
      <c r="T253" s="37"/>
      <c r="U253" s="22"/>
      <c r="V253" s="22"/>
      <c r="W253" s="22"/>
      <c r="X253" s="22"/>
    </row>
    <row r="254" spans="1:24" ht="15" thickBot="1" x14ac:dyDescent="0.35">
      <c r="A254" s="22"/>
      <c r="B254" s="22"/>
      <c r="C254" s="22"/>
      <c r="D254" s="22"/>
      <c r="E254" s="22"/>
      <c r="F254" s="22"/>
      <c r="G254" s="22"/>
      <c r="H254" s="160"/>
      <c r="I254" s="27"/>
      <c r="K254" s="24"/>
      <c r="L254" s="56"/>
      <c r="M254" s="22"/>
      <c r="N254" s="22"/>
      <c r="O254" s="43"/>
      <c r="P254" s="22"/>
      <c r="Q254" s="22"/>
      <c r="R254" s="22"/>
      <c r="S254" s="22"/>
      <c r="T254" s="37"/>
      <c r="U254" s="22"/>
      <c r="V254" s="22"/>
      <c r="W254" s="22"/>
      <c r="X254" s="22"/>
    </row>
    <row r="255" spans="1:24" ht="15.6" thickTop="1" thickBot="1" x14ac:dyDescent="0.35">
      <c r="A255" s="22"/>
      <c r="B255" s="22"/>
      <c r="C255" s="22"/>
      <c r="D255" s="22"/>
      <c r="E255" s="22"/>
      <c r="F255" s="22"/>
      <c r="G255" s="22"/>
      <c r="H255" s="65"/>
      <c r="I255" s="132">
        <f>SUM(I242:I254)</f>
        <v>0</v>
      </c>
      <c r="K255" s="24"/>
      <c r="L255" s="56"/>
      <c r="M255" s="22"/>
      <c r="N255" s="22"/>
      <c r="O255" s="43"/>
      <c r="P255" s="22"/>
      <c r="Q255" s="22"/>
      <c r="R255" s="22"/>
      <c r="S255" s="22"/>
      <c r="T255" s="37"/>
      <c r="U255" s="22"/>
      <c r="V255" s="22"/>
      <c r="W255" s="22"/>
      <c r="X255" s="22"/>
    </row>
    <row r="256" spans="1:24" ht="15.6" thickTop="1" thickBot="1" x14ac:dyDescent="0.35">
      <c r="A256" s="22"/>
      <c r="B256" s="22"/>
      <c r="C256" s="22"/>
      <c r="D256" s="22"/>
      <c r="E256" s="22"/>
      <c r="F256" s="22"/>
      <c r="G256" s="22"/>
      <c r="H256" s="160"/>
      <c r="I256" s="27"/>
      <c r="K256" s="133"/>
      <c r="L256" s="166"/>
      <c r="M256" s="166"/>
      <c r="N256" s="166"/>
      <c r="O256" s="166"/>
      <c r="P256" s="166"/>
      <c r="Q256" s="166"/>
      <c r="R256" s="166"/>
      <c r="S256" s="166"/>
      <c r="T256" s="167"/>
      <c r="U256" s="22"/>
      <c r="V256" s="166"/>
      <c r="W256" s="166"/>
      <c r="X256" s="166"/>
    </row>
    <row r="257" spans="1:24" ht="15" thickBot="1" x14ac:dyDescent="0.35">
      <c r="A257" s="140">
        <f>SUM(A242:A256)</f>
        <v>4897.29</v>
      </c>
      <c r="B257" s="140">
        <f t="shared" ref="B257:G257" si="64">SUM(B242:B256)</f>
        <v>0</v>
      </c>
      <c r="C257" s="140">
        <f t="shared" si="64"/>
        <v>0</v>
      </c>
      <c r="D257" s="140">
        <f t="shared" si="64"/>
        <v>0</v>
      </c>
      <c r="E257" s="140">
        <f t="shared" si="64"/>
        <v>0</v>
      </c>
      <c r="F257" s="140">
        <f t="shared" si="64"/>
        <v>0</v>
      </c>
      <c r="G257" s="140">
        <f t="shared" si="64"/>
        <v>0</v>
      </c>
      <c r="H257" s="29">
        <f>SUM(A257:G257)+I255</f>
        <v>4897.29</v>
      </c>
      <c r="I257" s="150" t="s">
        <v>64</v>
      </c>
      <c r="K257" s="152">
        <f t="shared" ref="K257:X258" si="65">SUM(K242:K256)</f>
        <v>4586</v>
      </c>
      <c r="L257" s="152">
        <f t="shared" si="65"/>
        <v>975</v>
      </c>
      <c r="M257" s="152">
        <f t="shared" si="65"/>
        <v>0</v>
      </c>
      <c r="N257" s="152">
        <f t="shared" si="65"/>
        <v>0</v>
      </c>
      <c r="O257" s="152">
        <f t="shared" si="65"/>
        <v>0</v>
      </c>
      <c r="P257" s="152">
        <v>357.6</v>
      </c>
      <c r="Q257" s="152">
        <f t="shared" ref="Q257:X257" si="66">SUM(Q242:Q256)</f>
        <v>0</v>
      </c>
      <c r="R257" s="152">
        <f t="shared" si="66"/>
        <v>0</v>
      </c>
      <c r="S257" s="152">
        <f t="shared" si="66"/>
        <v>0</v>
      </c>
      <c r="T257" s="152">
        <f t="shared" si="66"/>
        <v>0</v>
      </c>
      <c r="U257" s="152">
        <f t="shared" si="66"/>
        <v>0</v>
      </c>
      <c r="V257" s="152">
        <f t="shared" si="66"/>
        <v>0</v>
      </c>
      <c r="W257" s="152">
        <f>SUM(W242:W256)</f>
        <v>0</v>
      </c>
      <c r="X257" s="154">
        <f t="shared" ref="X257" si="67">SUM(X242:X256)</f>
        <v>0</v>
      </c>
    </row>
    <row r="258" spans="1:24" ht="15" thickBot="1" x14ac:dyDescent="0.35">
      <c r="A258" s="140">
        <v>4897.29</v>
      </c>
      <c r="B258" s="140">
        <f t="shared" ref="B258:G258" si="68">SUM(B243:B257)</f>
        <v>0</v>
      </c>
      <c r="C258" s="140">
        <f t="shared" si="68"/>
        <v>0</v>
      </c>
      <c r="D258" s="140">
        <f t="shared" si="68"/>
        <v>0</v>
      </c>
      <c r="E258" s="140">
        <f t="shared" si="68"/>
        <v>0</v>
      </c>
      <c r="F258" s="140">
        <f t="shared" si="68"/>
        <v>0</v>
      </c>
      <c r="G258" s="140">
        <f t="shared" si="68"/>
        <v>0</v>
      </c>
      <c r="H258" s="29">
        <f>SUM(A258:G258)+I255</f>
        <v>4897.29</v>
      </c>
      <c r="I258" s="140"/>
      <c r="K258" s="152">
        <v>4586</v>
      </c>
      <c r="L258" s="152">
        <v>975</v>
      </c>
      <c r="M258" s="152">
        <f t="shared" si="65"/>
        <v>0</v>
      </c>
      <c r="N258" s="152">
        <f t="shared" si="65"/>
        <v>0</v>
      </c>
      <c r="O258" s="152">
        <f t="shared" si="65"/>
        <v>0</v>
      </c>
      <c r="P258" s="152">
        <f t="shared" si="65"/>
        <v>357.6</v>
      </c>
      <c r="Q258" s="152">
        <f t="shared" si="65"/>
        <v>0</v>
      </c>
      <c r="R258" s="152">
        <f t="shared" si="65"/>
        <v>0</v>
      </c>
      <c r="S258" s="152">
        <f t="shared" si="65"/>
        <v>0</v>
      </c>
      <c r="T258" s="152">
        <f t="shared" si="65"/>
        <v>0</v>
      </c>
      <c r="U258" s="152">
        <f t="shared" si="65"/>
        <v>0</v>
      </c>
      <c r="V258" s="152">
        <f t="shared" si="65"/>
        <v>0</v>
      </c>
      <c r="W258" s="152">
        <f t="shared" si="65"/>
        <v>0</v>
      </c>
      <c r="X258" s="152">
        <f t="shared" si="65"/>
        <v>0</v>
      </c>
    </row>
    <row r="259" spans="1:24" ht="15" thickBot="1" x14ac:dyDescent="0.35">
      <c r="A259" s="172">
        <f t="shared" ref="A259:H259" si="69">A257-A258</f>
        <v>0</v>
      </c>
      <c r="B259" s="172">
        <f t="shared" si="69"/>
        <v>0</v>
      </c>
      <c r="C259" s="172">
        <f t="shared" si="69"/>
        <v>0</v>
      </c>
      <c r="D259" s="172">
        <f t="shared" si="69"/>
        <v>0</v>
      </c>
      <c r="E259" s="172">
        <f t="shared" si="69"/>
        <v>0</v>
      </c>
      <c r="F259" s="172">
        <f t="shared" si="69"/>
        <v>0</v>
      </c>
      <c r="G259" s="172">
        <f t="shared" si="69"/>
        <v>0</v>
      </c>
      <c r="H259" s="172">
        <f t="shared" si="69"/>
        <v>0</v>
      </c>
      <c r="I259" s="172"/>
      <c r="K259" s="172">
        <f>K257-K258</f>
        <v>0</v>
      </c>
      <c r="L259" s="172">
        <f>L257-L258</f>
        <v>0</v>
      </c>
      <c r="M259" s="172">
        <f t="shared" ref="M259:X259" si="70">M257-M258</f>
        <v>0</v>
      </c>
      <c r="N259" s="172">
        <f>K257-K258</f>
        <v>0</v>
      </c>
      <c r="O259" s="172">
        <f>L257-L258</f>
        <v>0</v>
      </c>
      <c r="P259" s="172">
        <f t="shared" ref="P259:X259" si="71">P257-P258</f>
        <v>0</v>
      </c>
      <c r="Q259" s="172">
        <f t="shared" si="71"/>
        <v>0</v>
      </c>
      <c r="R259" s="172">
        <f t="shared" si="71"/>
        <v>0</v>
      </c>
      <c r="S259" s="172">
        <f t="shared" si="71"/>
        <v>0</v>
      </c>
      <c r="T259" s="172">
        <f t="shared" si="71"/>
        <v>0</v>
      </c>
      <c r="U259" s="172">
        <f t="shared" si="71"/>
        <v>0</v>
      </c>
      <c r="V259" s="172">
        <f t="shared" si="71"/>
        <v>0</v>
      </c>
      <c r="W259" s="172">
        <f t="shared" si="71"/>
        <v>0</v>
      </c>
      <c r="X259" s="172">
        <f t="shared" si="7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Sheet2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Sheet3</vt:lpstr>
      <vt:lpstr>October 2023</vt:lpstr>
      <vt:lpstr>November 2023</vt:lpstr>
      <vt:lpstr>December 2023</vt:lpstr>
      <vt:lpstr>January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 2025 - Dec 2025</vt:lpstr>
      <vt:lpstr>January 2026</vt:lpstr>
      <vt:lpstr>February 2026</vt:lpstr>
      <vt:lpstr>March 2026</vt:lpstr>
      <vt:lpstr>April 2026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OPHELP Operations</dc:creator>
  <cp:keywords/>
  <dc:description/>
  <cp:lastModifiedBy>OPHELP Operations</cp:lastModifiedBy>
  <cp:revision/>
  <cp:lastPrinted>2026-04-21T13:59:09Z</cp:lastPrinted>
  <dcterms:created xsi:type="dcterms:W3CDTF">2022-11-15T14:55:36Z</dcterms:created>
  <dcterms:modified xsi:type="dcterms:W3CDTF">2026-08-27T09:20:35Z</dcterms:modified>
  <cp:category/>
  <cp:contentStatus/>
</cp:coreProperties>
</file>