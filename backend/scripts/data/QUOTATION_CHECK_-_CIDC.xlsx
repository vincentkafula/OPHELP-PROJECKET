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d.docs.live.net/9324922bd70e44b3/Documents/02 Scheduling/03 QUOTATIONS/01 CURRENT Quotes/"/>
    </mc:Choice>
  </mc:AlternateContent>
  <xr:revisionPtr revIDLastSave="14" documentId="8_{9B3A1A2F-7088-47A2-B7C2-2BCB37D5339F}" xr6:coauthVersionLast="47" xr6:coauthVersionMax="47" xr10:uidLastSave="{8DE44E0E-7D5E-4673-961E-3E5EFE51EB09}"/>
  <bookViews>
    <workbookView xWindow="-109" yWindow="-109" windowWidth="23452" windowHeight="12561" firstSheet="3" activeTab="5" xr2:uid="{00000000-000D-0000-FFFF-FFFF00000000}"/>
  </bookViews>
  <sheets>
    <sheet name="Sheet1" sheetId="1" state="hidden" r:id="rId1"/>
    <sheet name="Sheet1 (2)" sheetId="2" state="hidden" r:id="rId2"/>
    <sheet name="Sheet1 (3)" sheetId="3" state="hidden" r:id="rId3"/>
    <sheet name="Harrington Park Tarring" sheetId="4" r:id="rId4"/>
    <sheet name="EXTRA (Paid)" sheetId="7" r:id="rId5"/>
    <sheet name="CIDC" sheetId="8" r:id="rId6"/>
    <sheet name="Sheet2" sheetId="6" r:id="rId7"/>
    <sheet name="Harrington Park Bays" sheetId="5" r:id="rId8"/>
  </sheets>
  <definedNames>
    <definedName name="_xlnm.Print_Area" localSheetId="5">CIDC!$A$1:$F$36</definedName>
    <definedName name="_xlnm.Print_Area" localSheetId="3">'Harrington Park Tarring'!$A$1:$E$37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8" l="1"/>
  <c r="E22" i="4" l="1"/>
  <c r="E32" i="8"/>
  <c r="E31" i="8"/>
  <c r="E30" i="8"/>
  <c r="E29" i="8"/>
  <c r="E28" i="8"/>
  <c r="E26" i="8"/>
  <c r="E24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21" i="7"/>
  <c r="E33" i="7" s="1"/>
  <c r="C7" i="7"/>
  <c r="E33" i="8" l="1"/>
  <c r="E34" i="8" s="1"/>
  <c r="E36" i="8" s="1"/>
  <c r="E32" i="7"/>
  <c r="E31" i="7"/>
  <c r="E30" i="7"/>
  <c r="E29" i="7"/>
  <c r="E28" i="7"/>
  <c r="E26" i="7"/>
  <c r="E24" i="7"/>
  <c r="E22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R16" i="4"/>
  <c r="R15" i="4"/>
  <c r="N24" i="4"/>
  <c r="L23" i="4"/>
  <c r="C7" i="4"/>
  <c r="C7" i="5"/>
  <c r="E32" i="5"/>
  <c r="E31" i="5"/>
  <c r="E30" i="5"/>
  <c r="E29" i="5"/>
  <c r="E28" i="5"/>
  <c r="E26" i="5"/>
  <c r="E24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4" i="7" l="1"/>
  <c r="E36" i="7" s="1"/>
  <c r="E33" i="5"/>
  <c r="E34" i="5" s="1"/>
  <c r="E36" i="5" s="1"/>
  <c r="E32" i="4"/>
  <c r="E31" i="4"/>
  <c r="E30" i="4"/>
  <c r="E29" i="4"/>
  <c r="E28" i="4"/>
  <c r="E26" i="4"/>
  <c r="E24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H4" i="4" s="1"/>
  <c r="C7" i="3"/>
  <c r="O13" i="3"/>
  <c r="E33" i="4" l="1"/>
  <c r="E34" i="4" s="1"/>
  <c r="E36" i="4" s="1"/>
  <c r="C24" i="3"/>
  <c r="C7" i="1"/>
  <c r="E26" i="1"/>
  <c r="E27" i="1"/>
  <c r="E28" i="1"/>
  <c r="C8" i="1"/>
  <c r="M13" i="3" l="1"/>
  <c r="E7" i="3" l="1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6" i="3"/>
  <c r="E5" i="3"/>
  <c r="E4" i="3"/>
  <c r="E4" i="2"/>
  <c r="E33" i="3" l="1"/>
  <c r="E34" i="3" l="1"/>
  <c r="E32" i="2" l="1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7" i="1"/>
  <c r="E5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9" i="1"/>
  <c r="E30" i="1"/>
  <c r="E31" i="1"/>
  <c r="E32" i="1"/>
  <c r="E4" i="1"/>
  <c r="E33" i="1" l="1"/>
  <c r="E34" i="1" s="1"/>
  <c r="E38" i="1" s="1"/>
  <c r="E33" i="2"/>
  <c r="E34" i="2" l="1"/>
  <c r="E36" i="2" s="1"/>
  <c r="E36" i="3"/>
</calcChain>
</file>

<file path=xl/sharedStrings.xml><?xml version="1.0" encoding="utf-8"?>
<sst xmlns="http://schemas.openxmlformats.org/spreadsheetml/2006/main" count="215" uniqueCount="61">
  <si>
    <t>QUOTATION CHECK</t>
  </si>
  <si>
    <t xml:space="preserve">Item </t>
  </si>
  <si>
    <t>calculations</t>
  </si>
  <si>
    <t>unit cost</t>
  </si>
  <si>
    <t>No. of units</t>
  </si>
  <si>
    <t>amount</t>
  </si>
  <si>
    <t>Supervision</t>
  </si>
  <si>
    <t>1 Sup</t>
  </si>
  <si>
    <t>Labour</t>
  </si>
  <si>
    <t xml:space="preserve">1tf + 4tw </t>
  </si>
  <si>
    <t>2 RM &amp; 4 RMW</t>
  </si>
  <si>
    <t>Materials</t>
  </si>
  <si>
    <t>Refuse bags</t>
  </si>
  <si>
    <t>Hessian Bags</t>
  </si>
  <si>
    <t>Disposable gloves (per pair)</t>
  </si>
  <si>
    <t>Leather gloves (per pair)</t>
  </si>
  <si>
    <t>Face masks</t>
  </si>
  <si>
    <t>Overall usage</t>
  </si>
  <si>
    <t>Soap</t>
  </si>
  <si>
    <t>Pinetol</t>
  </si>
  <si>
    <t>Jeyes fluid</t>
  </si>
  <si>
    <t>Handy andy</t>
  </si>
  <si>
    <t>Others:</t>
  </si>
  <si>
    <t>White Decorating stones</t>
  </si>
  <si>
    <t>Hanging Baskets with flowers (Big)</t>
  </si>
  <si>
    <t>Hanging Baskets with flowers (Small)</t>
  </si>
  <si>
    <t>Tools &amp; Equipment</t>
  </si>
  <si>
    <t>Transport</t>
  </si>
  <si>
    <t>Taxi fare</t>
  </si>
  <si>
    <t>Truck loads</t>
  </si>
  <si>
    <t>Subtotal</t>
  </si>
  <si>
    <t>25% Admin Fee</t>
  </si>
  <si>
    <t>Employment benefits</t>
  </si>
  <si>
    <t>EB 25% Admin</t>
  </si>
  <si>
    <t>Management Fee</t>
  </si>
  <si>
    <t>QUATATION TOTAL</t>
  </si>
  <si>
    <t>1AF + 4AW</t>
  </si>
  <si>
    <t>2 DW</t>
  </si>
  <si>
    <t>Clearing Mowbray alley of rubble</t>
  </si>
  <si>
    <t>Face masks (Heavy duty)</t>
  </si>
  <si>
    <t>paint 10L white</t>
  </si>
  <si>
    <t>Toilet Paper</t>
  </si>
  <si>
    <t>dies x10</t>
  </si>
  <si>
    <t>Face masks (light duty)</t>
  </si>
  <si>
    <t>1TF + 1TW</t>
  </si>
  <si>
    <t>Grass cutting</t>
  </si>
  <si>
    <t>Petrol</t>
  </si>
  <si>
    <t>Sand paper</t>
  </si>
  <si>
    <t>Paint brushes</t>
  </si>
  <si>
    <t>Tools Hiring</t>
  </si>
  <si>
    <t>1RTL + 3RO</t>
  </si>
  <si>
    <t>Paint brush, Hose pipe + Face Mask</t>
  </si>
  <si>
    <t>3 Tonnes of Hot Tar</t>
  </si>
  <si>
    <t>Compactor</t>
  </si>
  <si>
    <t>Tar Cutter</t>
  </si>
  <si>
    <t>Collars - Primer</t>
  </si>
  <si>
    <t>10 ltr of Petrol</t>
  </si>
  <si>
    <t>Tools Hiring (Ophelp Tools)</t>
  </si>
  <si>
    <t>1RTL + 4RO</t>
  </si>
  <si>
    <t>Silex to cover Tar</t>
  </si>
  <si>
    <t>12 Tonnes of Hot 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</si>
</sst>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[$R-1C09]#,##0.00;[Red]\-[$R-1C09]#,##0.00"/>
    <numFmt numFmtId="166" formatCode="_-[$R-1C09]* #,##0.00_-;\-[$R-1C09]* #,##0.00_-;_-[$R-1C09]* &quot;-&quot;??_-;_-@_-"/>
    <numFmt numFmtId="167" formatCode="_ [$R-1C09]\ * #,##0.00_ ;_ [$R-1C09]\ * \-#,##0.00_ ;_ [$R-1C09]\ * &quot;-&quot;??_ ;_ @_ "/>
  </numFmts>
  <fonts count="10" x14ac:knownFonts="1"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DashDot">
        <color indexed="64"/>
      </left>
      <right/>
      <top style="thin">
        <color indexed="64"/>
      </top>
      <bottom/>
      <diagonal/>
    </border>
    <border>
      <left style="mediumDashDot">
        <color indexed="64"/>
      </left>
      <right/>
      <top/>
      <bottom/>
      <diagonal/>
    </border>
    <border>
      <left style="mediumDashDot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Dot">
        <color indexed="64"/>
      </left>
      <right style="medium">
        <color indexed="64"/>
      </right>
      <top/>
      <bottom/>
      <diagonal/>
    </border>
    <border>
      <left style="mediumDashDot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Dot">
        <color indexed="64"/>
      </left>
      <right/>
      <top style="thick">
        <color indexed="64"/>
      </top>
      <bottom/>
      <diagonal/>
    </border>
    <border>
      <left style="mediumDashDot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/>
      <bottom/>
      <diagonal/>
    </border>
    <border>
      <left style="dashDot">
        <color indexed="64"/>
      </left>
      <right style="dashDot">
        <color indexed="64"/>
      </right>
      <top style="medium">
        <color indexed="64"/>
      </top>
      <bottom/>
      <diagonal/>
    </border>
    <border>
      <left style="dashDot">
        <color indexed="64"/>
      </left>
      <right style="dashDot">
        <color indexed="64"/>
      </right>
      <top/>
      <bottom style="medium">
        <color indexed="64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 style="thin">
        <color indexed="64"/>
      </bottom>
      <diagonal/>
    </border>
    <border>
      <left style="medium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ashDot">
        <color indexed="64"/>
      </right>
      <top style="thin">
        <color indexed="64"/>
      </top>
      <bottom/>
      <diagonal/>
    </border>
    <border>
      <left/>
      <right style="dashDot">
        <color indexed="64"/>
      </right>
      <top/>
      <bottom/>
      <diagonal/>
    </border>
    <border>
      <left/>
      <right style="dashDot">
        <color indexed="64"/>
      </right>
      <top/>
      <bottom style="medium">
        <color indexed="64"/>
      </bottom>
      <diagonal/>
    </border>
    <border>
      <left style="medium">
        <color indexed="64"/>
      </left>
      <right style="dashDot">
        <color indexed="64"/>
      </right>
      <top style="medium">
        <color indexed="64"/>
      </top>
      <bottom/>
      <diagonal/>
    </border>
    <border>
      <left style="medium">
        <color indexed="64"/>
      </left>
      <right style="dashDot">
        <color indexed="64"/>
      </right>
      <top/>
      <bottom/>
      <diagonal/>
    </border>
    <border>
      <left style="medium">
        <color indexed="64"/>
      </left>
      <right style="dashDot">
        <color indexed="64"/>
      </right>
      <top/>
      <bottom style="medium">
        <color indexed="64"/>
      </bottom>
      <diagonal/>
    </border>
    <border>
      <left style="medium">
        <color indexed="64"/>
      </left>
      <right style="dashDot">
        <color indexed="64"/>
      </right>
      <top/>
      <bottom style="thick">
        <color indexed="64"/>
      </bottom>
      <diagonal/>
    </border>
    <border>
      <left style="mediumDashDot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DashDot">
        <color indexed="64"/>
      </right>
      <top/>
      <bottom/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4" xfId="0" applyNumberFormat="1" applyBorder="1" applyAlignment="1">
      <alignment horizontal="right" vertical="center"/>
    </xf>
    <xf numFmtId="166" fontId="0" fillId="0" borderId="5" xfId="0" applyNumberFormat="1" applyBorder="1" applyAlignment="1">
      <alignment horizontal="right" vertical="center"/>
    </xf>
    <xf numFmtId="166" fontId="0" fillId="0" borderId="6" xfId="0" applyNumberFormat="1" applyBorder="1" applyAlignment="1">
      <alignment horizontal="right" vertical="center"/>
    </xf>
    <xf numFmtId="166" fontId="0" fillId="0" borderId="7" xfId="0" applyNumberFormat="1" applyBorder="1" applyAlignment="1">
      <alignment horizontal="right" vertical="center"/>
    </xf>
    <xf numFmtId="166" fontId="0" fillId="0" borderId="8" xfId="0" applyNumberFormat="1" applyBorder="1" applyAlignment="1">
      <alignment horizontal="right" vertical="center"/>
    </xf>
    <xf numFmtId="165" fontId="0" fillId="0" borderId="13" xfId="0" applyNumberFormat="1" applyBorder="1" applyAlignment="1">
      <alignment horizontal="right" vertical="center"/>
    </xf>
    <xf numFmtId="165" fontId="0" fillId="0" borderId="14" xfId="0" applyNumberFormat="1" applyBorder="1" applyAlignment="1">
      <alignment horizontal="right" vertical="center"/>
    </xf>
    <xf numFmtId="165" fontId="0" fillId="0" borderId="15" xfId="0" applyNumberFormat="1" applyBorder="1" applyAlignment="1">
      <alignment horizontal="right" vertical="center"/>
    </xf>
    <xf numFmtId="166" fontId="2" fillId="0" borderId="9" xfId="0" applyNumberFormat="1" applyFont="1" applyBorder="1" applyAlignment="1">
      <alignment horizontal="right" vertical="center"/>
    </xf>
    <xf numFmtId="166" fontId="3" fillId="0" borderId="5" xfId="0" applyNumberFormat="1" applyFont="1" applyBorder="1" applyAlignment="1">
      <alignment horizontal="right" vertical="center"/>
    </xf>
    <xf numFmtId="166" fontId="5" fillId="0" borderId="10" xfId="0" applyNumberFormat="1" applyFont="1" applyBorder="1" applyAlignment="1">
      <alignment horizontal="right" vertical="center"/>
    </xf>
    <xf numFmtId="166" fontId="0" fillId="0" borderId="26" xfId="0" applyNumberFormat="1" applyBorder="1" applyAlignment="1">
      <alignment horizontal="right" vertical="center"/>
    </xf>
    <xf numFmtId="0" fontId="4" fillId="2" borderId="12" xfId="0" applyFont="1" applyFill="1" applyBorder="1"/>
    <xf numFmtId="0" fontId="4" fillId="2" borderId="16" xfId="0" applyFont="1" applyFill="1" applyBorder="1"/>
    <xf numFmtId="0" fontId="4" fillId="2" borderId="16" xfId="0" applyFont="1" applyFill="1" applyBorder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right"/>
    </xf>
    <xf numFmtId="167" fontId="0" fillId="0" borderId="0" xfId="0" applyNumberFormat="1" applyAlignment="1">
      <alignment horizontal="right"/>
    </xf>
    <xf numFmtId="164" fontId="0" fillId="0" borderId="0" xfId="1" applyFont="1" applyAlignment="1">
      <alignment horizontal="right"/>
    </xf>
    <xf numFmtId="167" fontId="0" fillId="0" borderId="0" xfId="0" applyNumberFormat="1"/>
    <xf numFmtId="0" fontId="0" fillId="3" borderId="0" xfId="0" applyFill="1"/>
    <xf numFmtId="166" fontId="0" fillId="0" borderId="0" xfId="0" applyNumberFormat="1"/>
    <xf numFmtId="165" fontId="8" fillId="0" borderId="13" xfId="0" applyNumberFormat="1" applyFont="1" applyBorder="1" applyAlignment="1">
      <alignment horizontal="right" vertical="center"/>
    </xf>
    <xf numFmtId="0" fontId="9" fillId="0" borderId="13" xfId="0" applyFont="1" applyBorder="1"/>
    <xf numFmtId="165" fontId="0" fillId="0" borderId="0" xfId="0" applyNumberFormat="1"/>
    <xf numFmtId="0" fontId="2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opLeftCell="A7" zoomScaleNormal="100" workbookViewId="0">
      <selection activeCell="B19" sqref="B19"/>
    </sheetView>
  </sheetViews>
  <sheetFormatPr defaultColWidth="8.6640625" defaultRowHeight="14.55" x14ac:dyDescent="0.3"/>
  <cols>
    <col min="1" max="1" width="14.109375" customWidth="1"/>
    <col min="2" max="2" width="33.44140625" customWidth="1"/>
    <col min="3" max="3" width="10.44140625" customWidth="1"/>
    <col min="4" max="4" width="11.6640625" customWidth="1"/>
    <col min="5" max="5" width="20.109375" customWidth="1"/>
  </cols>
  <sheetData>
    <row r="1" spans="1:5" ht="18.149999999999999" x14ac:dyDescent="0.35">
      <c r="A1" s="39" t="s">
        <v>0</v>
      </c>
      <c r="B1" s="39"/>
      <c r="C1" s="39"/>
      <c r="D1" s="39"/>
      <c r="E1" s="39"/>
    </row>
    <row r="2" spans="1:5" ht="9.6999999999999993" customHeight="1" x14ac:dyDescent="0.3"/>
    <row r="3" spans="1:5" x14ac:dyDescent="0.3">
      <c r="A3" s="22" t="s">
        <v>1</v>
      </c>
      <c r="B3" s="23" t="s">
        <v>2</v>
      </c>
      <c r="C3" s="24" t="s">
        <v>3</v>
      </c>
      <c r="D3" s="25" t="s">
        <v>4</v>
      </c>
      <c r="E3" s="26" t="s">
        <v>5</v>
      </c>
    </row>
    <row r="4" spans="1:5" x14ac:dyDescent="0.3">
      <c r="A4" s="40" t="s">
        <v>6</v>
      </c>
      <c r="B4" s="3" t="s">
        <v>7</v>
      </c>
      <c r="C4" s="15">
        <v>175</v>
      </c>
      <c r="D4" s="7">
        <v>1</v>
      </c>
      <c r="E4" s="10">
        <f>C4*D4</f>
        <v>175</v>
      </c>
    </row>
    <row r="5" spans="1:5" x14ac:dyDescent="0.3">
      <c r="A5" s="41"/>
      <c r="B5" s="4"/>
      <c r="C5" s="15"/>
      <c r="D5" s="7"/>
      <c r="E5" s="11">
        <f t="shared" ref="E5:E32" si="0">C5*D5</f>
        <v>0</v>
      </c>
    </row>
    <row r="6" spans="1:5" ht="15.15" thickBot="1" x14ac:dyDescent="0.35">
      <c r="A6" s="41"/>
      <c r="B6" s="4"/>
      <c r="C6" s="15"/>
      <c r="D6" s="7"/>
      <c r="E6" s="11">
        <f t="shared" si="0"/>
        <v>0</v>
      </c>
    </row>
    <row r="7" spans="1:5" x14ac:dyDescent="0.3">
      <c r="A7" s="42" t="s">
        <v>8</v>
      </c>
      <c r="B7" s="5" t="s">
        <v>9</v>
      </c>
      <c r="C7" s="16">
        <f>130+(95*2)</f>
        <v>320</v>
      </c>
      <c r="D7" s="8">
        <v>4</v>
      </c>
      <c r="E7" s="12">
        <f t="shared" si="0"/>
        <v>1280</v>
      </c>
    </row>
    <row r="8" spans="1:5" x14ac:dyDescent="0.3">
      <c r="A8" s="43"/>
      <c r="B8" s="4" t="s">
        <v>10</v>
      </c>
      <c r="C8" s="15">
        <f>(175)+(110*2)</f>
        <v>395</v>
      </c>
      <c r="D8" s="7">
        <v>0</v>
      </c>
      <c r="E8" s="13">
        <f t="shared" si="0"/>
        <v>0</v>
      </c>
    </row>
    <row r="9" spans="1:5" x14ac:dyDescent="0.3">
      <c r="A9" s="43"/>
      <c r="B9" s="4"/>
      <c r="C9" s="15"/>
      <c r="D9" s="7"/>
      <c r="E9" s="13">
        <f t="shared" si="0"/>
        <v>0</v>
      </c>
    </row>
    <row r="10" spans="1:5" x14ac:dyDescent="0.3">
      <c r="A10" s="43"/>
      <c r="B10" s="4"/>
      <c r="C10" s="15"/>
      <c r="D10" s="7"/>
      <c r="E10" s="13">
        <f t="shared" si="0"/>
        <v>0</v>
      </c>
    </row>
    <row r="11" spans="1:5" x14ac:dyDescent="0.3">
      <c r="A11" s="43"/>
      <c r="B11" s="4"/>
      <c r="C11" s="15"/>
      <c r="D11" s="7"/>
      <c r="E11" s="13">
        <f t="shared" si="0"/>
        <v>0</v>
      </c>
    </row>
    <row r="12" spans="1:5" ht="15.15" thickBot="1" x14ac:dyDescent="0.35">
      <c r="A12" s="44"/>
      <c r="B12" s="6"/>
      <c r="C12" s="17"/>
      <c r="D12" s="9"/>
      <c r="E12" s="14">
        <f t="shared" si="0"/>
        <v>0</v>
      </c>
    </row>
    <row r="13" spans="1:5" x14ac:dyDescent="0.3">
      <c r="A13" s="41" t="s">
        <v>11</v>
      </c>
      <c r="B13" s="4" t="s">
        <v>12</v>
      </c>
      <c r="C13" s="15">
        <v>1.35</v>
      </c>
      <c r="D13" s="7"/>
      <c r="E13" s="11">
        <f t="shared" si="0"/>
        <v>0</v>
      </c>
    </row>
    <row r="14" spans="1:5" x14ac:dyDescent="0.3">
      <c r="A14" s="41"/>
      <c r="B14" s="4" t="s">
        <v>13</v>
      </c>
      <c r="C14" s="15">
        <v>5</v>
      </c>
      <c r="D14" s="7">
        <v>0</v>
      </c>
      <c r="E14" s="11">
        <f t="shared" si="0"/>
        <v>0</v>
      </c>
    </row>
    <row r="15" spans="1:5" x14ac:dyDescent="0.3">
      <c r="A15" s="41"/>
      <c r="B15" s="4" t="s">
        <v>14</v>
      </c>
      <c r="C15" s="15">
        <v>12</v>
      </c>
      <c r="D15" s="7"/>
      <c r="E15" s="11">
        <f t="shared" si="0"/>
        <v>0</v>
      </c>
    </row>
    <row r="16" spans="1:5" x14ac:dyDescent="0.3">
      <c r="A16" s="41"/>
      <c r="B16" s="4" t="s">
        <v>15</v>
      </c>
      <c r="C16" s="32">
        <v>25</v>
      </c>
      <c r="D16" s="7">
        <v>0</v>
      </c>
      <c r="E16" s="11">
        <f t="shared" si="0"/>
        <v>0</v>
      </c>
    </row>
    <row r="17" spans="1:5" x14ac:dyDescent="0.3">
      <c r="A17" s="41"/>
      <c r="B17" s="4" t="s">
        <v>16</v>
      </c>
      <c r="C17" s="15">
        <v>3</v>
      </c>
      <c r="D17" s="7">
        <v>0</v>
      </c>
      <c r="E17" s="11">
        <f t="shared" si="0"/>
        <v>0</v>
      </c>
    </row>
    <row r="18" spans="1:5" x14ac:dyDescent="0.3">
      <c r="A18" s="41"/>
      <c r="B18" s="4" t="s">
        <v>17</v>
      </c>
      <c r="C18" s="15">
        <v>15</v>
      </c>
      <c r="D18" s="7">
        <v>0</v>
      </c>
      <c r="E18" s="11">
        <f t="shared" si="0"/>
        <v>0</v>
      </c>
    </row>
    <row r="19" spans="1:5" x14ac:dyDescent="0.3">
      <c r="A19" s="41"/>
      <c r="B19" s="4" t="s">
        <v>18</v>
      </c>
      <c r="C19" s="15">
        <v>14.4</v>
      </c>
      <c r="D19" s="7"/>
      <c r="E19" s="11">
        <f t="shared" si="0"/>
        <v>0</v>
      </c>
    </row>
    <row r="20" spans="1:5" x14ac:dyDescent="0.3">
      <c r="A20" s="41"/>
      <c r="B20" s="4" t="s">
        <v>19</v>
      </c>
      <c r="C20" s="15">
        <v>10.199999999999999</v>
      </c>
      <c r="D20" s="7"/>
      <c r="E20" s="11">
        <f t="shared" si="0"/>
        <v>0</v>
      </c>
    </row>
    <row r="21" spans="1:5" x14ac:dyDescent="0.3">
      <c r="A21" s="41"/>
      <c r="B21" s="4" t="s">
        <v>20</v>
      </c>
      <c r="C21" s="15">
        <v>14.4</v>
      </c>
      <c r="D21" s="7"/>
      <c r="E21" s="11">
        <f t="shared" si="0"/>
        <v>0</v>
      </c>
    </row>
    <row r="22" spans="1:5" x14ac:dyDescent="0.3">
      <c r="A22" s="41"/>
      <c r="B22" s="4" t="s">
        <v>21</v>
      </c>
      <c r="C22" s="15"/>
      <c r="D22" s="7"/>
      <c r="E22" s="11">
        <f t="shared" si="0"/>
        <v>0</v>
      </c>
    </row>
    <row r="23" spans="1:5" x14ac:dyDescent="0.3">
      <c r="A23" s="41"/>
      <c r="B23" s="4" t="s">
        <v>22</v>
      </c>
      <c r="C23" s="15"/>
      <c r="D23" s="7"/>
      <c r="E23" s="11">
        <f t="shared" si="0"/>
        <v>0</v>
      </c>
    </row>
    <row r="24" spans="1:5" x14ac:dyDescent="0.3">
      <c r="A24" s="41"/>
      <c r="B24" s="4" t="s">
        <v>23</v>
      </c>
      <c r="C24" s="15">
        <v>130</v>
      </c>
      <c r="D24" s="7"/>
      <c r="E24" s="11">
        <f t="shared" si="0"/>
        <v>0</v>
      </c>
    </row>
    <row r="25" spans="1:5" x14ac:dyDescent="0.3">
      <c r="A25" s="41"/>
      <c r="B25" s="4" t="s">
        <v>24</v>
      </c>
      <c r="C25" s="15"/>
      <c r="D25" s="7"/>
      <c r="E25" s="11">
        <f t="shared" si="0"/>
        <v>0</v>
      </c>
    </row>
    <row r="26" spans="1:5" x14ac:dyDescent="0.3">
      <c r="A26" s="41"/>
      <c r="B26" s="4" t="s">
        <v>25</v>
      </c>
      <c r="C26" s="15"/>
      <c r="D26" s="7"/>
      <c r="E26" s="11">
        <f t="shared" si="0"/>
        <v>0</v>
      </c>
    </row>
    <row r="27" spans="1:5" x14ac:dyDescent="0.3">
      <c r="A27" s="41"/>
      <c r="B27" s="4" t="s">
        <v>11</v>
      </c>
      <c r="C27" s="15">
        <v>1000.49</v>
      </c>
      <c r="D27" s="7">
        <v>0</v>
      </c>
      <c r="E27" s="11">
        <f t="shared" si="0"/>
        <v>0</v>
      </c>
    </row>
    <row r="28" spans="1:5" ht="15.15" thickBot="1" x14ac:dyDescent="0.35">
      <c r="A28" s="45"/>
      <c r="B28" s="4" t="s">
        <v>26</v>
      </c>
      <c r="C28" s="15">
        <v>350</v>
      </c>
      <c r="D28" s="7">
        <v>0</v>
      </c>
      <c r="E28" s="11">
        <f t="shared" si="0"/>
        <v>0</v>
      </c>
    </row>
    <row r="29" spans="1:5" x14ac:dyDescent="0.3">
      <c r="A29" s="42" t="s">
        <v>27</v>
      </c>
      <c r="B29" s="5" t="s">
        <v>28</v>
      </c>
      <c r="C29" s="16">
        <v>20</v>
      </c>
      <c r="D29" s="8"/>
      <c r="E29" s="12">
        <f t="shared" si="0"/>
        <v>0</v>
      </c>
    </row>
    <row r="30" spans="1:5" x14ac:dyDescent="0.3">
      <c r="A30" s="43"/>
      <c r="B30" s="4"/>
      <c r="C30" s="15">
        <v>1500</v>
      </c>
      <c r="D30" s="7"/>
      <c r="E30" s="13">
        <f t="shared" si="0"/>
        <v>0</v>
      </c>
    </row>
    <row r="31" spans="1:5" x14ac:dyDescent="0.3">
      <c r="A31" s="43"/>
      <c r="B31" s="4" t="s">
        <v>29</v>
      </c>
      <c r="C31" s="15">
        <v>400</v>
      </c>
      <c r="D31" s="7">
        <v>0</v>
      </c>
      <c r="E31" s="13">
        <f t="shared" si="0"/>
        <v>0</v>
      </c>
    </row>
    <row r="32" spans="1:5" ht="15.15" thickBot="1" x14ac:dyDescent="0.35">
      <c r="A32" s="46"/>
      <c r="B32" s="4"/>
      <c r="C32" s="15">
        <v>370</v>
      </c>
      <c r="D32" s="7"/>
      <c r="E32" s="21">
        <f t="shared" si="0"/>
        <v>0</v>
      </c>
    </row>
    <row r="33" spans="1:5" ht="16.350000000000001" thickTop="1" x14ac:dyDescent="0.3">
      <c r="A33" s="35" t="s">
        <v>30</v>
      </c>
      <c r="B33" s="35"/>
      <c r="C33" s="35"/>
      <c r="D33" s="35"/>
      <c r="E33" s="18">
        <f>SUM(E4:E32)</f>
        <v>1455</v>
      </c>
    </row>
    <row r="34" spans="1:5" x14ac:dyDescent="0.3">
      <c r="A34" s="36" t="s">
        <v>31</v>
      </c>
      <c r="B34" s="36"/>
      <c r="C34" s="36"/>
      <c r="D34" s="36"/>
      <c r="E34" s="11">
        <f>E33*0.25</f>
        <v>363.75</v>
      </c>
    </row>
    <row r="35" spans="1:5" x14ac:dyDescent="0.3">
      <c r="A35" s="1"/>
      <c r="B35" s="1"/>
      <c r="C35" s="47" t="s">
        <v>32</v>
      </c>
      <c r="D35" s="48"/>
      <c r="E35" s="11">
        <v>0</v>
      </c>
    </row>
    <row r="36" spans="1:5" x14ac:dyDescent="0.3">
      <c r="A36" s="1"/>
      <c r="B36" s="1"/>
      <c r="C36" s="47" t="s">
        <v>33</v>
      </c>
      <c r="D36" s="48"/>
      <c r="E36" s="11">
        <v>0</v>
      </c>
    </row>
    <row r="37" spans="1:5" ht="15.15" thickBot="1" x14ac:dyDescent="0.35">
      <c r="A37" s="37" t="s">
        <v>34</v>
      </c>
      <c r="B37" s="37"/>
      <c r="C37" s="37"/>
      <c r="D37" s="37"/>
      <c r="E37" s="19">
        <v>400</v>
      </c>
    </row>
    <row r="38" spans="1:5" ht="19.399999999999999" thickTop="1" thickBot="1" x14ac:dyDescent="0.4">
      <c r="A38" s="38" t="s">
        <v>35</v>
      </c>
      <c r="B38" s="38"/>
      <c r="C38" s="38"/>
      <c r="D38" s="38"/>
      <c r="E38" s="20">
        <f>SUM(E33:E37)</f>
        <v>2218.75</v>
      </c>
    </row>
    <row r="39" spans="1:5" ht="15.15" thickTop="1" x14ac:dyDescent="0.3">
      <c r="C39" s="1"/>
      <c r="D39" s="2"/>
      <c r="E39" s="1"/>
    </row>
    <row r="40" spans="1:5" x14ac:dyDescent="0.3">
      <c r="C40" s="1"/>
      <c r="D40" s="2"/>
      <c r="E40" s="1"/>
    </row>
    <row r="41" spans="1:5" x14ac:dyDescent="0.3">
      <c r="C41" s="1"/>
      <c r="D41" s="2"/>
      <c r="E41" s="1"/>
    </row>
    <row r="42" spans="1:5" x14ac:dyDescent="0.3">
      <c r="C42" s="1"/>
      <c r="D42" s="1"/>
      <c r="E42" s="1"/>
    </row>
    <row r="43" spans="1:5" x14ac:dyDescent="0.3">
      <c r="C43" s="1"/>
      <c r="D43" s="1"/>
      <c r="E43" s="1"/>
    </row>
    <row r="44" spans="1:5" x14ac:dyDescent="0.3">
      <c r="C44" s="1"/>
      <c r="D44" s="1"/>
      <c r="E44" s="1"/>
    </row>
  </sheetData>
  <mergeCells count="11">
    <mergeCell ref="A33:D33"/>
    <mergeCell ref="A34:D34"/>
    <mergeCell ref="A37:D37"/>
    <mergeCell ref="A38:D38"/>
    <mergeCell ref="A1:E1"/>
    <mergeCell ref="A4:A6"/>
    <mergeCell ref="A7:A12"/>
    <mergeCell ref="A13:A28"/>
    <mergeCell ref="A29:A32"/>
    <mergeCell ref="C35:D35"/>
    <mergeCell ref="C36:D36"/>
  </mergeCells>
  <pageMargins left="0.7" right="0.7" top="0.75" bottom="0.75" header="0.3" footer="0.3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2"/>
  <sheetViews>
    <sheetView workbookViewId="0">
      <selection activeCell="H33" sqref="H33"/>
    </sheetView>
  </sheetViews>
  <sheetFormatPr defaultColWidth="8.6640625" defaultRowHeight="14.55" x14ac:dyDescent="0.3"/>
  <cols>
    <col min="1" max="1" width="14.109375" customWidth="1"/>
    <col min="2" max="2" width="32.109375" customWidth="1"/>
    <col min="3" max="3" width="13" customWidth="1"/>
    <col min="4" max="4" width="11.6640625" customWidth="1"/>
    <col min="5" max="5" width="20.109375" customWidth="1"/>
  </cols>
  <sheetData>
    <row r="1" spans="1:7" ht="18.149999999999999" x14ac:dyDescent="0.35">
      <c r="A1" s="39" t="s">
        <v>0</v>
      </c>
      <c r="B1" s="39"/>
      <c r="C1" s="39"/>
      <c r="D1" s="39"/>
      <c r="E1" s="39"/>
    </row>
    <row r="2" spans="1:7" ht="9.6999999999999993" customHeight="1" x14ac:dyDescent="0.3"/>
    <row r="3" spans="1:7" x14ac:dyDescent="0.3">
      <c r="A3" s="22" t="s">
        <v>1</v>
      </c>
      <c r="B3" s="23" t="s">
        <v>2</v>
      </c>
      <c r="C3" s="24" t="s">
        <v>3</v>
      </c>
      <c r="D3" s="25" t="s">
        <v>4</v>
      </c>
      <c r="E3" s="26" t="s">
        <v>5</v>
      </c>
    </row>
    <row r="4" spans="1:7" x14ac:dyDescent="0.3">
      <c r="A4" s="40" t="s">
        <v>6</v>
      </c>
      <c r="B4" s="3" t="s">
        <v>7</v>
      </c>
      <c r="C4" s="15">
        <v>185</v>
      </c>
      <c r="D4" s="7">
        <v>20</v>
      </c>
      <c r="E4" s="10">
        <f>C4*D4</f>
        <v>3700</v>
      </c>
    </row>
    <row r="5" spans="1:7" x14ac:dyDescent="0.3">
      <c r="A5" s="41"/>
      <c r="B5" s="4"/>
      <c r="C5" s="15">
        <v>0</v>
      </c>
      <c r="D5" s="7"/>
      <c r="E5" s="11">
        <f t="shared" ref="E5:E32" si="0">C5*D5</f>
        <v>0</v>
      </c>
    </row>
    <row r="6" spans="1:7" ht="15.15" thickBot="1" x14ac:dyDescent="0.35">
      <c r="A6" s="41"/>
      <c r="B6" s="4"/>
      <c r="C6" s="15"/>
      <c r="D6" s="7"/>
      <c r="E6" s="11">
        <f t="shared" si="0"/>
        <v>0</v>
      </c>
    </row>
    <row r="7" spans="1:7" x14ac:dyDescent="0.3">
      <c r="A7" s="42" t="s">
        <v>8</v>
      </c>
      <c r="B7" s="5" t="s">
        <v>36</v>
      </c>
      <c r="C7" s="16">
        <v>395</v>
      </c>
      <c r="D7" s="8">
        <v>40</v>
      </c>
      <c r="E7" s="12">
        <f t="shared" si="0"/>
        <v>15800</v>
      </c>
    </row>
    <row r="8" spans="1:7" x14ac:dyDescent="0.3">
      <c r="A8" s="43"/>
      <c r="B8" s="4" t="s">
        <v>37</v>
      </c>
      <c r="C8" s="15">
        <v>260</v>
      </c>
      <c r="D8" s="7"/>
      <c r="E8" s="13">
        <f t="shared" si="0"/>
        <v>0</v>
      </c>
    </row>
    <row r="9" spans="1:7" x14ac:dyDescent="0.3">
      <c r="A9" s="43"/>
      <c r="B9" s="4"/>
      <c r="C9" s="15"/>
      <c r="D9" s="7"/>
      <c r="E9" s="13">
        <f t="shared" si="0"/>
        <v>0</v>
      </c>
    </row>
    <row r="10" spans="1:7" x14ac:dyDescent="0.3">
      <c r="A10" s="43"/>
      <c r="B10" s="4"/>
      <c r="C10" s="15"/>
      <c r="D10" s="7"/>
      <c r="E10" s="13">
        <f t="shared" si="0"/>
        <v>0</v>
      </c>
    </row>
    <row r="11" spans="1:7" x14ac:dyDescent="0.3">
      <c r="A11" s="43"/>
      <c r="B11" s="4"/>
      <c r="C11" s="15"/>
      <c r="D11" s="7"/>
      <c r="E11" s="13">
        <f t="shared" si="0"/>
        <v>0</v>
      </c>
    </row>
    <row r="12" spans="1:7" ht="15.15" thickBot="1" x14ac:dyDescent="0.35">
      <c r="A12" s="44"/>
      <c r="B12" s="6"/>
      <c r="C12" s="17"/>
      <c r="D12" s="9"/>
      <c r="E12" s="14">
        <f t="shared" si="0"/>
        <v>0</v>
      </c>
    </row>
    <row r="13" spans="1:7" x14ac:dyDescent="0.3">
      <c r="A13" s="41" t="s">
        <v>11</v>
      </c>
      <c r="B13" s="4" t="s">
        <v>12</v>
      </c>
      <c r="C13" s="15">
        <v>1.35</v>
      </c>
      <c r="D13" s="7">
        <v>0</v>
      </c>
      <c r="E13" s="11">
        <f t="shared" si="0"/>
        <v>0</v>
      </c>
    </row>
    <row r="14" spans="1:7" x14ac:dyDescent="0.3">
      <c r="A14" s="41"/>
      <c r="B14" s="4" t="s">
        <v>13</v>
      </c>
      <c r="C14" s="15">
        <v>5</v>
      </c>
      <c r="D14" s="7">
        <v>0</v>
      </c>
      <c r="E14" s="11">
        <f t="shared" si="0"/>
        <v>0</v>
      </c>
    </row>
    <row r="15" spans="1:7" x14ac:dyDescent="0.3">
      <c r="A15" s="41"/>
      <c r="B15" s="4" t="s">
        <v>14</v>
      </c>
      <c r="C15" s="15">
        <v>12</v>
      </c>
      <c r="D15" s="7">
        <v>0</v>
      </c>
      <c r="E15" s="11">
        <f t="shared" si="0"/>
        <v>0</v>
      </c>
      <c r="G15" s="30" t="s">
        <v>38</v>
      </c>
    </row>
    <row r="16" spans="1:7" x14ac:dyDescent="0.3">
      <c r="A16" s="41"/>
      <c r="B16" s="4" t="s">
        <v>15</v>
      </c>
      <c r="C16" s="15">
        <v>25</v>
      </c>
      <c r="D16" s="7">
        <v>0</v>
      </c>
      <c r="E16" s="11">
        <f t="shared" si="0"/>
        <v>0</v>
      </c>
    </row>
    <row r="17" spans="1:5" x14ac:dyDescent="0.3">
      <c r="A17" s="41"/>
      <c r="B17" s="4" t="s">
        <v>39</v>
      </c>
      <c r="C17" s="15">
        <v>7.3</v>
      </c>
      <c r="D17" s="7"/>
      <c r="E17" s="11">
        <f t="shared" si="0"/>
        <v>0</v>
      </c>
    </row>
    <row r="18" spans="1:5" x14ac:dyDescent="0.3">
      <c r="A18" s="41"/>
      <c r="B18" s="4" t="s">
        <v>17</v>
      </c>
      <c r="C18" s="15">
        <v>15</v>
      </c>
      <c r="D18" s="7">
        <v>0</v>
      </c>
      <c r="E18" s="11">
        <f t="shared" si="0"/>
        <v>0</v>
      </c>
    </row>
    <row r="19" spans="1:5" x14ac:dyDescent="0.3">
      <c r="A19" s="41"/>
      <c r="B19" s="4" t="s">
        <v>18</v>
      </c>
      <c r="C19" s="15">
        <v>14.4</v>
      </c>
      <c r="D19" s="7"/>
      <c r="E19" s="11">
        <f t="shared" si="0"/>
        <v>0</v>
      </c>
    </row>
    <row r="20" spans="1:5" x14ac:dyDescent="0.3">
      <c r="A20" s="41"/>
      <c r="B20" s="4" t="s">
        <v>19</v>
      </c>
      <c r="C20" s="15">
        <v>10.199999999999999</v>
      </c>
      <c r="D20" s="7"/>
      <c r="E20" s="11">
        <f t="shared" si="0"/>
        <v>0</v>
      </c>
    </row>
    <row r="21" spans="1:5" x14ac:dyDescent="0.3">
      <c r="A21" s="41"/>
      <c r="B21" s="4" t="s">
        <v>20</v>
      </c>
      <c r="C21" s="15">
        <v>14.4</v>
      </c>
      <c r="D21" s="7"/>
      <c r="E21" s="11">
        <f t="shared" si="0"/>
        <v>0</v>
      </c>
    </row>
    <row r="22" spans="1:5" x14ac:dyDescent="0.3">
      <c r="A22" s="41"/>
      <c r="B22" s="4" t="s">
        <v>21</v>
      </c>
      <c r="C22" s="15">
        <v>25</v>
      </c>
      <c r="D22" s="7"/>
      <c r="E22" s="11">
        <f t="shared" si="0"/>
        <v>0</v>
      </c>
    </row>
    <row r="23" spans="1:5" x14ac:dyDescent="0.3">
      <c r="A23" s="41"/>
      <c r="B23" s="4" t="s">
        <v>22</v>
      </c>
      <c r="C23" s="15"/>
      <c r="D23" s="7"/>
      <c r="E23" s="11">
        <f t="shared" si="0"/>
        <v>0</v>
      </c>
    </row>
    <row r="24" spans="1:5" x14ac:dyDescent="0.3">
      <c r="A24" s="41"/>
      <c r="B24" s="4" t="s">
        <v>40</v>
      </c>
      <c r="C24" s="15">
        <v>39</v>
      </c>
      <c r="D24" s="7">
        <v>0</v>
      </c>
      <c r="E24" s="11">
        <f t="shared" si="0"/>
        <v>0</v>
      </c>
    </row>
    <row r="25" spans="1:5" x14ac:dyDescent="0.3">
      <c r="A25" s="41"/>
      <c r="B25" s="4" t="s">
        <v>41</v>
      </c>
      <c r="C25" s="15">
        <v>5</v>
      </c>
      <c r="D25" s="7"/>
      <c r="E25" s="11">
        <f t="shared" si="0"/>
        <v>0</v>
      </c>
    </row>
    <row r="26" spans="1:5" x14ac:dyDescent="0.3">
      <c r="A26" s="41"/>
      <c r="B26" s="4" t="s">
        <v>42</v>
      </c>
      <c r="C26" s="15">
        <v>17.95</v>
      </c>
      <c r="D26" s="7">
        <v>0</v>
      </c>
      <c r="E26" s="11">
        <f t="shared" si="0"/>
        <v>0</v>
      </c>
    </row>
    <row r="27" spans="1:5" x14ac:dyDescent="0.3">
      <c r="A27" s="41"/>
      <c r="B27" s="4" t="s">
        <v>43</v>
      </c>
      <c r="C27" s="15">
        <v>0.83</v>
      </c>
      <c r="D27" s="7">
        <v>0</v>
      </c>
      <c r="E27" s="11">
        <f t="shared" si="0"/>
        <v>0</v>
      </c>
    </row>
    <row r="28" spans="1:5" ht="15.15" thickBot="1" x14ac:dyDescent="0.35">
      <c r="A28" s="45"/>
      <c r="B28" s="4"/>
      <c r="C28" s="15"/>
      <c r="D28" s="7"/>
      <c r="E28" s="11">
        <f t="shared" si="0"/>
        <v>0</v>
      </c>
    </row>
    <row r="29" spans="1:5" x14ac:dyDescent="0.3">
      <c r="A29" s="42" t="s">
        <v>27</v>
      </c>
      <c r="B29" s="5" t="s">
        <v>28</v>
      </c>
      <c r="C29" s="16">
        <v>18</v>
      </c>
      <c r="D29" s="8"/>
      <c r="E29" s="12">
        <f t="shared" si="0"/>
        <v>0</v>
      </c>
    </row>
    <row r="30" spans="1:5" x14ac:dyDescent="0.3">
      <c r="A30" s="43"/>
      <c r="B30" s="4"/>
      <c r="C30" s="15"/>
      <c r="D30" s="7"/>
      <c r="E30" s="13">
        <f t="shared" si="0"/>
        <v>0</v>
      </c>
    </row>
    <row r="31" spans="1:5" x14ac:dyDescent="0.3">
      <c r="A31" s="43"/>
      <c r="B31" s="4" t="s">
        <v>29</v>
      </c>
      <c r="C31" s="15">
        <v>1500</v>
      </c>
      <c r="D31" s="7">
        <v>0</v>
      </c>
      <c r="E31" s="13">
        <f t="shared" si="0"/>
        <v>0</v>
      </c>
    </row>
    <row r="32" spans="1:5" ht="15.15" thickBot="1" x14ac:dyDescent="0.35">
      <c r="A32" s="46"/>
      <c r="B32" s="4"/>
      <c r="C32" s="15"/>
      <c r="D32" s="7"/>
      <c r="E32" s="21">
        <f t="shared" si="0"/>
        <v>0</v>
      </c>
    </row>
    <row r="33" spans="1:8" ht="16.350000000000001" thickTop="1" x14ac:dyDescent="0.3">
      <c r="A33" s="35" t="s">
        <v>30</v>
      </c>
      <c r="B33" s="35"/>
      <c r="C33" s="35"/>
      <c r="D33" s="35"/>
      <c r="E33" s="18">
        <f>SUM(E4:E32)</f>
        <v>19500</v>
      </c>
    </row>
    <row r="34" spans="1:8" x14ac:dyDescent="0.3">
      <c r="A34" s="36" t="s">
        <v>31</v>
      </c>
      <c r="B34" s="36"/>
      <c r="C34" s="36"/>
      <c r="D34" s="36"/>
      <c r="E34" s="11">
        <f>E33*0.25</f>
        <v>4875</v>
      </c>
    </row>
    <row r="35" spans="1:8" ht="15.15" thickBot="1" x14ac:dyDescent="0.35">
      <c r="A35" s="37" t="s">
        <v>34</v>
      </c>
      <c r="B35" s="37"/>
      <c r="C35" s="37"/>
      <c r="D35" s="37"/>
      <c r="E35" s="19">
        <v>0</v>
      </c>
    </row>
    <row r="36" spans="1:8" ht="19.399999999999999" thickTop="1" thickBot="1" x14ac:dyDescent="0.4">
      <c r="A36" s="38" t="s">
        <v>35</v>
      </c>
      <c r="B36" s="38"/>
      <c r="C36" s="38"/>
      <c r="D36" s="38"/>
      <c r="E36" s="20">
        <f>E33+E34+E35</f>
        <v>24375</v>
      </c>
    </row>
    <row r="37" spans="1:8" ht="15.15" thickTop="1" x14ac:dyDescent="0.3">
      <c r="C37" s="1"/>
      <c r="D37" s="2"/>
      <c r="E37" s="1"/>
      <c r="H37" s="29"/>
    </row>
    <row r="38" spans="1:8" x14ac:dyDescent="0.3">
      <c r="C38" s="1"/>
      <c r="D38" s="2"/>
    </row>
    <row r="39" spans="1:8" x14ac:dyDescent="0.3">
      <c r="C39" s="1"/>
      <c r="D39" s="2"/>
      <c r="E39" s="28"/>
    </row>
    <row r="40" spans="1:8" x14ac:dyDescent="0.3">
      <c r="C40" s="1"/>
      <c r="D40" s="1"/>
      <c r="E40" s="27"/>
    </row>
    <row r="41" spans="1:8" x14ac:dyDescent="0.3">
      <c r="C41" s="1"/>
      <c r="D41" s="1"/>
      <c r="E41" s="1"/>
    </row>
    <row r="42" spans="1:8" x14ac:dyDescent="0.3">
      <c r="C42" s="1"/>
      <c r="D42" s="1"/>
      <c r="E42" s="1"/>
    </row>
  </sheetData>
  <mergeCells count="9">
    <mergeCell ref="A34:D34"/>
    <mergeCell ref="A35:D35"/>
    <mergeCell ref="A36:D36"/>
    <mergeCell ref="A1:E1"/>
    <mergeCell ref="A4:A6"/>
    <mergeCell ref="A7:A12"/>
    <mergeCell ref="A13:A28"/>
    <mergeCell ref="A29:A32"/>
    <mergeCell ref="A33:D33"/>
  </mergeCells>
  <pageMargins left="0.7" right="0.7" top="0.75" bottom="0.75" header="0.3" footer="0.3"/>
  <pageSetup paperSize="9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2784-BCAD-47E6-B960-96679FD58BCE}">
  <sheetPr>
    <pageSetUpPr fitToPage="1"/>
  </sheetPr>
  <dimension ref="A1:O42"/>
  <sheetViews>
    <sheetView zoomScale="88" zoomScaleNormal="88" workbookViewId="0">
      <selection sqref="A1:E37"/>
    </sheetView>
  </sheetViews>
  <sheetFormatPr defaultColWidth="8.6640625" defaultRowHeight="14.55" x14ac:dyDescent="0.3"/>
  <cols>
    <col min="1" max="1" width="14.109375" customWidth="1"/>
    <col min="2" max="2" width="32.109375" customWidth="1"/>
    <col min="3" max="3" width="13" customWidth="1"/>
    <col min="4" max="4" width="11.6640625" customWidth="1"/>
    <col min="5" max="5" width="20.109375" customWidth="1"/>
  </cols>
  <sheetData>
    <row r="1" spans="1:15" ht="18.149999999999999" x14ac:dyDescent="0.35">
      <c r="A1" s="39" t="s">
        <v>0</v>
      </c>
      <c r="B1" s="39"/>
      <c r="C1" s="39"/>
      <c r="D1" s="39"/>
      <c r="E1" s="39"/>
    </row>
    <row r="2" spans="1:15" ht="9.6999999999999993" customHeight="1" x14ac:dyDescent="0.3"/>
    <row r="3" spans="1:15" x14ac:dyDescent="0.3">
      <c r="A3" s="22" t="s">
        <v>1</v>
      </c>
      <c r="B3" s="23" t="s">
        <v>2</v>
      </c>
      <c r="C3" s="24" t="s">
        <v>3</v>
      </c>
      <c r="D3" s="25" t="s">
        <v>4</v>
      </c>
      <c r="E3" s="26" t="s">
        <v>5</v>
      </c>
    </row>
    <row r="4" spans="1:15" x14ac:dyDescent="0.3">
      <c r="A4" s="40" t="s">
        <v>6</v>
      </c>
      <c r="B4" s="3" t="s">
        <v>7</v>
      </c>
      <c r="C4" s="15">
        <v>484.64</v>
      </c>
      <c r="D4" s="7">
        <v>1</v>
      </c>
      <c r="E4" s="10">
        <f>C4*D4</f>
        <v>484.64</v>
      </c>
    </row>
    <row r="5" spans="1:15" x14ac:dyDescent="0.3">
      <c r="A5" s="41"/>
      <c r="B5" s="4"/>
      <c r="C5" s="15">
        <v>0</v>
      </c>
      <c r="D5" s="7"/>
      <c r="E5" s="11">
        <f t="shared" ref="E5:E32" si="0">C5*D5</f>
        <v>0</v>
      </c>
    </row>
    <row r="6" spans="1:15" ht="15.15" thickBot="1" x14ac:dyDescent="0.35">
      <c r="A6" s="41"/>
      <c r="B6" s="4"/>
      <c r="C6" s="15"/>
      <c r="D6" s="7"/>
      <c r="E6" s="11">
        <f t="shared" si="0"/>
        <v>0</v>
      </c>
    </row>
    <row r="7" spans="1:15" x14ac:dyDescent="0.3">
      <c r="A7" s="42" t="s">
        <v>8</v>
      </c>
      <c r="B7" s="5" t="s">
        <v>44</v>
      </c>
      <c r="C7" s="16">
        <f>276.9+(2*202.36)</f>
        <v>681.62</v>
      </c>
      <c r="D7" s="8">
        <v>1</v>
      </c>
      <c r="E7" s="12">
        <f t="shared" si="0"/>
        <v>681.62</v>
      </c>
    </row>
    <row r="8" spans="1:15" x14ac:dyDescent="0.3">
      <c r="A8" s="43"/>
      <c r="B8" s="4" t="s">
        <v>37</v>
      </c>
      <c r="C8" s="15">
        <v>395</v>
      </c>
      <c r="D8" s="7"/>
      <c r="E8" s="13">
        <f t="shared" si="0"/>
        <v>0</v>
      </c>
    </row>
    <row r="9" spans="1:15" x14ac:dyDescent="0.3">
      <c r="A9" s="43"/>
      <c r="B9" s="4"/>
      <c r="C9" s="15"/>
      <c r="D9" s="7"/>
      <c r="E9" s="13">
        <f t="shared" si="0"/>
        <v>0</v>
      </c>
    </row>
    <row r="10" spans="1:15" x14ac:dyDescent="0.3">
      <c r="A10" s="43"/>
      <c r="B10" s="4"/>
      <c r="C10" s="15"/>
      <c r="D10" s="7"/>
      <c r="E10" s="13">
        <f t="shared" si="0"/>
        <v>0</v>
      </c>
    </row>
    <row r="11" spans="1:15" x14ac:dyDescent="0.3">
      <c r="A11" s="43"/>
      <c r="B11" s="4"/>
      <c r="C11" s="15"/>
      <c r="D11" s="7"/>
      <c r="E11" s="13">
        <f t="shared" si="0"/>
        <v>0</v>
      </c>
    </row>
    <row r="12" spans="1:15" ht="15.15" thickBot="1" x14ac:dyDescent="0.35">
      <c r="A12" s="44"/>
      <c r="B12" s="6"/>
      <c r="C12" s="17"/>
      <c r="D12" s="9"/>
      <c r="E12" s="14">
        <f t="shared" si="0"/>
        <v>0</v>
      </c>
    </row>
    <row r="13" spans="1:15" x14ac:dyDescent="0.3">
      <c r="A13" s="41" t="s">
        <v>11</v>
      </c>
      <c r="B13" s="4" t="s">
        <v>12</v>
      </c>
      <c r="C13" s="15">
        <v>1.35</v>
      </c>
      <c r="D13" s="7">
        <v>0</v>
      </c>
      <c r="E13" s="11">
        <f t="shared" si="0"/>
        <v>0</v>
      </c>
      <c r="M13">
        <f>19*1.14</f>
        <v>21.659999999999997</v>
      </c>
      <c r="O13">
        <f>461.54/2</f>
        <v>230.77</v>
      </c>
    </row>
    <row r="14" spans="1:15" x14ac:dyDescent="0.3">
      <c r="A14" s="41"/>
      <c r="B14" s="4" t="s">
        <v>13</v>
      </c>
      <c r="C14" s="15">
        <v>5</v>
      </c>
      <c r="D14" s="7">
        <v>0</v>
      </c>
      <c r="E14" s="11">
        <f t="shared" si="0"/>
        <v>0</v>
      </c>
    </row>
    <row r="15" spans="1:15" x14ac:dyDescent="0.3">
      <c r="A15" s="41"/>
      <c r="B15" s="4" t="s">
        <v>14</v>
      </c>
      <c r="C15" s="15">
        <v>12</v>
      </c>
      <c r="D15" s="7">
        <v>3</v>
      </c>
      <c r="E15" s="11">
        <f t="shared" si="0"/>
        <v>36</v>
      </c>
      <c r="G15" s="30" t="s">
        <v>45</v>
      </c>
    </row>
    <row r="16" spans="1:15" x14ac:dyDescent="0.3">
      <c r="A16" s="41"/>
      <c r="B16" s="4" t="s">
        <v>15</v>
      </c>
      <c r="C16" s="15">
        <v>25</v>
      </c>
      <c r="D16" s="7"/>
      <c r="E16" s="11">
        <f t="shared" si="0"/>
        <v>0</v>
      </c>
    </row>
    <row r="17" spans="1:5" x14ac:dyDescent="0.3">
      <c r="A17" s="41"/>
      <c r="B17" s="4" t="s">
        <v>39</v>
      </c>
      <c r="C17" s="15">
        <v>3</v>
      </c>
      <c r="D17" s="7">
        <v>0</v>
      </c>
      <c r="E17" s="11">
        <f t="shared" si="0"/>
        <v>0</v>
      </c>
    </row>
    <row r="18" spans="1:5" x14ac:dyDescent="0.3">
      <c r="A18" s="41"/>
      <c r="B18" s="4" t="s">
        <v>17</v>
      </c>
      <c r="C18" s="15">
        <v>15</v>
      </c>
      <c r="D18" s="7">
        <v>0</v>
      </c>
      <c r="E18" s="11">
        <f t="shared" si="0"/>
        <v>0</v>
      </c>
    </row>
    <row r="19" spans="1:5" x14ac:dyDescent="0.3">
      <c r="A19" s="41"/>
      <c r="B19" s="4" t="s">
        <v>46</v>
      </c>
      <c r="C19" s="15">
        <v>16.84</v>
      </c>
      <c r="D19" s="7">
        <v>0</v>
      </c>
      <c r="E19" s="11">
        <f t="shared" si="0"/>
        <v>0</v>
      </c>
    </row>
    <row r="20" spans="1:5" x14ac:dyDescent="0.3">
      <c r="A20" s="41"/>
      <c r="B20" s="4" t="s">
        <v>47</v>
      </c>
      <c r="C20" s="15">
        <v>17</v>
      </c>
      <c r="D20" s="7">
        <v>0</v>
      </c>
      <c r="E20" s="11">
        <f t="shared" si="0"/>
        <v>0</v>
      </c>
    </row>
    <row r="21" spans="1:5" x14ac:dyDescent="0.3">
      <c r="A21" s="41"/>
      <c r="B21" s="4" t="s">
        <v>20</v>
      </c>
      <c r="C21" s="15">
        <v>14.4</v>
      </c>
      <c r="D21" s="7"/>
      <c r="E21" s="11">
        <f t="shared" si="0"/>
        <v>0</v>
      </c>
    </row>
    <row r="22" spans="1:5" x14ac:dyDescent="0.3">
      <c r="A22" s="41"/>
      <c r="B22" s="4" t="s">
        <v>21</v>
      </c>
      <c r="C22" s="15">
        <v>25</v>
      </c>
      <c r="D22" s="7"/>
      <c r="E22" s="11">
        <f t="shared" si="0"/>
        <v>0</v>
      </c>
    </row>
    <row r="23" spans="1:5" x14ac:dyDescent="0.3">
      <c r="A23" s="41"/>
      <c r="B23" s="4" t="s">
        <v>22</v>
      </c>
      <c r="C23" s="15">
        <v>2378.8000000000002</v>
      </c>
      <c r="D23" s="7">
        <v>0</v>
      </c>
      <c r="E23" s="11">
        <f t="shared" si="0"/>
        <v>0</v>
      </c>
    </row>
    <row r="24" spans="1:5" x14ac:dyDescent="0.3">
      <c r="A24" s="41"/>
      <c r="B24" s="4" t="s">
        <v>48</v>
      </c>
      <c r="C24" s="15">
        <f>160+90+60</f>
        <v>310</v>
      </c>
      <c r="D24" s="7">
        <v>0</v>
      </c>
      <c r="E24" s="11">
        <f t="shared" si="0"/>
        <v>0</v>
      </c>
    </row>
    <row r="25" spans="1:5" x14ac:dyDescent="0.3">
      <c r="A25" s="41"/>
      <c r="B25" s="4" t="s">
        <v>41</v>
      </c>
      <c r="C25" s="15">
        <v>5</v>
      </c>
      <c r="D25" s="7"/>
      <c r="E25" s="11">
        <f t="shared" si="0"/>
        <v>0</v>
      </c>
    </row>
    <row r="26" spans="1:5" x14ac:dyDescent="0.3">
      <c r="A26" s="41"/>
      <c r="B26" s="4" t="s">
        <v>49</v>
      </c>
      <c r="C26" s="15">
        <v>138.44999999999999</v>
      </c>
      <c r="D26" s="7">
        <v>1</v>
      </c>
      <c r="E26" s="11">
        <f t="shared" si="0"/>
        <v>138.44999999999999</v>
      </c>
    </row>
    <row r="27" spans="1:5" x14ac:dyDescent="0.3">
      <c r="A27" s="41"/>
      <c r="B27" s="4" t="s">
        <v>43</v>
      </c>
      <c r="C27" s="15">
        <v>0.83</v>
      </c>
      <c r="D27" s="7">
        <v>0</v>
      </c>
      <c r="E27" s="11">
        <f t="shared" si="0"/>
        <v>0</v>
      </c>
    </row>
    <row r="28" spans="1:5" ht="15.15" thickBot="1" x14ac:dyDescent="0.35">
      <c r="A28" s="45"/>
      <c r="B28" s="4"/>
      <c r="C28" s="15"/>
      <c r="D28" s="7"/>
      <c r="E28" s="11">
        <f t="shared" si="0"/>
        <v>0</v>
      </c>
    </row>
    <row r="29" spans="1:5" x14ac:dyDescent="0.3">
      <c r="A29" s="42" t="s">
        <v>27</v>
      </c>
      <c r="B29" s="5" t="s">
        <v>28</v>
      </c>
      <c r="C29" s="16">
        <v>80</v>
      </c>
      <c r="D29" s="8">
        <v>1</v>
      </c>
      <c r="E29" s="12">
        <f t="shared" si="0"/>
        <v>80</v>
      </c>
    </row>
    <row r="30" spans="1:5" x14ac:dyDescent="0.3">
      <c r="A30" s="43"/>
      <c r="B30" s="4"/>
      <c r="C30" s="15"/>
      <c r="D30" s="7"/>
      <c r="E30" s="13">
        <f t="shared" si="0"/>
        <v>0</v>
      </c>
    </row>
    <row r="31" spans="1:5" x14ac:dyDescent="0.3">
      <c r="A31" s="43"/>
      <c r="B31" s="4" t="s">
        <v>29</v>
      </c>
      <c r="C31" s="15">
        <v>1500</v>
      </c>
      <c r="D31" s="7">
        <v>0</v>
      </c>
      <c r="E31" s="13">
        <f t="shared" si="0"/>
        <v>0</v>
      </c>
    </row>
    <row r="32" spans="1:5" ht="15.15" thickBot="1" x14ac:dyDescent="0.35">
      <c r="A32" s="46"/>
      <c r="B32" s="4"/>
      <c r="C32" s="15"/>
      <c r="D32" s="7"/>
      <c r="E32" s="21">
        <f t="shared" si="0"/>
        <v>0</v>
      </c>
    </row>
    <row r="33" spans="1:8" ht="16.350000000000001" thickTop="1" x14ac:dyDescent="0.3">
      <c r="A33" s="35" t="s">
        <v>30</v>
      </c>
      <c r="B33" s="35"/>
      <c r="C33" s="35"/>
      <c r="D33" s="35"/>
      <c r="E33" s="18">
        <f>SUM(E4:E32)</f>
        <v>1420.71</v>
      </c>
    </row>
    <row r="34" spans="1:8" x14ac:dyDescent="0.3">
      <c r="A34" s="36" t="s">
        <v>31</v>
      </c>
      <c r="B34" s="36"/>
      <c r="C34" s="36"/>
      <c r="D34" s="36"/>
      <c r="E34" s="11">
        <f>E33*0.25</f>
        <v>355.17750000000001</v>
      </c>
    </row>
    <row r="35" spans="1:8" ht="15.15" thickBot="1" x14ac:dyDescent="0.35">
      <c r="A35" s="37" t="s">
        <v>34</v>
      </c>
      <c r="B35" s="37"/>
      <c r="C35" s="37"/>
      <c r="D35" s="37"/>
      <c r="E35" s="19">
        <v>0</v>
      </c>
      <c r="G35" s="31"/>
    </row>
    <row r="36" spans="1:8" ht="19.399999999999999" thickTop="1" thickBot="1" x14ac:dyDescent="0.4">
      <c r="A36" s="38" t="s">
        <v>35</v>
      </c>
      <c r="B36" s="38"/>
      <c r="C36" s="38"/>
      <c r="D36" s="38"/>
      <c r="E36" s="20">
        <f>E33+E34+E35</f>
        <v>1775.8875</v>
      </c>
    </row>
    <row r="37" spans="1:8" ht="15.15" thickTop="1" x14ac:dyDescent="0.3">
      <c r="C37" s="1"/>
      <c r="D37" s="2"/>
      <c r="E37" s="1"/>
      <c r="H37" s="29"/>
    </row>
    <row r="38" spans="1:8" x14ac:dyDescent="0.3">
      <c r="C38" s="1"/>
      <c r="D38" s="2"/>
    </row>
    <row r="39" spans="1:8" x14ac:dyDescent="0.3">
      <c r="C39" s="1"/>
      <c r="D39" s="2"/>
      <c r="E39" s="28"/>
    </row>
    <row r="40" spans="1:8" x14ac:dyDescent="0.3">
      <c r="C40" s="1"/>
      <c r="D40" s="1"/>
      <c r="E40" s="27"/>
    </row>
    <row r="41" spans="1:8" x14ac:dyDescent="0.3">
      <c r="C41" s="1"/>
      <c r="D41" s="1"/>
      <c r="E41" s="1"/>
    </row>
    <row r="42" spans="1:8" x14ac:dyDescent="0.3">
      <c r="C42" s="1"/>
      <c r="D42" s="1"/>
      <c r="E42" s="1"/>
    </row>
  </sheetData>
  <mergeCells count="9">
    <mergeCell ref="A34:D34"/>
    <mergeCell ref="A35:D35"/>
    <mergeCell ref="A36:D36"/>
    <mergeCell ref="A1:E1"/>
    <mergeCell ref="A4:A6"/>
    <mergeCell ref="A7:A12"/>
    <mergeCell ref="A13:A28"/>
    <mergeCell ref="A29:A32"/>
    <mergeCell ref="A33:D33"/>
  </mergeCells>
  <pageMargins left="0.7" right="0.7" top="0.75" bottom="0.75" header="0.3" footer="0.3"/>
  <pageSetup paperSize="9"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C94F-0F31-4254-8E99-1B8291B50F93}">
  <dimension ref="A1:R37"/>
  <sheetViews>
    <sheetView topLeftCell="A9" workbookViewId="0">
      <selection activeCell="E21" sqref="E21:E22"/>
    </sheetView>
  </sheetViews>
  <sheetFormatPr defaultRowHeight="14.55" x14ac:dyDescent="0.3"/>
  <cols>
    <col min="2" max="2" width="26.5546875" customWidth="1"/>
    <col min="3" max="3" width="12" customWidth="1"/>
    <col min="4" max="4" width="12.6640625" customWidth="1"/>
    <col min="5" max="5" width="14.5546875" customWidth="1"/>
  </cols>
  <sheetData>
    <row r="1" spans="1:18" ht="18.149999999999999" x14ac:dyDescent="0.35">
      <c r="A1" s="39" t="s">
        <v>0</v>
      </c>
      <c r="B1" s="39"/>
      <c r="C1" s="39"/>
      <c r="D1" s="39"/>
      <c r="E1" s="39"/>
    </row>
    <row r="3" spans="1:18" x14ac:dyDescent="0.3">
      <c r="A3" s="22" t="s">
        <v>1</v>
      </c>
      <c r="B3" s="23" t="s">
        <v>2</v>
      </c>
      <c r="C3" s="24" t="s">
        <v>3</v>
      </c>
      <c r="D3" s="25" t="s">
        <v>4</v>
      </c>
      <c r="E3" s="26" t="s">
        <v>5</v>
      </c>
    </row>
    <row r="4" spans="1:18" x14ac:dyDescent="0.3">
      <c r="A4" s="40" t="s">
        <v>6</v>
      </c>
      <c r="B4" s="3" t="s">
        <v>7</v>
      </c>
      <c r="C4" s="15">
        <v>413.76</v>
      </c>
      <c r="D4" s="7">
        <v>2</v>
      </c>
      <c r="E4" s="10">
        <f>C4*D4</f>
        <v>827.52</v>
      </c>
      <c r="H4" s="31">
        <f>E4-777.02</f>
        <v>50.5</v>
      </c>
    </row>
    <row r="5" spans="1:18" x14ac:dyDescent="0.3">
      <c r="A5" s="41"/>
      <c r="B5" s="4"/>
      <c r="C5" s="15">
        <v>0</v>
      </c>
      <c r="D5" s="7"/>
      <c r="E5" s="11">
        <f t="shared" ref="E5:E32" si="0">C5*D5</f>
        <v>0</v>
      </c>
    </row>
    <row r="6" spans="1:18" ht="15.15" thickBot="1" x14ac:dyDescent="0.35">
      <c r="A6" s="41"/>
      <c r="B6" s="4"/>
      <c r="C6" s="15"/>
      <c r="D6" s="7"/>
      <c r="E6" s="11">
        <f t="shared" si="0"/>
        <v>0</v>
      </c>
    </row>
    <row r="7" spans="1:18" x14ac:dyDescent="0.3">
      <c r="A7" s="42" t="s">
        <v>8</v>
      </c>
      <c r="B7" s="5" t="s">
        <v>50</v>
      </c>
      <c r="C7" s="16">
        <f>381.25 + (3*249.54)</f>
        <v>1129.8699999999999</v>
      </c>
      <c r="D7" s="8">
        <v>4</v>
      </c>
      <c r="E7" s="12">
        <f t="shared" si="0"/>
        <v>4519.4799999999996</v>
      </c>
      <c r="I7" s="34"/>
    </row>
    <row r="8" spans="1:18" x14ac:dyDescent="0.3">
      <c r="A8" s="43"/>
      <c r="B8" s="4"/>
      <c r="C8" s="15"/>
      <c r="D8" s="7"/>
      <c r="E8" s="13">
        <f t="shared" si="0"/>
        <v>0</v>
      </c>
    </row>
    <row r="9" spans="1:18" x14ac:dyDescent="0.3">
      <c r="A9" s="43"/>
      <c r="B9" s="4"/>
      <c r="C9" s="15"/>
      <c r="D9" s="7"/>
      <c r="E9" s="13">
        <f t="shared" si="0"/>
        <v>0</v>
      </c>
    </row>
    <row r="10" spans="1:18" x14ac:dyDescent="0.3">
      <c r="A10" s="43"/>
      <c r="B10" s="4"/>
      <c r="C10" s="15"/>
      <c r="D10" s="7"/>
      <c r="E10" s="13">
        <f t="shared" si="0"/>
        <v>0</v>
      </c>
    </row>
    <row r="11" spans="1:18" x14ac:dyDescent="0.3">
      <c r="A11" s="43"/>
      <c r="B11" s="4"/>
      <c r="C11" s="15"/>
      <c r="D11" s="7"/>
      <c r="E11" s="13">
        <f t="shared" si="0"/>
        <v>0</v>
      </c>
    </row>
    <row r="12" spans="1:18" ht="15.15" thickBot="1" x14ac:dyDescent="0.35">
      <c r="A12" s="44"/>
      <c r="B12" s="6"/>
      <c r="C12" s="17"/>
      <c r="D12" s="9"/>
      <c r="E12" s="14">
        <f t="shared" si="0"/>
        <v>0</v>
      </c>
      <c r="J12">
        <v>4244900</v>
      </c>
    </row>
    <row r="13" spans="1:18" x14ac:dyDescent="0.3">
      <c r="A13" s="41" t="s">
        <v>11</v>
      </c>
      <c r="B13" s="4"/>
      <c r="C13" s="15"/>
      <c r="D13" s="7"/>
      <c r="E13" s="11">
        <f t="shared" si="0"/>
        <v>0</v>
      </c>
      <c r="R13">
        <v>1840</v>
      </c>
    </row>
    <row r="14" spans="1:18" x14ac:dyDescent="0.3">
      <c r="A14" s="41"/>
      <c r="B14" s="4"/>
      <c r="C14" s="15"/>
      <c r="D14" s="7"/>
      <c r="E14" s="11">
        <f t="shared" si="0"/>
        <v>0</v>
      </c>
      <c r="R14">
        <v>235</v>
      </c>
    </row>
    <row r="15" spans="1:18" x14ac:dyDescent="0.3">
      <c r="A15" s="41"/>
      <c r="B15" s="4"/>
      <c r="C15" s="15"/>
      <c r="D15" s="7"/>
      <c r="E15" s="11">
        <f t="shared" si="0"/>
        <v>0</v>
      </c>
      <c r="R15">
        <f>SUM(R13:R14)</f>
        <v>2075</v>
      </c>
    </row>
    <row r="16" spans="1:18" x14ac:dyDescent="0.3">
      <c r="A16" s="41"/>
      <c r="B16" s="4" t="s">
        <v>15</v>
      </c>
      <c r="C16" s="15">
        <v>25</v>
      </c>
      <c r="D16" s="7">
        <v>16</v>
      </c>
      <c r="E16" s="11">
        <f t="shared" si="0"/>
        <v>400</v>
      </c>
      <c r="R16">
        <f>R15*1.25</f>
        <v>2593.75</v>
      </c>
    </row>
    <row r="17" spans="1:14" x14ac:dyDescent="0.3">
      <c r="A17" s="41"/>
      <c r="B17" s="4" t="s">
        <v>51</v>
      </c>
      <c r="C17" s="15">
        <v>1109.75</v>
      </c>
      <c r="D17" s="7">
        <v>1</v>
      </c>
      <c r="E17" s="11">
        <f t="shared" si="0"/>
        <v>1109.75</v>
      </c>
    </row>
    <row r="18" spans="1:14" x14ac:dyDescent="0.3">
      <c r="A18" s="41"/>
      <c r="B18" s="4" t="s">
        <v>17</v>
      </c>
      <c r="C18" s="15">
        <v>15</v>
      </c>
      <c r="D18" s="7">
        <v>16</v>
      </c>
      <c r="E18" s="11">
        <f t="shared" si="0"/>
        <v>240</v>
      </c>
    </row>
    <row r="19" spans="1:14" x14ac:dyDescent="0.3">
      <c r="A19" s="41"/>
      <c r="B19" s="33" t="s">
        <v>52</v>
      </c>
      <c r="C19" s="15">
        <v>6898.1</v>
      </c>
      <c r="D19" s="7">
        <v>1</v>
      </c>
      <c r="E19" s="11">
        <f t="shared" si="0"/>
        <v>6898.1</v>
      </c>
    </row>
    <row r="20" spans="1:14" x14ac:dyDescent="0.3">
      <c r="A20" s="41"/>
      <c r="B20" s="4" t="s">
        <v>53</v>
      </c>
      <c r="C20" s="15">
        <v>920</v>
      </c>
      <c r="D20" s="7">
        <v>2</v>
      </c>
      <c r="E20" s="11">
        <f t="shared" si="0"/>
        <v>1840</v>
      </c>
    </row>
    <row r="21" spans="1:14" x14ac:dyDescent="0.3">
      <c r="A21" s="41"/>
      <c r="B21" s="4" t="s">
        <v>54</v>
      </c>
      <c r="C21" s="15">
        <v>3335</v>
      </c>
      <c r="D21" s="7">
        <v>1</v>
      </c>
      <c r="E21" s="11">
        <f t="shared" si="0"/>
        <v>3335</v>
      </c>
      <c r="L21">
        <v>29722.6</v>
      </c>
    </row>
    <row r="22" spans="1:14" x14ac:dyDescent="0.3">
      <c r="A22" s="41"/>
      <c r="B22" s="4" t="s">
        <v>55</v>
      </c>
      <c r="C22" s="15">
        <v>1723.53</v>
      </c>
      <c r="D22" s="7">
        <v>1</v>
      </c>
      <c r="E22" s="11">
        <f t="shared" si="0"/>
        <v>1723.53</v>
      </c>
      <c r="L22">
        <v>29377.8</v>
      </c>
    </row>
    <row r="23" spans="1:14" x14ac:dyDescent="0.3">
      <c r="A23" s="41"/>
      <c r="B23" s="4"/>
      <c r="C23" s="15"/>
      <c r="D23" s="7"/>
      <c r="E23" s="11"/>
      <c r="L23">
        <f>L21-L22</f>
        <v>344.79999999999927</v>
      </c>
      <c r="N23">
        <v>275.83999999999997</v>
      </c>
    </row>
    <row r="24" spans="1:14" x14ac:dyDescent="0.3">
      <c r="A24" s="41"/>
      <c r="B24" s="4" t="s">
        <v>56</v>
      </c>
      <c r="C24" s="15">
        <v>23.52</v>
      </c>
      <c r="D24" s="7">
        <v>10</v>
      </c>
      <c r="E24" s="11">
        <f t="shared" si="0"/>
        <v>235.2</v>
      </c>
      <c r="N24">
        <f>L23-N23</f>
        <v>68.959999999999297</v>
      </c>
    </row>
    <row r="25" spans="1:14" x14ac:dyDescent="0.3">
      <c r="A25" s="41"/>
      <c r="B25" s="4"/>
      <c r="C25" s="15"/>
      <c r="D25" s="7"/>
      <c r="E25" s="11"/>
    </row>
    <row r="26" spans="1:14" x14ac:dyDescent="0.3">
      <c r="A26" s="41"/>
      <c r="B26" s="4" t="s">
        <v>57</v>
      </c>
      <c r="C26" s="15">
        <v>250</v>
      </c>
      <c r="D26" s="7">
        <v>2</v>
      </c>
      <c r="E26" s="11">
        <f t="shared" si="0"/>
        <v>500</v>
      </c>
    </row>
    <row r="27" spans="1:14" x14ac:dyDescent="0.3">
      <c r="A27" s="41"/>
      <c r="B27" s="4"/>
      <c r="C27" s="15"/>
      <c r="D27" s="7"/>
      <c r="E27" s="11"/>
    </row>
    <row r="28" spans="1:14" ht="15.15" thickBot="1" x14ac:dyDescent="0.35">
      <c r="A28" s="45"/>
      <c r="B28" s="4"/>
      <c r="C28" s="15"/>
      <c r="D28" s="7"/>
      <c r="E28" s="11">
        <f t="shared" si="0"/>
        <v>0</v>
      </c>
    </row>
    <row r="29" spans="1:14" x14ac:dyDescent="0.3">
      <c r="A29" s="42" t="s">
        <v>27</v>
      </c>
      <c r="B29" s="5" t="s">
        <v>28</v>
      </c>
      <c r="C29" s="16">
        <v>80</v>
      </c>
      <c r="D29" s="8">
        <v>0</v>
      </c>
      <c r="E29" s="12">
        <f t="shared" si="0"/>
        <v>0</v>
      </c>
    </row>
    <row r="30" spans="1:14" x14ac:dyDescent="0.3">
      <c r="A30" s="43"/>
      <c r="B30" s="4"/>
      <c r="C30" s="15"/>
      <c r="D30" s="7"/>
      <c r="E30" s="13">
        <f t="shared" si="0"/>
        <v>0</v>
      </c>
    </row>
    <row r="31" spans="1:14" x14ac:dyDescent="0.3">
      <c r="A31" s="43"/>
      <c r="B31" s="4" t="s">
        <v>29</v>
      </c>
      <c r="C31" s="15">
        <v>1100</v>
      </c>
      <c r="D31" s="7">
        <v>2</v>
      </c>
      <c r="E31" s="13">
        <f t="shared" si="0"/>
        <v>2200</v>
      </c>
    </row>
    <row r="32" spans="1:14" ht="15.15" thickBot="1" x14ac:dyDescent="0.35">
      <c r="A32" s="46"/>
      <c r="B32" s="4"/>
      <c r="C32" s="15"/>
      <c r="D32" s="7"/>
      <c r="E32" s="21">
        <f t="shared" si="0"/>
        <v>0</v>
      </c>
    </row>
    <row r="33" spans="1:5" ht="16.350000000000001" thickTop="1" x14ac:dyDescent="0.3">
      <c r="A33" s="35" t="s">
        <v>30</v>
      </c>
      <c r="B33" s="35"/>
      <c r="C33" s="35"/>
      <c r="D33" s="35"/>
      <c r="E33" s="18">
        <f>SUM(E4:E32)</f>
        <v>23828.579999999998</v>
      </c>
    </row>
    <row r="34" spans="1:5" x14ac:dyDescent="0.3">
      <c r="A34" s="36" t="s">
        <v>31</v>
      </c>
      <c r="B34" s="36"/>
      <c r="C34" s="36"/>
      <c r="D34" s="36"/>
      <c r="E34" s="11">
        <f>E33*0.25</f>
        <v>5957.1449999999995</v>
      </c>
    </row>
    <row r="35" spans="1:5" ht="15.15" thickBot="1" x14ac:dyDescent="0.35">
      <c r="A35" s="37" t="s">
        <v>34</v>
      </c>
      <c r="B35" s="37"/>
      <c r="C35" s="37"/>
      <c r="D35" s="37"/>
      <c r="E35" s="19">
        <v>0</v>
      </c>
    </row>
    <row r="36" spans="1:5" ht="19.399999999999999" thickTop="1" thickBot="1" x14ac:dyDescent="0.4">
      <c r="A36" s="38" t="s">
        <v>35</v>
      </c>
      <c r="B36" s="38"/>
      <c r="C36" s="38"/>
      <c r="D36" s="38"/>
      <c r="E36" s="20">
        <f>E33+E34+E35</f>
        <v>29785.724999999999</v>
      </c>
    </row>
    <row r="37" spans="1:5" ht="15.15" thickTop="1" x14ac:dyDescent="0.3">
      <c r="C37" s="1"/>
      <c r="D37" s="2"/>
      <c r="E37" s="1"/>
    </row>
  </sheetData>
  <mergeCells count="9">
    <mergeCell ref="A34:D34"/>
    <mergeCell ref="A35:D35"/>
    <mergeCell ref="A36:D36"/>
    <mergeCell ref="A1:E1"/>
    <mergeCell ref="A4:A6"/>
    <mergeCell ref="A7:A12"/>
    <mergeCell ref="A13:A28"/>
    <mergeCell ref="A29:A32"/>
    <mergeCell ref="A33:D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4C75-FE96-4CC0-BCA6-1FD2ADF5E45B}">
  <dimension ref="A1:E37"/>
  <sheetViews>
    <sheetView topLeftCell="A15" workbookViewId="0">
      <selection sqref="A1:E37"/>
    </sheetView>
  </sheetViews>
  <sheetFormatPr defaultRowHeight="14.55" x14ac:dyDescent="0.3"/>
  <cols>
    <col min="1" max="1" width="17.44140625" customWidth="1"/>
    <col min="2" max="2" width="31.109375" customWidth="1"/>
    <col min="3" max="3" width="16" customWidth="1"/>
    <col min="4" max="4" width="10.6640625" customWidth="1"/>
    <col min="5" max="5" width="18.44140625" customWidth="1"/>
  </cols>
  <sheetData>
    <row r="1" spans="1:5" ht="18.149999999999999" x14ac:dyDescent="0.35">
      <c r="A1" s="39" t="s">
        <v>0</v>
      </c>
      <c r="B1" s="39"/>
      <c r="C1" s="39"/>
      <c r="D1" s="39"/>
      <c r="E1" s="39"/>
    </row>
    <row r="3" spans="1:5" x14ac:dyDescent="0.3">
      <c r="A3" s="22" t="s">
        <v>1</v>
      </c>
      <c r="B3" s="23" t="s">
        <v>2</v>
      </c>
      <c r="C3" s="24" t="s">
        <v>3</v>
      </c>
      <c r="D3" s="25" t="s">
        <v>4</v>
      </c>
      <c r="E3" s="26" t="s">
        <v>5</v>
      </c>
    </row>
    <row r="4" spans="1:5" x14ac:dyDescent="0.3">
      <c r="A4" s="40" t="s">
        <v>6</v>
      </c>
      <c r="B4" s="3" t="s">
        <v>7</v>
      </c>
      <c r="C4" s="15">
        <v>413.76</v>
      </c>
      <c r="D4" s="7">
        <v>2</v>
      </c>
      <c r="E4" s="10">
        <f>C4*D4</f>
        <v>827.52</v>
      </c>
    </row>
    <row r="5" spans="1:5" x14ac:dyDescent="0.3">
      <c r="A5" s="41"/>
      <c r="B5" s="4"/>
      <c r="C5" s="15">
        <v>0</v>
      </c>
      <c r="D5" s="7"/>
      <c r="E5" s="11">
        <f t="shared" ref="E5:E32" si="0">C5*D5</f>
        <v>0</v>
      </c>
    </row>
    <row r="6" spans="1:5" ht="15.15" thickBot="1" x14ac:dyDescent="0.35">
      <c r="A6" s="41"/>
      <c r="B6" s="4"/>
      <c r="C6" s="15"/>
      <c r="D6" s="7"/>
      <c r="E6" s="11">
        <f t="shared" si="0"/>
        <v>0</v>
      </c>
    </row>
    <row r="7" spans="1:5" x14ac:dyDescent="0.3">
      <c r="A7" s="42" t="s">
        <v>8</v>
      </c>
      <c r="B7" s="5" t="s">
        <v>58</v>
      </c>
      <c r="C7" s="16">
        <f>381.25 + (4*249.54)</f>
        <v>1379.4099999999999</v>
      </c>
      <c r="D7" s="8">
        <v>2</v>
      </c>
      <c r="E7" s="12">
        <f t="shared" si="0"/>
        <v>2758.8199999999997</v>
      </c>
    </row>
    <row r="8" spans="1:5" x14ac:dyDescent="0.3">
      <c r="A8" s="43"/>
      <c r="B8" s="4"/>
      <c r="C8" s="15"/>
      <c r="D8" s="7"/>
      <c r="E8" s="13">
        <f t="shared" si="0"/>
        <v>0</v>
      </c>
    </row>
    <row r="9" spans="1:5" x14ac:dyDescent="0.3">
      <c r="A9" s="43"/>
      <c r="B9" s="4"/>
      <c r="C9" s="15"/>
      <c r="D9" s="7"/>
      <c r="E9" s="13">
        <f t="shared" si="0"/>
        <v>0</v>
      </c>
    </row>
    <row r="10" spans="1:5" x14ac:dyDescent="0.3">
      <c r="A10" s="43"/>
      <c r="B10" s="4"/>
      <c r="C10" s="15"/>
      <c r="D10" s="7"/>
      <c r="E10" s="13">
        <f t="shared" si="0"/>
        <v>0</v>
      </c>
    </row>
    <row r="11" spans="1:5" x14ac:dyDescent="0.3">
      <c r="A11" s="43"/>
      <c r="B11" s="4"/>
      <c r="C11" s="15"/>
      <c r="D11" s="7"/>
      <c r="E11" s="13">
        <f t="shared" si="0"/>
        <v>0</v>
      </c>
    </row>
    <row r="12" spans="1:5" ht="15.15" thickBot="1" x14ac:dyDescent="0.35">
      <c r="A12" s="44"/>
      <c r="B12" s="6"/>
      <c r="C12" s="17"/>
      <c r="D12" s="9"/>
      <c r="E12" s="14">
        <f t="shared" si="0"/>
        <v>0</v>
      </c>
    </row>
    <row r="13" spans="1:5" x14ac:dyDescent="0.3">
      <c r="A13" s="41" t="s">
        <v>11</v>
      </c>
      <c r="B13" s="4"/>
      <c r="C13" s="15"/>
      <c r="D13" s="7"/>
      <c r="E13" s="11">
        <f t="shared" si="0"/>
        <v>0</v>
      </c>
    </row>
    <row r="14" spans="1:5" x14ac:dyDescent="0.3">
      <c r="A14" s="41"/>
      <c r="B14" s="4"/>
      <c r="C14" s="15"/>
      <c r="D14" s="7"/>
      <c r="E14" s="11">
        <f t="shared" si="0"/>
        <v>0</v>
      </c>
    </row>
    <row r="15" spans="1:5" x14ac:dyDescent="0.3">
      <c r="A15" s="41"/>
      <c r="B15" s="4"/>
      <c r="C15" s="15"/>
      <c r="D15" s="7"/>
      <c r="E15" s="11">
        <f t="shared" si="0"/>
        <v>0</v>
      </c>
    </row>
    <row r="16" spans="1:5" x14ac:dyDescent="0.3">
      <c r="A16" s="41"/>
      <c r="B16" s="4" t="s">
        <v>15</v>
      </c>
      <c r="C16" s="15">
        <v>25</v>
      </c>
      <c r="D16" s="7">
        <v>14</v>
      </c>
      <c r="E16" s="11">
        <f t="shared" si="0"/>
        <v>350</v>
      </c>
    </row>
    <row r="17" spans="1:5" x14ac:dyDescent="0.3">
      <c r="A17" s="41"/>
      <c r="B17" s="4" t="s">
        <v>51</v>
      </c>
      <c r="C17" s="15">
        <v>1109.75</v>
      </c>
      <c r="D17" s="7">
        <v>0</v>
      </c>
      <c r="E17" s="11">
        <f t="shared" si="0"/>
        <v>0</v>
      </c>
    </row>
    <row r="18" spans="1:5" x14ac:dyDescent="0.3">
      <c r="A18" s="41"/>
      <c r="B18" s="4" t="s">
        <v>17</v>
      </c>
      <c r="C18" s="15">
        <v>15</v>
      </c>
      <c r="D18" s="7">
        <v>14</v>
      </c>
      <c r="E18" s="11">
        <f t="shared" si="0"/>
        <v>210</v>
      </c>
    </row>
    <row r="19" spans="1:5" x14ac:dyDescent="0.3">
      <c r="A19" s="41"/>
      <c r="B19" s="33" t="s">
        <v>52</v>
      </c>
      <c r="C19" s="15">
        <v>6898.1</v>
      </c>
      <c r="D19" s="7">
        <v>0</v>
      </c>
      <c r="E19" s="11">
        <f t="shared" si="0"/>
        <v>0</v>
      </c>
    </row>
    <row r="20" spans="1:5" x14ac:dyDescent="0.3">
      <c r="A20" s="41"/>
      <c r="B20" s="4" t="s">
        <v>53</v>
      </c>
      <c r="C20" s="15">
        <v>1790</v>
      </c>
      <c r="D20" s="7">
        <v>1</v>
      </c>
      <c r="E20" s="11">
        <f t="shared" si="0"/>
        <v>1790</v>
      </c>
    </row>
    <row r="21" spans="1:5" x14ac:dyDescent="0.3">
      <c r="A21" s="41"/>
      <c r="B21" s="4" t="s">
        <v>54</v>
      </c>
      <c r="C21" s="15">
        <v>1495</v>
      </c>
      <c r="D21" s="7">
        <v>1</v>
      </c>
      <c r="E21" s="11">
        <f t="shared" si="0"/>
        <v>1495</v>
      </c>
    </row>
    <row r="22" spans="1:5" x14ac:dyDescent="0.3">
      <c r="A22" s="41"/>
      <c r="B22" s="4" t="s">
        <v>55</v>
      </c>
      <c r="C22" s="15">
        <v>1723.53</v>
      </c>
      <c r="D22" s="7">
        <v>0</v>
      </c>
      <c r="E22" s="11">
        <f t="shared" si="0"/>
        <v>0</v>
      </c>
    </row>
    <row r="23" spans="1:5" x14ac:dyDescent="0.3">
      <c r="A23" s="41"/>
      <c r="B23" s="4"/>
      <c r="C23" s="15"/>
      <c r="D23" s="7"/>
      <c r="E23" s="11"/>
    </row>
    <row r="24" spans="1:5" x14ac:dyDescent="0.3">
      <c r="A24" s="41"/>
      <c r="B24" s="4" t="s">
        <v>56</v>
      </c>
      <c r="C24" s="15">
        <v>23.52</v>
      </c>
      <c r="D24" s="7">
        <v>0</v>
      </c>
      <c r="E24" s="11">
        <f t="shared" si="0"/>
        <v>0</v>
      </c>
    </row>
    <row r="25" spans="1:5" x14ac:dyDescent="0.3">
      <c r="A25" s="41"/>
      <c r="B25" s="4"/>
      <c r="C25" s="15"/>
      <c r="D25" s="7"/>
      <c r="E25" s="11"/>
    </row>
    <row r="26" spans="1:5" x14ac:dyDescent="0.3">
      <c r="A26" s="41"/>
      <c r="B26" s="4" t="s">
        <v>57</v>
      </c>
      <c r="C26" s="15">
        <v>250</v>
      </c>
      <c r="D26" s="7">
        <v>0</v>
      </c>
      <c r="E26" s="11">
        <f t="shared" si="0"/>
        <v>0</v>
      </c>
    </row>
    <row r="27" spans="1:5" x14ac:dyDescent="0.3">
      <c r="A27" s="41"/>
      <c r="B27" s="4"/>
      <c r="C27" s="15"/>
      <c r="D27" s="7"/>
      <c r="E27" s="11"/>
    </row>
    <row r="28" spans="1:5" ht="15.15" thickBot="1" x14ac:dyDescent="0.35">
      <c r="A28" s="45"/>
      <c r="B28" s="4"/>
      <c r="C28" s="15"/>
      <c r="D28" s="7"/>
      <c r="E28" s="11">
        <f t="shared" si="0"/>
        <v>0</v>
      </c>
    </row>
    <row r="29" spans="1:5" x14ac:dyDescent="0.3">
      <c r="A29" s="42" t="s">
        <v>27</v>
      </c>
      <c r="B29" s="5" t="s">
        <v>28</v>
      </c>
      <c r="C29" s="16">
        <v>80</v>
      </c>
      <c r="D29" s="8">
        <v>0</v>
      </c>
      <c r="E29" s="12">
        <f t="shared" si="0"/>
        <v>0</v>
      </c>
    </row>
    <row r="30" spans="1:5" x14ac:dyDescent="0.3">
      <c r="A30" s="43"/>
      <c r="B30" s="4"/>
      <c r="C30" s="15"/>
      <c r="D30" s="7"/>
      <c r="E30" s="13">
        <f t="shared" si="0"/>
        <v>0</v>
      </c>
    </row>
    <row r="31" spans="1:5" x14ac:dyDescent="0.3">
      <c r="A31" s="43"/>
      <c r="B31" s="4" t="s">
        <v>29</v>
      </c>
      <c r="C31" s="15">
        <v>1100</v>
      </c>
      <c r="D31" s="7">
        <v>0</v>
      </c>
      <c r="E31" s="13">
        <f t="shared" si="0"/>
        <v>0</v>
      </c>
    </row>
    <row r="32" spans="1:5" ht="15.15" thickBot="1" x14ac:dyDescent="0.35">
      <c r="A32" s="46"/>
      <c r="B32" s="4"/>
      <c r="C32" s="15"/>
      <c r="D32" s="7"/>
      <c r="E32" s="21">
        <f t="shared" si="0"/>
        <v>0</v>
      </c>
    </row>
    <row r="33" spans="1:5" ht="16.350000000000001" thickTop="1" x14ac:dyDescent="0.3">
      <c r="A33" s="35" t="s">
        <v>30</v>
      </c>
      <c r="B33" s="35"/>
      <c r="C33" s="35"/>
      <c r="D33" s="35"/>
      <c r="E33" s="18">
        <f>SUM(E4:E32)</f>
        <v>7431.34</v>
      </c>
    </row>
    <row r="34" spans="1:5" x14ac:dyDescent="0.3">
      <c r="A34" s="36" t="s">
        <v>31</v>
      </c>
      <c r="B34" s="36"/>
      <c r="C34" s="36"/>
      <c r="D34" s="36"/>
      <c r="E34" s="11">
        <f>E33*0.25</f>
        <v>1857.835</v>
      </c>
    </row>
    <row r="35" spans="1:5" ht="15.15" thickBot="1" x14ac:dyDescent="0.35">
      <c r="A35" s="37" t="s">
        <v>34</v>
      </c>
      <c r="B35" s="37"/>
      <c r="C35" s="37"/>
      <c r="D35" s="37"/>
      <c r="E35" s="19">
        <v>0</v>
      </c>
    </row>
    <row r="36" spans="1:5" ht="19.399999999999999" thickTop="1" thickBot="1" x14ac:dyDescent="0.4">
      <c r="A36" s="38" t="s">
        <v>35</v>
      </c>
      <c r="B36" s="38"/>
      <c r="C36" s="38"/>
      <c r="D36" s="38"/>
      <c r="E36" s="20">
        <f>E33+E34+E35</f>
        <v>9289.1749999999993</v>
      </c>
    </row>
    <row r="37" spans="1:5" ht="15.15" thickTop="1" x14ac:dyDescent="0.3">
      <c r="C37" s="1"/>
      <c r="D37" s="2"/>
      <c r="E37" s="1"/>
    </row>
  </sheetData>
  <mergeCells count="9">
    <mergeCell ref="A34:D34"/>
    <mergeCell ref="A35:D35"/>
    <mergeCell ref="A36:D36"/>
    <mergeCell ref="A1:E1"/>
    <mergeCell ref="A4:A6"/>
    <mergeCell ref="A7:A12"/>
    <mergeCell ref="A13:A28"/>
    <mergeCell ref="A29:A32"/>
    <mergeCell ref="A33:D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DA4D-B007-400A-844B-B2189079298D}">
  <dimension ref="A1:J37"/>
  <sheetViews>
    <sheetView tabSelected="1" zoomScaleNormal="100" workbookViewId="0">
      <selection activeCell="J21" sqref="J21"/>
    </sheetView>
  </sheetViews>
  <sheetFormatPr defaultRowHeight="14.55" x14ac:dyDescent="0.3"/>
  <cols>
    <col min="1" max="1" width="12.33203125" customWidth="1"/>
    <col min="2" max="2" width="28.33203125" customWidth="1"/>
    <col min="3" max="3" width="11.88671875" customWidth="1"/>
    <col min="5" max="5" width="15.33203125" customWidth="1"/>
    <col min="10" max="10" width="11.33203125" bestFit="1" customWidth="1"/>
  </cols>
  <sheetData>
    <row r="1" spans="1:5" ht="18.149999999999999" x14ac:dyDescent="0.35">
      <c r="A1" s="39" t="s">
        <v>0</v>
      </c>
      <c r="B1" s="39"/>
      <c r="C1" s="39"/>
      <c r="D1" s="39"/>
      <c r="E1" s="39"/>
    </row>
    <row r="3" spans="1:5" x14ac:dyDescent="0.3">
      <c r="A3" s="22" t="s">
        <v>1</v>
      </c>
      <c r="B3" s="23" t="s">
        <v>2</v>
      </c>
      <c r="C3" s="24" t="s">
        <v>3</v>
      </c>
      <c r="D3" s="25" t="s">
        <v>4</v>
      </c>
      <c r="E3" s="26" t="s">
        <v>5</v>
      </c>
    </row>
    <row r="4" spans="1:5" x14ac:dyDescent="0.3">
      <c r="A4" s="40" t="s">
        <v>6</v>
      </c>
      <c r="B4" s="3" t="s">
        <v>7</v>
      </c>
      <c r="C4" s="15">
        <v>413.76</v>
      </c>
      <c r="D4" s="7">
        <v>1</v>
      </c>
      <c r="E4" s="10">
        <f>C4*D4</f>
        <v>413.76</v>
      </c>
    </row>
    <row r="5" spans="1:5" x14ac:dyDescent="0.3">
      <c r="A5" s="41"/>
      <c r="B5" s="4"/>
      <c r="C5" s="15">
        <v>0</v>
      </c>
      <c r="D5" s="7"/>
      <c r="E5" s="11">
        <f t="shared" ref="E5:E32" si="0">C5*D5</f>
        <v>0</v>
      </c>
    </row>
    <row r="6" spans="1:5" ht="15.15" thickBot="1" x14ac:dyDescent="0.35">
      <c r="A6" s="41"/>
      <c r="B6" s="4"/>
      <c r="C6" s="15"/>
      <c r="D6" s="7"/>
      <c r="E6" s="11">
        <f t="shared" si="0"/>
        <v>0</v>
      </c>
    </row>
    <row r="7" spans="1:5" x14ac:dyDescent="0.3">
      <c r="A7" s="42" t="s">
        <v>8</v>
      </c>
      <c r="B7" s="5" t="s">
        <v>58</v>
      </c>
      <c r="C7" s="16">
        <f>381.25 + (2*249.54)</f>
        <v>880.32999999999993</v>
      </c>
      <c r="D7" s="8">
        <v>2</v>
      </c>
      <c r="E7" s="12">
        <f t="shared" si="0"/>
        <v>1760.6599999999999</v>
      </c>
    </row>
    <row r="8" spans="1:5" x14ac:dyDescent="0.3">
      <c r="A8" s="43"/>
      <c r="B8" s="4"/>
      <c r="C8" s="15"/>
      <c r="D8" s="7"/>
      <c r="E8" s="13">
        <f t="shared" si="0"/>
        <v>0</v>
      </c>
    </row>
    <row r="9" spans="1:5" x14ac:dyDescent="0.3">
      <c r="A9" s="43"/>
      <c r="B9" s="4"/>
      <c r="C9" s="15"/>
      <c r="D9" s="7"/>
      <c r="E9" s="13">
        <f t="shared" si="0"/>
        <v>0</v>
      </c>
    </row>
    <row r="10" spans="1:5" x14ac:dyDescent="0.3">
      <c r="A10" s="43"/>
      <c r="B10" s="4"/>
      <c r="C10" s="15"/>
      <c r="D10" s="7"/>
      <c r="E10" s="13">
        <f t="shared" si="0"/>
        <v>0</v>
      </c>
    </row>
    <row r="11" spans="1:5" x14ac:dyDescent="0.3">
      <c r="A11" s="43"/>
      <c r="B11" s="4"/>
      <c r="C11" s="15"/>
      <c r="D11" s="7"/>
      <c r="E11" s="13">
        <f t="shared" si="0"/>
        <v>0</v>
      </c>
    </row>
    <row r="12" spans="1:5" ht="15.15" thickBot="1" x14ac:dyDescent="0.35">
      <c r="A12" s="44"/>
      <c r="B12" s="6"/>
      <c r="C12" s="17"/>
      <c r="D12" s="9"/>
      <c r="E12" s="14">
        <f t="shared" si="0"/>
        <v>0</v>
      </c>
    </row>
    <row r="13" spans="1:5" x14ac:dyDescent="0.3">
      <c r="A13" s="41" t="s">
        <v>11</v>
      </c>
      <c r="B13" s="4"/>
      <c r="C13" s="15"/>
      <c r="D13" s="7"/>
      <c r="E13" s="11">
        <f t="shared" si="0"/>
        <v>0</v>
      </c>
    </row>
    <row r="14" spans="1:5" x14ac:dyDescent="0.3">
      <c r="A14" s="41"/>
      <c r="B14" s="4"/>
      <c r="C14" s="15"/>
      <c r="D14" s="7"/>
      <c r="E14" s="11">
        <f t="shared" si="0"/>
        <v>0</v>
      </c>
    </row>
    <row r="15" spans="1:5" x14ac:dyDescent="0.3">
      <c r="A15" s="41"/>
      <c r="B15" s="4"/>
      <c r="C15" s="15"/>
      <c r="D15" s="7"/>
      <c r="E15" s="11">
        <f t="shared" si="0"/>
        <v>0</v>
      </c>
    </row>
    <row r="16" spans="1:5" x14ac:dyDescent="0.3">
      <c r="A16" s="41"/>
      <c r="B16" s="4" t="s">
        <v>15</v>
      </c>
      <c r="C16" s="15">
        <v>25</v>
      </c>
      <c r="D16" s="7">
        <v>6</v>
      </c>
      <c r="E16" s="11">
        <f t="shared" si="0"/>
        <v>150</v>
      </c>
    </row>
    <row r="17" spans="1:5" x14ac:dyDescent="0.3">
      <c r="A17" s="41"/>
      <c r="B17" s="4" t="s">
        <v>51</v>
      </c>
      <c r="C17" s="15">
        <v>1109.75</v>
      </c>
      <c r="D17" s="7">
        <v>0</v>
      </c>
      <c r="E17" s="11">
        <f t="shared" si="0"/>
        <v>0</v>
      </c>
    </row>
    <row r="18" spans="1:5" x14ac:dyDescent="0.3">
      <c r="A18" s="41"/>
      <c r="B18" s="4" t="s">
        <v>59</v>
      </c>
      <c r="C18" s="15">
        <v>421.75</v>
      </c>
      <c r="D18" s="7">
        <v>0</v>
      </c>
      <c r="E18" s="11">
        <f t="shared" si="0"/>
        <v>0</v>
      </c>
    </row>
    <row r="19" spans="1:5" x14ac:dyDescent="0.3">
      <c r="A19" s="41"/>
      <c r="B19" s="33" t="s">
        <v>60</v>
      </c>
      <c r="C19" s="15">
        <v>4993.9399999999996</v>
      </c>
      <c r="D19" s="7">
        <v>1</v>
      </c>
      <c r="E19" s="11">
        <f t="shared" si="0"/>
        <v>4993.9399999999996</v>
      </c>
    </row>
    <row r="20" spans="1:5" x14ac:dyDescent="0.3">
      <c r="A20" s="41"/>
      <c r="B20" s="4" t="s">
        <v>53</v>
      </c>
      <c r="C20" s="15">
        <v>1790</v>
      </c>
      <c r="D20" s="7">
        <v>0</v>
      </c>
      <c r="E20" s="11">
        <f t="shared" si="0"/>
        <v>0</v>
      </c>
    </row>
    <row r="21" spans="1:5" x14ac:dyDescent="0.3">
      <c r="A21" s="41"/>
      <c r="B21" s="4" t="s">
        <v>54</v>
      </c>
      <c r="C21" s="15">
        <v>1955</v>
      </c>
      <c r="D21" s="7">
        <v>0</v>
      </c>
      <c r="E21" s="11">
        <f t="shared" si="0"/>
        <v>0</v>
      </c>
    </row>
    <row r="22" spans="1:5" x14ac:dyDescent="0.3">
      <c r="A22" s="41"/>
      <c r="B22" s="4" t="s">
        <v>55</v>
      </c>
      <c r="C22" s="15">
        <v>3348.11</v>
      </c>
      <c r="D22" s="7">
        <v>0</v>
      </c>
      <c r="E22" s="11">
        <f t="shared" si="0"/>
        <v>0</v>
      </c>
    </row>
    <row r="23" spans="1:5" x14ac:dyDescent="0.3">
      <c r="A23" s="41"/>
      <c r="B23" s="4"/>
      <c r="C23" s="15"/>
      <c r="D23" s="7"/>
      <c r="E23" s="11"/>
    </row>
    <row r="24" spans="1:5" x14ac:dyDescent="0.3">
      <c r="A24" s="41"/>
      <c r="B24" s="4" t="s">
        <v>56</v>
      </c>
      <c r="C24" s="15">
        <v>23.52</v>
      </c>
      <c r="D24" s="7">
        <v>0</v>
      </c>
      <c r="E24" s="11">
        <f t="shared" si="0"/>
        <v>0</v>
      </c>
    </row>
    <row r="25" spans="1:5" x14ac:dyDescent="0.3">
      <c r="A25" s="41"/>
      <c r="B25" s="4"/>
      <c r="C25" s="15"/>
      <c r="D25" s="7"/>
      <c r="E25" s="11"/>
    </row>
    <row r="26" spans="1:5" x14ac:dyDescent="0.3">
      <c r="A26" s="41"/>
      <c r="B26" s="4" t="s">
        <v>57</v>
      </c>
      <c r="C26" s="15">
        <v>250</v>
      </c>
      <c r="D26" s="7">
        <v>0</v>
      </c>
      <c r="E26" s="11">
        <f t="shared" si="0"/>
        <v>0</v>
      </c>
    </row>
    <row r="27" spans="1:5" x14ac:dyDescent="0.3">
      <c r="A27" s="41"/>
      <c r="B27" s="4"/>
      <c r="C27" s="15"/>
      <c r="D27" s="7"/>
      <c r="E27" s="11"/>
    </row>
    <row r="28" spans="1:5" ht="15.15" thickBot="1" x14ac:dyDescent="0.35">
      <c r="A28" s="45"/>
      <c r="B28" s="4"/>
      <c r="C28" s="15"/>
      <c r="D28" s="7"/>
      <c r="E28" s="11">
        <f t="shared" si="0"/>
        <v>0</v>
      </c>
    </row>
    <row r="29" spans="1:5" x14ac:dyDescent="0.3">
      <c r="A29" s="42" t="s">
        <v>27</v>
      </c>
      <c r="B29" s="5" t="s">
        <v>28</v>
      </c>
      <c r="C29" s="16">
        <v>80</v>
      </c>
      <c r="D29" s="8">
        <v>0</v>
      </c>
      <c r="E29" s="12">
        <f t="shared" si="0"/>
        <v>0</v>
      </c>
    </row>
    <row r="30" spans="1:5" x14ac:dyDescent="0.3">
      <c r="A30" s="43"/>
      <c r="B30" s="4"/>
      <c r="C30" s="15"/>
      <c r="D30" s="7"/>
      <c r="E30" s="13">
        <f t="shared" si="0"/>
        <v>0</v>
      </c>
    </row>
    <row r="31" spans="1:5" x14ac:dyDescent="0.3">
      <c r="A31" s="43"/>
      <c r="B31" s="4" t="s">
        <v>29</v>
      </c>
      <c r="C31" s="15">
        <v>1100</v>
      </c>
      <c r="D31" s="7">
        <v>0</v>
      </c>
      <c r="E31" s="13">
        <f t="shared" si="0"/>
        <v>0</v>
      </c>
    </row>
    <row r="32" spans="1:5" ht="15.15" thickBot="1" x14ac:dyDescent="0.35">
      <c r="A32" s="46"/>
      <c r="B32" s="4"/>
      <c r="C32" s="15"/>
      <c r="D32" s="7"/>
      <c r="E32" s="21">
        <f t="shared" si="0"/>
        <v>0</v>
      </c>
    </row>
    <row r="33" spans="1:10" ht="16.350000000000001" thickTop="1" x14ac:dyDescent="0.3">
      <c r="A33" s="35" t="s">
        <v>30</v>
      </c>
      <c r="B33" s="35"/>
      <c r="C33" s="35"/>
      <c r="D33" s="35"/>
      <c r="E33" s="18">
        <f>SUM(E4:E32)</f>
        <v>7318.36</v>
      </c>
    </row>
    <row r="34" spans="1:10" x14ac:dyDescent="0.3">
      <c r="A34" s="36" t="s">
        <v>31</v>
      </c>
      <c r="B34" s="36"/>
      <c r="C34" s="36"/>
      <c r="D34" s="36"/>
      <c r="E34" s="11">
        <f>E33*0.25</f>
        <v>1829.59</v>
      </c>
    </row>
    <row r="35" spans="1:10" ht="15.15" thickBot="1" x14ac:dyDescent="0.35">
      <c r="A35" s="37" t="s">
        <v>34</v>
      </c>
      <c r="B35" s="37"/>
      <c r="C35" s="37"/>
      <c r="D35" s="37"/>
      <c r="E35" s="19">
        <v>0</v>
      </c>
    </row>
    <row r="36" spans="1:10" ht="19.399999999999999" thickTop="1" thickBot="1" x14ac:dyDescent="0.4">
      <c r="A36" s="38" t="s">
        <v>35</v>
      </c>
      <c r="B36" s="38"/>
      <c r="C36" s="38"/>
      <c r="D36" s="38"/>
      <c r="E36" s="20">
        <f>E33+E34+E35</f>
        <v>9147.9499999999989</v>
      </c>
      <c r="J36" s="31"/>
    </row>
    <row r="37" spans="1:10" ht="15.15" thickTop="1" x14ac:dyDescent="0.3">
      <c r="C37" s="1"/>
      <c r="D37" s="2"/>
      <c r="E37" s="1"/>
    </row>
  </sheetData>
  <mergeCells count="9">
    <mergeCell ref="A34:D34"/>
    <mergeCell ref="A35:D35"/>
    <mergeCell ref="A36:D36"/>
    <mergeCell ref="A1:E1"/>
    <mergeCell ref="A4:A6"/>
    <mergeCell ref="A7:A12"/>
    <mergeCell ref="A13:A28"/>
    <mergeCell ref="A29:A32"/>
    <mergeCell ref="A33:D3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BA1F-B578-454D-B30A-223F16676F66}">
  <dimension ref="A1"/>
  <sheetViews>
    <sheetView workbookViewId="0"/>
  </sheetViews>
  <sheetFormatPr defaultRowHeight="14.55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7D3D-00A5-4F00-AFA8-8BB08FB2997D}">
  <dimension ref="A1:E37"/>
  <sheetViews>
    <sheetView workbookViewId="0">
      <selection activeCell="G23" sqref="G23"/>
    </sheetView>
  </sheetViews>
  <sheetFormatPr defaultRowHeight="14.55" x14ac:dyDescent="0.3"/>
  <cols>
    <col min="2" max="3" width="12.109375" customWidth="1"/>
    <col min="5" max="5" width="15.109375" customWidth="1"/>
  </cols>
  <sheetData>
    <row r="1" spans="1:5" ht="18.149999999999999" x14ac:dyDescent="0.35">
      <c r="A1" s="39" t="s">
        <v>0</v>
      </c>
      <c r="B1" s="39"/>
      <c r="C1" s="39"/>
      <c r="D1" s="39"/>
      <c r="E1" s="39"/>
    </row>
    <row r="3" spans="1:5" x14ac:dyDescent="0.3">
      <c r="A3" s="22" t="s">
        <v>1</v>
      </c>
      <c r="B3" s="23" t="s">
        <v>2</v>
      </c>
      <c r="C3" s="24" t="s">
        <v>3</v>
      </c>
      <c r="D3" s="25" t="s">
        <v>4</v>
      </c>
      <c r="E3" s="26" t="s">
        <v>5</v>
      </c>
    </row>
    <row r="4" spans="1:5" x14ac:dyDescent="0.3">
      <c r="A4" s="40" t="s">
        <v>6</v>
      </c>
      <c r="B4" s="3" t="s">
        <v>7</v>
      </c>
      <c r="C4" s="15">
        <v>516.11</v>
      </c>
      <c r="D4" s="7">
        <v>2</v>
      </c>
      <c r="E4" s="10">
        <f>C4*D4</f>
        <v>1032.22</v>
      </c>
    </row>
    <row r="5" spans="1:5" x14ac:dyDescent="0.3">
      <c r="A5" s="41"/>
      <c r="B5" s="4"/>
      <c r="C5" s="15">
        <v>0</v>
      </c>
      <c r="D5" s="7"/>
      <c r="E5" s="11">
        <f t="shared" ref="E5:E32" si="0">C5*D5</f>
        <v>0</v>
      </c>
    </row>
    <row r="6" spans="1:5" ht="15.15" thickBot="1" x14ac:dyDescent="0.35">
      <c r="A6" s="41"/>
      <c r="B6" s="4"/>
      <c r="C6" s="15"/>
      <c r="D6" s="7"/>
      <c r="E6" s="11">
        <f t="shared" si="0"/>
        <v>0</v>
      </c>
    </row>
    <row r="7" spans="1:5" x14ac:dyDescent="0.3">
      <c r="A7" s="42" t="s">
        <v>8</v>
      </c>
      <c r="B7" s="5" t="s">
        <v>50</v>
      </c>
      <c r="C7" s="16">
        <f>381.25 + (2*249.54)</f>
        <v>880.32999999999993</v>
      </c>
      <c r="D7" s="8">
        <v>4</v>
      </c>
      <c r="E7" s="12">
        <f t="shared" si="0"/>
        <v>3521.3199999999997</v>
      </c>
    </row>
    <row r="8" spans="1:5" x14ac:dyDescent="0.3">
      <c r="A8" s="43"/>
      <c r="B8" s="4"/>
      <c r="C8" s="15"/>
      <c r="D8" s="7"/>
      <c r="E8" s="13">
        <f t="shared" si="0"/>
        <v>0</v>
      </c>
    </row>
    <row r="9" spans="1:5" x14ac:dyDescent="0.3">
      <c r="A9" s="43"/>
      <c r="B9" s="4"/>
      <c r="C9" s="15"/>
      <c r="D9" s="7"/>
      <c r="E9" s="13">
        <f t="shared" si="0"/>
        <v>0</v>
      </c>
    </row>
    <row r="10" spans="1:5" x14ac:dyDescent="0.3">
      <c r="A10" s="43"/>
      <c r="B10" s="4"/>
      <c r="C10" s="15"/>
      <c r="D10" s="7"/>
      <c r="E10" s="13">
        <f t="shared" si="0"/>
        <v>0</v>
      </c>
    </row>
    <row r="11" spans="1:5" x14ac:dyDescent="0.3">
      <c r="A11" s="43"/>
      <c r="B11" s="4"/>
      <c r="C11" s="15"/>
      <c r="D11" s="7"/>
      <c r="E11" s="13">
        <f t="shared" si="0"/>
        <v>0</v>
      </c>
    </row>
    <row r="12" spans="1:5" ht="15.15" thickBot="1" x14ac:dyDescent="0.35">
      <c r="A12" s="44"/>
      <c r="B12" s="6"/>
      <c r="C12" s="17"/>
      <c r="D12" s="9"/>
      <c r="E12" s="14">
        <f t="shared" si="0"/>
        <v>0</v>
      </c>
    </row>
    <row r="13" spans="1:5" x14ac:dyDescent="0.3">
      <c r="A13" s="41" t="s">
        <v>11</v>
      </c>
      <c r="B13" s="4"/>
      <c r="C13" s="15"/>
      <c r="D13" s="7"/>
      <c r="E13" s="11">
        <f t="shared" si="0"/>
        <v>0</v>
      </c>
    </row>
    <row r="14" spans="1:5" x14ac:dyDescent="0.3">
      <c r="A14" s="41"/>
      <c r="B14" s="4"/>
      <c r="C14" s="15"/>
      <c r="D14" s="7"/>
      <c r="E14" s="11">
        <f t="shared" si="0"/>
        <v>0</v>
      </c>
    </row>
    <row r="15" spans="1:5" x14ac:dyDescent="0.3">
      <c r="A15" s="41"/>
      <c r="B15" s="4"/>
      <c r="C15" s="15"/>
      <c r="D15" s="7"/>
      <c r="E15" s="11">
        <f t="shared" si="0"/>
        <v>0</v>
      </c>
    </row>
    <row r="16" spans="1:5" x14ac:dyDescent="0.3">
      <c r="A16" s="41"/>
      <c r="B16" s="4" t="s">
        <v>15</v>
      </c>
      <c r="C16" s="15">
        <v>25</v>
      </c>
      <c r="D16" s="7">
        <v>0</v>
      </c>
      <c r="E16" s="11">
        <f t="shared" si="0"/>
        <v>0</v>
      </c>
    </row>
    <row r="17" spans="1:5" x14ac:dyDescent="0.3">
      <c r="A17" s="41"/>
      <c r="B17" s="4" t="s">
        <v>51</v>
      </c>
      <c r="C17" s="15">
        <v>1109.75</v>
      </c>
      <c r="D17" s="7">
        <v>0</v>
      </c>
      <c r="E17" s="11">
        <f t="shared" si="0"/>
        <v>0</v>
      </c>
    </row>
    <row r="18" spans="1:5" x14ac:dyDescent="0.3">
      <c r="A18" s="41"/>
      <c r="B18" s="4" t="s">
        <v>17</v>
      </c>
      <c r="C18" s="15">
        <v>15</v>
      </c>
      <c r="D18" s="7">
        <v>0</v>
      </c>
      <c r="E18" s="11">
        <f t="shared" si="0"/>
        <v>0</v>
      </c>
    </row>
    <row r="19" spans="1:5" x14ac:dyDescent="0.3">
      <c r="A19" s="41"/>
      <c r="B19" s="33" t="s">
        <v>52</v>
      </c>
      <c r="C19" s="15">
        <v>6898.1</v>
      </c>
      <c r="D19" s="7">
        <v>0</v>
      </c>
      <c r="E19" s="11">
        <f t="shared" si="0"/>
        <v>0</v>
      </c>
    </row>
    <row r="20" spans="1:5" x14ac:dyDescent="0.3">
      <c r="A20" s="41"/>
      <c r="B20" s="4" t="s">
        <v>53</v>
      </c>
      <c r="C20" s="15">
        <v>920</v>
      </c>
      <c r="D20" s="7">
        <v>0</v>
      </c>
      <c r="E20" s="11">
        <f t="shared" si="0"/>
        <v>0</v>
      </c>
    </row>
    <row r="21" spans="1:5" x14ac:dyDescent="0.3">
      <c r="A21" s="41"/>
      <c r="B21" s="4" t="s">
        <v>54</v>
      </c>
      <c r="C21" s="15">
        <v>3335</v>
      </c>
      <c r="D21" s="7">
        <v>0</v>
      </c>
      <c r="E21" s="11">
        <f t="shared" si="0"/>
        <v>0</v>
      </c>
    </row>
    <row r="22" spans="1:5" x14ac:dyDescent="0.3">
      <c r="A22" s="41"/>
      <c r="B22" s="4" t="s">
        <v>55</v>
      </c>
      <c r="C22" s="15">
        <v>1723.53</v>
      </c>
      <c r="D22" s="7">
        <v>0</v>
      </c>
      <c r="E22" s="11">
        <f t="shared" si="0"/>
        <v>0</v>
      </c>
    </row>
    <row r="23" spans="1:5" x14ac:dyDescent="0.3">
      <c r="A23" s="41"/>
      <c r="B23" s="4"/>
      <c r="C23" s="15"/>
      <c r="D23" s="7"/>
      <c r="E23" s="11"/>
    </row>
    <row r="24" spans="1:5" x14ac:dyDescent="0.3">
      <c r="A24" s="41"/>
      <c r="B24" s="4" t="s">
        <v>56</v>
      </c>
      <c r="C24" s="15">
        <v>23.52</v>
      </c>
      <c r="D24" s="7">
        <v>0</v>
      </c>
      <c r="E24" s="11">
        <f t="shared" si="0"/>
        <v>0</v>
      </c>
    </row>
    <row r="25" spans="1:5" x14ac:dyDescent="0.3">
      <c r="A25" s="41"/>
      <c r="B25" s="4"/>
      <c r="C25" s="15"/>
      <c r="D25" s="7"/>
      <c r="E25" s="11"/>
    </row>
    <row r="26" spans="1:5" x14ac:dyDescent="0.3">
      <c r="A26" s="41"/>
      <c r="B26" s="4" t="s">
        <v>57</v>
      </c>
      <c r="C26" s="15">
        <v>250</v>
      </c>
      <c r="D26" s="7">
        <v>0</v>
      </c>
      <c r="E26" s="11">
        <f t="shared" si="0"/>
        <v>0</v>
      </c>
    </row>
    <row r="27" spans="1:5" x14ac:dyDescent="0.3">
      <c r="A27" s="41"/>
      <c r="B27" s="4"/>
      <c r="C27" s="15"/>
      <c r="D27" s="7"/>
      <c r="E27" s="11"/>
    </row>
    <row r="28" spans="1:5" ht="15.15" thickBot="1" x14ac:dyDescent="0.35">
      <c r="A28" s="45"/>
      <c r="B28" s="4"/>
      <c r="C28" s="15"/>
      <c r="D28" s="7"/>
      <c r="E28" s="11">
        <f t="shared" si="0"/>
        <v>0</v>
      </c>
    </row>
    <row r="29" spans="1:5" x14ac:dyDescent="0.3">
      <c r="A29" s="42" t="s">
        <v>27</v>
      </c>
      <c r="B29" s="5" t="s">
        <v>28</v>
      </c>
      <c r="C29" s="16">
        <v>80</v>
      </c>
      <c r="D29" s="8">
        <v>0</v>
      </c>
      <c r="E29" s="12">
        <f t="shared" si="0"/>
        <v>0</v>
      </c>
    </row>
    <row r="30" spans="1:5" x14ac:dyDescent="0.3">
      <c r="A30" s="43"/>
      <c r="B30" s="4"/>
      <c r="C30" s="15"/>
      <c r="D30" s="7"/>
      <c r="E30" s="13">
        <f t="shared" si="0"/>
        <v>0</v>
      </c>
    </row>
    <row r="31" spans="1:5" x14ac:dyDescent="0.3">
      <c r="A31" s="43"/>
      <c r="B31" s="4" t="s">
        <v>29</v>
      </c>
      <c r="C31" s="15">
        <v>1100</v>
      </c>
      <c r="D31" s="7">
        <v>0</v>
      </c>
      <c r="E31" s="13">
        <f t="shared" si="0"/>
        <v>0</v>
      </c>
    </row>
    <row r="32" spans="1:5" ht="15.15" thickBot="1" x14ac:dyDescent="0.35">
      <c r="A32" s="46"/>
      <c r="B32" s="4"/>
      <c r="C32" s="15"/>
      <c r="D32" s="7"/>
      <c r="E32" s="21">
        <f t="shared" si="0"/>
        <v>0</v>
      </c>
    </row>
    <row r="33" spans="1:5" ht="16.350000000000001" thickTop="1" x14ac:dyDescent="0.3">
      <c r="A33" s="35" t="s">
        <v>30</v>
      </c>
      <c r="B33" s="35"/>
      <c r="C33" s="35"/>
      <c r="D33" s="35"/>
      <c r="E33" s="18">
        <f>SUM(E4:E32)</f>
        <v>4553.54</v>
      </c>
    </row>
    <row r="34" spans="1:5" x14ac:dyDescent="0.3">
      <c r="A34" s="36" t="s">
        <v>31</v>
      </c>
      <c r="B34" s="36"/>
      <c r="C34" s="36"/>
      <c r="D34" s="36"/>
      <c r="E34" s="11">
        <f>E33*0.25</f>
        <v>1138.385</v>
      </c>
    </row>
    <row r="35" spans="1:5" ht="15.15" thickBot="1" x14ac:dyDescent="0.35">
      <c r="A35" s="37" t="s">
        <v>34</v>
      </c>
      <c r="B35" s="37"/>
      <c r="C35" s="37"/>
      <c r="D35" s="37"/>
      <c r="E35" s="19">
        <v>500</v>
      </c>
    </row>
    <row r="36" spans="1:5" ht="19.399999999999999" thickTop="1" thickBot="1" x14ac:dyDescent="0.4">
      <c r="A36" s="38" t="s">
        <v>35</v>
      </c>
      <c r="B36" s="38"/>
      <c r="C36" s="38"/>
      <c r="D36" s="38"/>
      <c r="E36" s="20">
        <f>E33+E34+E35</f>
        <v>6191.9250000000002</v>
      </c>
    </row>
    <row r="37" spans="1:5" ht="15.15" thickTop="1" x14ac:dyDescent="0.3">
      <c r="C37" s="1"/>
      <c r="D37" s="2"/>
      <c r="E37" s="1"/>
    </row>
  </sheetData>
  <mergeCells count="9">
    <mergeCell ref="A34:D34"/>
    <mergeCell ref="A35:D35"/>
    <mergeCell ref="A36:D36"/>
    <mergeCell ref="A1:E1"/>
    <mergeCell ref="A4:A6"/>
    <mergeCell ref="A7:A12"/>
    <mergeCell ref="A13:A28"/>
    <mergeCell ref="A29:A32"/>
    <mergeCell ref="A33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Sheet1</vt:lpstr>
      <vt:lpstr>Sheet1 (2)</vt:lpstr>
      <vt:lpstr>Sheet1 (3)</vt:lpstr>
      <vt:lpstr>Harrington Park Tarring</vt:lpstr>
      <vt:lpstr>EXTRA (Paid)</vt:lpstr>
      <vt:lpstr>CIDC</vt:lpstr>
      <vt:lpstr>Sheet2</vt:lpstr>
      <vt:lpstr>Harrington Park Bays</vt:lpstr>
      <vt:lpstr>CIDC!Print_Area</vt:lpstr>
      <vt:lpstr>'Harrington Park Tarring'!Print_Area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Marera</dc:creator>
  <cp:keywords/>
  <dc:description/>
  <cp:lastModifiedBy>OPHELP Operations</cp:lastModifiedBy>
  <cp:revision/>
  <cp:lastPrinted>2022-11-11T08:47:25Z</cp:lastPrinted>
  <dcterms:created xsi:type="dcterms:W3CDTF">2019-06-28T07:10:08Z</dcterms:created>
  <dcterms:modified xsi:type="dcterms:W3CDTF">2022-11-14T09:40:10Z</dcterms:modified>
  <cp:category/>
  <cp:contentStatus/>
</cp:coreProperties>
</file>