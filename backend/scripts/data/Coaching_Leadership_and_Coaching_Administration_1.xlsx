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324922bd70e44b3/Documents/03 OPHELP Administration/11 Personnel - OPRUIM/02 Payroll Registers/"/>
    </mc:Choice>
  </mc:AlternateContent>
  <xr:revisionPtr revIDLastSave="242" documentId="13_ncr:1_{B153A8F2-81B2-4780-9ABC-3D808367F463}" xr6:coauthVersionLast="47" xr6:coauthVersionMax="47" xr10:uidLastSave="{61326EA3-F5FC-4F8F-BA4E-0E728991D1AD}"/>
  <bookViews>
    <workbookView xWindow="-108" yWindow="-108" windowWidth="23256" windowHeight="12456" activeTab="2" xr2:uid="{00000000-000D-0000-FFFF-FFFF00000000}"/>
  </bookViews>
  <sheets>
    <sheet name="OPS Office" sheetId="5" r:id="rId1"/>
    <sheet name="Coaching" sheetId="4" r:id="rId2"/>
    <sheet name="Leave Register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H16" i="6"/>
  <c r="L7" i="6" l="1"/>
  <c r="G18" i="5"/>
  <c r="D7" i="5"/>
  <c r="D18" i="5"/>
  <c r="K35" i="6"/>
  <c r="J35" i="6"/>
  <c r="I35" i="6"/>
  <c r="H35" i="6"/>
  <c r="F35" i="6"/>
  <c r="G34" i="6"/>
  <c r="K30" i="6"/>
  <c r="J30" i="6"/>
  <c r="I30" i="6"/>
  <c r="H30" i="6"/>
  <c r="G30" i="6"/>
  <c r="F30" i="6"/>
  <c r="E30" i="6"/>
  <c r="L28" i="6"/>
  <c r="L25" i="6"/>
  <c r="L22" i="6"/>
  <c r="L19" i="6"/>
  <c r="L16" i="6"/>
  <c r="L13" i="6"/>
  <c r="L10" i="6"/>
  <c r="F4" i="6"/>
  <c r="G4" i="6" s="1"/>
  <c r="H4" i="6" s="1"/>
  <c r="I4" i="6" s="1"/>
  <c r="J4" i="6" s="1"/>
  <c r="K4" i="6" s="1"/>
  <c r="L34" i="4"/>
  <c r="K34" i="4"/>
  <c r="J34" i="4"/>
  <c r="I34" i="4"/>
  <c r="H34" i="4"/>
  <c r="G34" i="4"/>
  <c r="F34" i="4"/>
  <c r="E34" i="4"/>
  <c r="G33" i="4"/>
  <c r="L32" i="4"/>
  <c r="G32" i="4"/>
  <c r="E32" i="4"/>
  <c r="L29" i="4"/>
  <c r="K29" i="4"/>
  <c r="J29" i="4"/>
  <c r="I29" i="4"/>
  <c r="H29" i="4"/>
  <c r="G29" i="4"/>
  <c r="F29" i="4"/>
  <c r="E29" i="4"/>
  <c r="L28" i="4"/>
  <c r="L24" i="4"/>
  <c r="L23" i="4"/>
  <c r="L20" i="4"/>
  <c r="L19" i="4"/>
  <c r="L16" i="4"/>
  <c r="L15" i="4"/>
  <c r="L12" i="4"/>
  <c r="L11" i="4"/>
  <c r="L8" i="4"/>
  <c r="L7" i="4"/>
  <c r="J23" i="5"/>
  <c r="I23" i="5"/>
  <c r="H23" i="5"/>
  <c r="G23" i="5"/>
  <c r="E23" i="5"/>
  <c r="J18" i="5"/>
  <c r="I18" i="5"/>
  <c r="H18" i="5"/>
  <c r="F18" i="5"/>
  <c r="E18" i="5"/>
  <c r="K13" i="5"/>
  <c r="K10" i="5"/>
  <c r="E4" i="5"/>
  <c r="F4" i="5" s="1"/>
  <c r="G4" i="5" s="1"/>
  <c r="H4" i="5" s="1"/>
  <c r="I4" i="5" s="1"/>
  <c r="J4" i="5" s="1"/>
  <c r="E33" i="6" l="1"/>
  <c r="G33" i="6" s="1"/>
  <c r="L33" i="6" s="1"/>
  <c r="L35" i="6" s="1"/>
  <c r="D21" i="5"/>
  <c r="D23" i="5" s="1"/>
  <c r="K7" i="5"/>
  <c r="K18" i="5" s="1"/>
  <c r="L30" i="6"/>
  <c r="G35" i="6" l="1"/>
  <c r="E35" i="6"/>
  <c r="F21" i="5"/>
  <c r="F23" i="5" s="1"/>
  <c r="K21" i="5" l="1"/>
  <c r="K23" i="5" s="1"/>
</calcChain>
</file>

<file path=xl/sharedStrings.xml><?xml version="1.0" encoding="utf-8"?>
<sst xmlns="http://schemas.openxmlformats.org/spreadsheetml/2006/main" count="143" uniqueCount="52">
  <si>
    <t>OPERATIONS OFFICE Register</t>
  </si>
  <si>
    <t>Signed off:</t>
  </si>
  <si>
    <t>Client No</t>
  </si>
  <si>
    <t>Function</t>
  </si>
  <si>
    <t>Hrs Quota</t>
  </si>
  <si>
    <t>TOTAL</t>
  </si>
  <si>
    <r>
      <rPr>
        <sz val="11"/>
        <color theme="1"/>
        <rFont val="Calibri"/>
        <charset val="134"/>
        <scheme val="minor"/>
      </rPr>
      <t xml:space="preserve">Data Capturing            </t>
    </r>
    <r>
      <rPr>
        <b/>
        <sz val="11"/>
        <color theme="1"/>
        <rFont val="Calibri"/>
        <charset val="134"/>
        <scheme val="minor"/>
      </rPr>
      <t>(Patience Takavadiyi)</t>
    </r>
  </si>
  <si>
    <t>Hours</t>
  </si>
  <si>
    <t>Rate</t>
  </si>
  <si>
    <r>
      <rPr>
        <sz val="11"/>
        <color theme="1"/>
        <rFont val="Calibri"/>
        <charset val="134"/>
        <scheme val="minor"/>
      </rPr>
      <t xml:space="preserve">Data Capturing           </t>
    </r>
    <r>
      <rPr>
        <b/>
        <sz val="11"/>
        <color theme="1"/>
        <rFont val="Calibri"/>
        <charset val="134"/>
        <scheme val="minor"/>
      </rPr>
      <t>(Vincent Kafula)</t>
    </r>
  </si>
  <si>
    <r>
      <rPr>
        <sz val="11"/>
        <color theme="1"/>
        <rFont val="Calibri"/>
        <charset val="134"/>
        <scheme val="minor"/>
      </rPr>
      <t>Data Capturing              (</t>
    </r>
    <r>
      <rPr>
        <b/>
        <sz val="11"/>
        <color theme="1"/>
        <rFont val="Calibri"/>
        <charset val="134"/>
        <scheme val="minor"/>
      </rPr>
      <t>Taonga Kusure</t>
    </r>
    <r>
      <rPr>
        <sz val="11"/>
        <color theme="1"/>
        <rFont val="Calibri"/>
        <charset val="134"/>
        <scheme val="minor"/>
      </rPr>
      <t>)</t>
    </r>
  </si>
  <si>
    <t>TOTALS</t>
  </si>
  <si>
    <t>      OASys Details</t>
  </si>
  <si>
    <t>OASys Account</t>
  </si>
  <si>
    <t>Pay</t>
  </si>
  <si>
    <t>Extra</t>
  </si>
  <si>
    <t>Sub-Total</t>
  </si>
  <si>
    <t>25% Admin Fee</t>
  </si>
  <si>
    <t>Invoice Value</t>
  </si>
  <si>
    <t>OPHELP Salaries</t>
  </si>
  <si>
    <t>OPHELP OPRUIM COACHING LEADERSHIP REGISTER</t>
  </si>
  <si>
    <t>Ophelp Opruim  Register</t>
  </si>
  <si>
    <t>From: 28 June 2023</t>
  </si>
  <si>
    <r>
      <rPr>
        <b/>
        <sz val="12"/>
        <color theme="1"/>
        <rFont val="Calibri"/>
        <charset val="134"/>
        <scheme val="minor"/>
      </rPr>
      <t>To</t>
    </r>
    <r>
      <rPr>
        <b/>
        <sz val="16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 xml:space="preserve"> 04 July 2023</t>
    </r>
  </si>
  <si>
    <r>
      <rPr>
        <sz val="11"/>
        <color theme="1"/>
        <rFont val="Calibri"/>
        <charset val="134"/>
        <scheme val="minor"/>
      </rPr>
      <t xml:space="preserve">Payroll No: </t>
    </r>
    <r>
      <rPr>
        <b/>
        <sz val="11"/>
        <color theme="1"/>
        <rFont val="Calibri"/>
        <charset val="134"/>
        <scheme val="minor"/>
      </rPr>
      <t>931</t>
    </r>
  </si>
  <si>
    <t>KEAGAN</t>
  </si>
  <si>
    <t>Checked by:William</t>
  </si>
  <si>
    <r>
      <rPr>
        <sz val="11"/>
        <color theme="1"/>
        <rFont val="Calibri"/>
        <charset val="134"/>
        <scheme val="minor"/>
      </rPr>
      <t xml:space="preserve">Coaching Leadership Senior          </t>
    </r>
    <r>
      <rPr>
        <b/>
        <sz val="11"/>
        <color theme="1"/>
        <rFont val="Calibri"/>
        <charset val="134"/>
        <scheme val="minor"/>
      </rPr>
      <t>(Collin Pitzer)</t>
    </r>
  </si>
  <si>
    <t>Signature</t>
  </si>
  <si>
    <r>
      <rPr>
        <sz val="11"/>
        <color theme="1"/>
        <rFont val="Calibri"/>
        <charset val="134"/>
        <scheme val="minor"/>
      </rPr>
      <t xml:space="preserve">Coaching Leadership Senior          </t>
    </r>
    <r>
      <rPr>
        <b/>
        <sz val="11"/>
        <color theme="1"/>
        <rFont val="Calibri"/>
        <charset val="134"/>
        <scheme val="minor"/>
      </rPr>
      <t>(John Huyser)</t>
    </r>
  </si>
  <si>
    <r>
      <rPr>
        <sz val="11"/>
        <color theme="1"/>
        <rFont val="Calibri"/>
        <charset val="134"/>
        <scheme val="minor"/>
      </rPr>
      <t xml:space="preserve">Coaching Leadership Junior            </t>
    </r>
    <r>
      <rPr>
        <b/>
        <sz val="11"/>
        <color theme="1"/>
        <rFont val="Calibri"/>
        <charset val="134"/>
        <scheme val="minor"/>
      </rPr>
      <t>(Charles Kudzinesa)</t>
    </r>
  </si>
  <si>
    <r>
      <rPr>
        <sz val="11"/>
        <color theme="1"/>
        <rFont val="Calibri"/>
        <charset val="134"/>
        <scheme val="minor"/>
      </rPr>
      <t xml:space="preserve">Social Development                </t>
    </r>
    <r>
      <rPr>
        <b/>
        <sz val="11"/>
        <color theme="1"/>
        <rFont val="Calibri"/>
        <charset val="134"/>
        <scheme val="minor"/>
      </rPr>
      <t>(Charlotte Januarie)</t>
    </r>
  </si>
  <si>
    <r>
      <rPr>
        <sz val="11"/>
        <color theme="1"/>
        <rFont val="Calibri"/>
        <charset val="134"/>
        <scheme val="minor"/>
      </rPr>
      <t xml:space="preserve">Coaching Leadership Junior    </t>
    </r>
    <r>
      <rPr>
        <b/>
        <sz val="11"/>
        <color theme="1"/>
        <rFont val="Calibri"/>
        <charset val="134"/>
        <scheme val="minor"/>
      </rPr>
      <t>(Melanie de Bruyn)</t>
    </r>
  </si>
  <si>
    <r>
      <rPr>
        <sz val="11"/>
        <color theme="1"/>
        <rFont val="Calibri"/>
        <charset val="134"/>
        <scheme val="minor"/>
      </rPr>
      <t xml:space="preserve">Coaching Leadership Junior    </t>
    </r>
    <r>
      <rPr>
        <b/>
        <sz val="11"/>
        <color theme="1"/>
        <rFont val="Calibri"/>
        <charset val="134"/>
        <scheme val="minor"/>
      </rPr>
      <t>()</t>
    </r>
  </si>
  <si>
    <t>OPHELP Admin Salaries</t>
  </si>
  <si>
    <t>OPHELP 6X Rewards</t>
  </si>
  <si>
    <t>OPHELP OPRUIM LEAVE REGISTER</t>
  </si>
  <si>
    <t>Ophelp Opruim  Leave Register</t>
  </si>
  <si>
    <t xml:space="preserve">Collin Pitzer                              (Senior Staff)        </t>
  </si>
  <si>
    <t>Charlotte Januarie                                       (Junior Staff)</t>
  </si>
  <si>
    <t>Charles Kudzinesa                                    (Junior Staff)</t>
  </si>
  <si>
    <t>Dawn Le Fleur                                  (Extra Staff)</t>
  </si>
  <si>
    <t>Checked by: William</t>
  </si>
  <si>
    <t>Keagan</t>
  </si>
  <si>
    <t>Payroll No: 094</t>
  </si>
  <si>
    <t>From:   12 August 2026</t>
  </si>
  <si>
    <t>To:  18 August 2026</t>
  </si>
  <si>
    <t xml:space="preserve">Prepared by:Vincent </t>
  </si>
  <si>
    <t>From: 19 August 2026</t>
  </si>
  <si>
    <r>
      <t>To:</t>
    </r>
    <r>
      <rPr>
        <sz val="11"/>
        <color theme="1"/>
        <rFont val="Calibri"/>
        <charset val="134"/>
        <scheme val="minor"/>
      </rPr>
      <t xml:space="preserve"> 25 August 2026</t>
    </r>
  </si>
  <si>
    <t>Payroll No: 096</t>
  </si>
  <si>
    <t>Holiday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</si>
</sst>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C09]dddd\,\ dd\ "/>
    <numFmt numFmtId="165" formatCode="#&quot; &quot;???/???"/>
    <numFmt numFmtId="166" formatCode="&quot;R&quot;#,##0.00;[Red]&quot;R&quot;#,##0.00"/>
    <numFmt numFmtId="167" formatCode="#,##0;[Red]#,##0"/>
    <numFmt numFmtId="168" formatCode="&quot;R&quot;#,##0.00"/>
  </numFmts>
  <fonts count="10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ck">
        <color auto="1"/>
      </right>
      <top style="double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6" fontId="2" fillId="0" borderId="14" xfId="0" applyNumberFormat="1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6" fontId="5" fillId="0" borderId="18" xfId="0" applyNumberFormat="1" applyFont="1" applyBorder="1" applyAlignment="1">
      <alignment vertical="center"/>
    </xf>
    <xf numFmtId="166" fontId="0" fillId="0" borderId="13" xfId="0" applyNumberForma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5" fontId="0" fillId="0" borderId="26" xfId="0" applyNumberFormat="1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166" fontId="5" fillId="0" borderId="31" xfId="0" applyNumberFormat="1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166" fontId="5" fillId="0" borderId="36" xfId="0" applyNumberFormat="1" applyFont="1" applyBorder="1" applyAlignment="1">
      <alignment vertical="center"/>
    </xf>
    <xf numFmtId="166" fontId="5" fillId="0" borderId="37" xfId="0" applyNumberFormat="1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2" fillId="0" borderId="42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0" fillId="0" borderId="13" xfId="0" applyBorder="1" applyAlignment="1">
      <alignment vertical="center"/>
    </xf>
    <xf numFmtId="166" fontId="0" fillId="0" borderId="13" xfId="0" applyNumberFormat="1" applyBorder="1" applyAlignment="1">
      <alignment vertical="center"/>
    </xf>
    <xf numFmtId="166" fontId="2" fillId="0" borderId="45" xfId="0" applyNumberFormat="1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0" fillId="0" borderId="47" xfId="0" applyBorder="1" applyAlignment="1">
      <alignment vertical="center"/>
    </xf>
    <xf numFmtId="166" fontId="0" fillId="0" borderId="47" xfId="0" applyNumberFormat="1" applyBorder="1" applyAlignment="1">
      <alignment vertical="center"/>
    </xf>
    <xf numFmtId="166" fontId="0" fillId="0" borderId="48" xfId="0" applyNumberForma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0" fillId="0" borderId="50" xfId="0" applyBorder="1" applyAlignment="1">
      <alignment vertical="center"/>
    </xf>
    <xf numFmtId="166" fontId="9" fillId="0" borderId="50" xfId="0" applyNumberFormat="1" applyFont="1" applyBorder="1" applyAlignment="1">
      <alignment vertical="center"/>
    </xf>
    <xf numFmtId="166" fontId="9" fillId="0" borderId="51" xfId="0" applyNumberFormat="1" applyFont="1" applyBorder="1" applyAlignment="1">
      <alignment vertical="center"/>
    </xf>
    <xf numFmtId="166" fontId="5" fillId="0" borderId="52" xfId="0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4" xfId="0" applyBorder="1"/>
    <xf numFmtId="0" fontId="2" fillId="2" borderId="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2" xfId="0" applyBorder="1" applyAlignment="1">
      <alignment horizontal="center"/>
    </xf>
    <xf numFmtId="0" fontId="0" fillId="0" borderId="53" xfId="0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0" fontId="0" fillId="0" borderId="55" xfId="0" applyBorder="1"/>
    <xf numFmtId="0" fontId="0" fillId="0" borderId="56" xfId="0" applyBorder="1" applyAlignment="1">
      <alignment horizontal="center"/>
    </xf>
    <xf numFmtId="0" fontId="0" fillId="0" borderId="54" xfId="0" applyBorder="1" applyAlignment="1">
      <alignment horizontal="center"/>
    </xf>
    <xf numFmtId="166" fontId="2" fillId="0" borderId="57" xfId="0" applyNumberFormat="1" applyFont="1" applyBorder="1" applyAlignment="1">
      <alignment horizontal="center"/>
    </xf>
    <xf numFmtId="0" fontId="0" fillId="0" borderId="17" xfId="0" applyBorder="1"/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18" xfId="0" applyFon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2" fillId="0" borderId="18" xfId="0" applyNumberFormat="1" applyFont="1" applyBorder="1" applyAlignment="1">
      <alignment horizontal="center"/>
    </xf>
    <xf numFmtId="166" fontId="0" fillId="0" borderId="13" xfId="0" applyNumberFormat="1" applyBorder="1"/>
    <xf numFmtId="166" fontId="0" fillId="0" borderId="25" xfId="0" applyNumberFormat="1" applyBorder="1"/>
    <xf numFmtId="0" fontId="0" fillId="0" borderId="34" xfId="0" applyBorder="1"/>
    <xf numFmtId="0" fontId="0" fillId="0" borderId="35" xfId="0" applyBorder="1"/>
    <xf numFmtId="166" fontId="9" fillId="0" borderId="36" xfId="0" applyNumberFormat="1" applyFont="1" applyBorder="1" applyAlignment="1">
      <alignment horizontal="center"/>
    </xf>
    <xf numFmtId="166" fontId="9" fillId="0" borderId="37" xfId="0" applyNumberFormat="1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66" fontId="2" fillId="0" borderId="45" xfId="0" applyNumberFormat="1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0" fillId="0" borderId="47" xfId="0" applyBorder="1" applyAlignment="1">
      <alignment horizontal="center"/>
    </xf>
    <xf numFmtId="166" fontId="0" fillId="0" borderId="47" xfId="0" applyNumberFormat="1" applyBorder="1" applyAlignment="1">
      <alignment horizontal="center"/>
    </xf>
    <xf numFmtId="166" fontId="0" fillId="0" borderId="48" xfId="0" applyNumberFormat="1" applyBorder="1" applyAlignment="1">
      <alignment horizontal="center"/>
    </xf>
    <xf numFmtId="0" fontId="2" fillId="0" borderId="49" xfId="0" applyFont="1" applyBorder="1"/>
    <xf numFmtId="0" fontId="0" fillId="0" borderId="50" xfId="0" applyBorder="1"/>
    <xf numFmtId="166" fontId="5" fillId="0" borderId="52" xfId="0" applyNumberFormat="1" applyFont="1" applyBorder="1" applyAlignment="1">
      <alignment horizontal="center" vertical="center"/>
    </xf>
    <xf numFmtId="0" fontId="0" fillId="0" borderId="58" xfId="0" applyBorder="1"/>
    <xf numFmtId="0" fontId="4" fillId="0" borderId="13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166" fontId="5" fillId="0" borderId="18" xfId="0" applyNumberFormat="1" applyFon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168" fontId="3" fillId="0" borderId="59" xfId="0" applyNumberFormat="1" applyFont="1" applyBorder="1" applyAlignment="1">
      <alignment horizontal="center"/>
    </xf>
    <xf numFmtId="168" fontId="3" fillId="0" borderId="13" xfId="0" applyNumberFormat="1" applyFon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25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168" fontId="0" fillId="0" borderId="30" xfId="0" applyNumberFormat="1" applyBorder="1" applyAlignment="1">
      <alignment horizontal="center"/>
    </xf>
    <xf numFmtId="168" fontId="0" fillId="0" borderId="60" xfId="0" applyNumberFormat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66" fontId="5" fillId="0" borderId="37" xfId="0" applyNumberFormat="1" applyFont="1" applyBorder="1" applyAlignment="1">
      <alignment horizontal="center"/>
    </xf>
    <xf numFmtId="166" fontId="9" fillId="0" borderId="50" xfId="0" applyNumberFormat="1" applyFont="1" applyBorder="1"/>
    <xf numFmtId="166" fontId="5" fillId="0" borderId="52" xfId="0" applyNumberFormat="1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3" borderId="38" xfId="0" applyFont="1" applyFill="1" applyBorder="1" applyAlignment="1">
      <alignment vertical="center"/>
    </xf>
    <xf numFmtId="0" fontId="7" fillId="3" borderId="39" xfId="0" applyFont="1" applyFill="1" applyBorder="1" applyAlignment="1">
      <alignment vertical="center"/>
    </xf>
    <xf numFmtId="0" fontId="7" fillId="3" borderId="40" xfId="0" applyFont="1" applyFill="1" applyBorder="1" applyAlignment="1">
      <alignment vertical="center"/>
    </xf>
    <xf numFmtId="0" fontId="0" fillId="0" borderId="25" xfId="0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42" xfId="0" applyFont="1" applyBorder="1" applyAlignment="1">
      <alignment vertical="center"/>
    </xf>
    <xf numFmtId="0" fontId="0" fillId="0" borderId="13" xfId="0" applyBorder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15" xfId="0" applyNumberFormat="1" applyBorder="1" applyAlignment="1">
      <alignment vertical="center"/>
    </xf>
    <xf numFmtId="165" fontId="0" fillId="0" borderId="19" xfId="0" applyNumberFormat="1" applyBorder="1" applyAlignment="1">
      <alignment vertical="center"/>
    </xf>
    <xf numFmtId="165" fontId="0" fillId="0" borderId="21" xfId="0" applyNumberFormat="1" applyBorder="1" applyAlignment="1">
      <alignment vertical="center"/>
    </xf>
    <xf numFmtId="165" fontId="0" fillId="0" borderId="23" xfId="0" applyNumberForma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7" fillId="3" borderId="4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zoomScale="70" zoomScaleNormal="70" zoomScaleSheetLayoutView="90" workbookViewId="0">
      <selection activeCell="M9" sqref="M9"/>
    </sheetView>
  </sheetViews>
  <sheetFormatPr defaultColWidth="9" defaultRowHeight="14.4"/>
  <cols>
    <col min="1" max="1" width="18.6640625" customWidth="1"/>
    <col min="2" max="2" width="20.33203125" customWidth="1"/>
    <col min="3" max="3" width="18.6640625" customWidth="1"/>
    <col min="4" max="4" width="26.88671875" customWidth="1"/>
    <col min="5" max="5" width="24.44140625" customWidth="1"/>
    <col min="6" max="7" width="18.6640625" customWidth="1"/>
    <col min="8" max="8" width="22.5546875" customWidth="1"/>
    <col min="9" max="10" width="20.44140625" customWidth="1"/>
    <col min="11" max="11" width="20.6640625" customWidth="1"/>
  </cols>
  <sheetData>
    <row r="1" spans="1:11" ht="21" customHeight="1">
      <c r="A1" s="156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21" customHeight="1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 ht="21" customHeight="1">
      <c r="A3" s="159" t="s">
        <v>0</v>
      </c>
      <c r="B3" s="160"/>
      <c r="C3" s="53"/>
      <c r="D3" s="112" t="s">
        <v>45</v>
      </c>
      <c r="E3" s="53" t="s">
        <v>46</v>
      </c>
      <c r="F3" s="161" t="s">
        <v>44</v>
      </c>
      <c r="G3" s="162"/>
      <c r="H3" s="54" t="s">
        <v>47</v>
      </c>
      <c r="I3" s="55" t="s">
        <v>42</v>
      </c>
      <c r="J3" s="161" t="s">
        <v>1</v>
      </c>
      <c r="K3" s="163"/>
    </row>
    <row r="4" spans="1:11" ht="21" customHeight="1">
      <c r="A4" s="6" t="s">
        <v>2</v>
      </c>
      <c r="B4" s="7" t="s">
        <v>3</v>
      </c>
      <c r="C4" s="8"/>
      <c r="D4" s="10">
        <v>46246</v>
      </c>
      <c r="E4" s="10">
        <f>D4+1</f>
        <v>46247</v>
      </c>
      <c r="F4" s="10">
        <f t="shared" ref="F4:I4" si="0">E4+1</f>
        <v>46248</v>
      </c>
      <c r="G4" s="10">
        <f t="shared" si="0"/>
        <v>46249</v>
      </c>
      <c r="H4" s="10">
        <f t="shared" si="0"/>
        <v>46250</v>
      </c>
      <c r="I4" s="10">
        <f t="shared" si="0"/>
        <v>46251</v>
      </c>
      <c r="J4" s="10">
        <f t="shared" ref="J4" si="1">I4+1</f>
        <v>46252</v>
      </c>
      <c r="K4" s="11" t="s">
        <v>5</v>
      </c>
    </row>
    <row r="5" spans="1:11" ht="21" customHeight="1">
      <c r="A5" s="141">
        <v>1</v>
      </c>
      <c r="B5" s="146" t="s">
        <v>6</v>
      </c>
      <c r="C5" s="94"/>
      <c r="D5" s="95"/>
      <c r="E5" s="95"/>
      <c r="F5" s="95"/>
      <c r="G5" s="95"/>
      <c r="H5" s="95"/>
      <c r="I5" s="95"/>
      <c r="J5" s="95"/>
      <c r="K5" s="63"/>
    </row>
    <row r="6" spans="1:11" ht="21" customHeight="1">
      <c r="A6" s="142"/>
      <c r="B6" s="147"/>
      <c r="C6" s="59" t="s">
        <v>7</v>
      </c>
      <c r="D6" s="95">
        <v>8</v>
      </c>
      <c r="E6" s="95">
        <v>8</v>
      </c>
      <c r="F6" s="95">
        <v>8</v>
      </c>
      <c r="G6" s="95"/>
      <c r="H6" s="95"/>
      <c r="I6" s="95">
        <v>8</v>
      </c>
      <c r="J6" s="96">
        <v>8</v>
      </c>
      <c r="K6" s="97"/>
    </row>
    <row r="7" spans="1:11" ht="21" customHeight="1">
      <c r="A7" s="142"/>
      <c r="B7" s="147"/>
      <c r="C7" s="59" t="s">
        <v>8</v>
      </c>
      <c r="D7" s="98">
        <f>226.84*2</f>
        <v>453.68</v>
      </c>
      <c r="E7" s="98">
        <v>453.68</v>
      </c>
      <c r="F7" s="98">
        <v>453.68</v>
      </c>
      <c r="G7" s="98"/>
      <c r="H7" s="98"/>
      <c r="I7" s="98">
        <v>453.68</v>
      </c>
      <c r="J7" s="99">
        <v>453.68</v>
      </c>
      <c r="K7" s="97">
        <f>SUM(D7:J7)</f>
        <v>2268.4</v>
      </c>
    </row>
    <row r="8" spans="1:11" ht="21" customHeight="1">
      <c r="A8" s="142">
        <v>1</v>
      </c>
      <c r="B8" s="148" t="s">
        <v>9</v>
      </c>
      <c r="C8" s="59"/>
      <c r="D8" s="95"/>
      <c r="E8" s="95"/>
      <c r="F8" s="95"/>
      <c r="G8" s="95"/>
      <c r="H8" s="95"/>
      <c r="I8" s="95"/>
      <c r="J8" s="96"/>
      <c r="K8" s="97"/>
    </row>
    <row r="9" spans="1:11" ht="21" customHeight="1">
      <c r="A9" s="142"/>
      <c r="B9" s="147"/>
      <c r="C9" s="59" t="s">
        <v>7</v>
      </c>
      <c r="D9" s="95">
        <v>8</v>
      </c>
      <c r="E9" s="95">
        <v>8</v>
      </c>
      <c r="F9" s="95">
        <v>8</v>
      </c>
      <c r="G9" s="95"/>
      <c r="H9" s="95"/>
      <c r="I9" s="95">
        <v>8</v>
      </c>
      <c r="J9" s="96">
        <v>8</v>
      </c>
      <c r="K9" s="97"/>
    </row>
    <row r="10" spans="1:11" ht="21" customHeight="1">
      <c r="A10" s="142"/>
      <c r="B10" s="147"/>
      <c r="C10" s="59" t="s">
        <v>8</v>
      </c>
      <c r="D10" s="98">
        <v>453.68</v>
      </c>
      <c r="E10" s="98">
        <v>453.68</v>
      </c>
      <c r="F10" s="100">
        <v>453.68</v>
      </c>
      <c r="G10" s="100"/>
      <c r="H10" s="100"/>
      <c r="I10" s="100">
        <v>453.68</v>
      </c>
      <c r="J10" s="99">
        <v>453.68</v>
      </c>
      <c r="K10" s="97">
        <f>SUM(D10:J10)</f>
        <v>2268.4</v>
      </c>
    </row>
    <row r="11" spans="1:11" ht="21" customHeight="1">
      <c r="A11" s="142">
        <v>1</v>
      </c>
      <c r="B11" s="149" t="s">
        <v>10</v>
      </c>
      <c r="C11" s="59"/>
      <c r="D11" s="95"/>
      <c r="E11" s="95"/>
      <c r="F11" s="95"/>
      <c r="G11" s="95"/>
      <c r="H11" s="95"/>
      <c r="I11" s="95"/>
      <c r="J11" s="95"/>
      <c r="K11" s="97"/>
    </row>
    <row r="12" spans="1:11" ht="21" customHeight="1">
      <c r="A12" s="142"/>
      <c r="B12" s="149"/>
      <c r="C12" s="59" t="s">
        <v>7</v>
      </c>
      <c r="D12" s="95">
        <v>8</v>
      </c>
      <c r="E12" s="95">
        <v>8</v>
      </c>
      <c r="F12" s="95">
        <v>8</v>
      </c>
      <c r="G12" s="95"/>
      <c r="H12" s="95"/>
      <c r="I12" s="95">
        <v>8</v>
      </c>
      <c r="J12" s="96">
        <v>8</v>
      </c>
      <c r="K12" s="97"/>
    </row>
    <row r="13" spans="1:11" ht="21" customHeight="1">
      <c r="A13" s="142"/>
      <c r="B13" s="149"/>
      <c r="C13" s="59" t="s">
        <v>8</v>
      </c>
      <c r="D13" s="100">
        <v>453.68</v>
      </c>
      <c r="E13" s="100">
        <v>453.68</v>
      </c>
      <c r="F13" s="100">
        <v>453.68</v>
      </c>
      <c r="G13" s="100"/>
      <c r="H13" s="100"/>
      <c r="I13" s="100">
        <v>453.68</v>
      </c>
      <c r="J13" s="99">
        <v>453.68</v>
      </c>
      <c r="K13" s="97">
        <f>SUM(D13:J13)</f>
        <v>2268.4</v>
      </c>
    </row>
    <row r="14" spans="1:11" ht="21" customHeight="1">
      <c r="A14" s="143"/>
      <c r="B14" s="150"/>
      <c r="C14" s="59"/>
      <c r="D14" s="69"/>
      <c r="E14" s="72"/>
      <c r="F14" s="69"/>
      <c r="G14" s="69"/>
      <c r="H14" s="69"/>
      <c r="I14" s="69"/>
      <c r="J14" s="70"/>
      <c r="K14" s="97"/>
    </row>
    <row r="15" spans="1:11" ht="21" customHeight="1">
      <c r="A15" s="144"/>
      <c r="B15" s="149"/>
      <c r="C15" s="59" t="s">
        <v>7</v>
      </c>
      <c r="D15" s="69"/>
      <c r="E15" s="69"/>
      <c r="F15" s="69"/>
      <c r="G15" s="69"/>
      <c r="H15" s="69"/>
      <c r="I15" s="69"/>
      <c r="J15" s="70"/>
      <c r="K15" s="97"/>
    </row>
    <row r="16" spans="1:11" ht="21" customHeight="1">
      <c r="A16" s="145"/>
      <c r="B16" s="149"/>
      <c r="C16" s="59" t="s">
        <v>8</v>
      </c>
      <c r="D16" s="101"/>
      <c r="E16" s="101"/>
      <c r="F16" s="101"/>
      <c r="G16" s="101"/>
      <c r="H16" s="101"/>
      <c r="I16" s="101"/>
      <c r="J16" s="102"/>
      <c r="K16" s="97"/>
    </row>
    <row r="17" spans="1:11" ht="21" customHeight="1">
      <c r="A17" s="103"/>
      <c r="B17" s="104"/>
      <c r="C17" s="105"/>
      <c r="D17" s="106"/>
      <c r="E17" s="106"/>
      <c r="F17" s="106"/>
      <c r="G17" s="106"/>
      <c r="H17" s="106"/>
      <c r="I17" s="106"/>
      <c r="J17" s="107"/>
      <c r="K17" s="108"/>
    </row>
    <row r="18" spans="1:11" ht="21" customHeight="1">
      <c r="A18" s="151" t="s">
        <v>11</v>
      </c>
      <c r="B18" s="152"/>
      <c r="C18" s="77"/>
      <c r="D18" s="79">
        <f>SUM(D16,D13,D10,D7)</f>
        <v>1361.04</v>
      </c>
      <c r="E18" s="79">
        <f t="shared" ref="E18:K18" si="2">SUM(E16,E13,E10,E7)</f>
        <v>1361.04</v>
      </c>
      <c r="F18" s="79">
        <f t="shared" si="2"/>
        <v>1361.04</v>
      </c>
      <c r="G18" s="79">
        <f t="shared" si="2"/>
        <v>0</v>
      </c>
      <c r="H18" s="79">
        <f t="shared" si="2"/>
        <v>0</v>
      </c>
      <c r="I18" s="79">
        <f t="shared" si="2"/>
        <v>1361.04</v>
      </c>
      <c r="J18" s="79">
        <f t="shared" si="2"/>
        <v>1361.04</v>
      </c>
      <c r="K18" s="109">
        <f t="shared" si="2"/>
        <v>6805.2000000000007</v>
      </c>
    </row>
    <row r="19" spans="1:11" ht="21" customHeight="1">
      <c r="A19" s="153" t="s">
        <v>12</v>
      </c>
      <c r="B19" s="154"/>
      <c r="C19" s="154"/>
      <c r="D19" s="154"/>
      <c r="E19" s="154"/>
      <c r="F19" s="154"/>
      <c r="G19" s="154"/>
      <c r="H19" s="154"/>
      <c r="I19" s="154"/>
      <c r="J19" s="154"/>
      <c r="K19" s="155"/>
    </row>
    <row r="20" spans="1:11" ht="21" customHeight="1">
      <c r="A20" s="81" t="s">
        <v>2</v>
      </c>
      <c r="B20" s="157" t="s">
        <v>13</v>
      </c>
      <c r="C20" s="157"/>
      <c r="D20" s="82" t="s">
        <v>14</v>
      </c>
      <c r="E20" s="82" t="s">
        <v>15</v>
      </c>
      <c r="F20" s="82" t="s">
        <v>16</v>
      </c>
      <c r="G20" s="82" t="s">
        <v>17</v>
      </c>
      <c r="H20" s="82"/>
      <c r="I20" s="82"/>
      <c r="J20" s="82"/>
      <c r="K20" s="84" t="s">
        <v>18</v>
      </c>
    </row>
    <row r="21" spans="1:11" ht="21" customHeight="1">
      <c r="A21" s="85">
        <v>1</v>
      </c>
      <c r="B21" s="158" t="s">
        <v>19</v>
      </c>
      <c r="C21" s="158"/>
      <c r="D21" s="72">
        <f>SUM(D13:J13)+(SUM(D10:J10))+(SUM(D7:J7))+(SUM(D16:J16))</f>
        <v>6805.2000000000007</v>
      </c>
      <c r="E21" s="72"/>
      <c r="F21" s="72">
        <f>D21</f>
        <v>6805.2000000000007</v>
      </c>
      <c r="G21" s="72"/>
      <c r="H21" s="72"/>
      <c r="I21" s="72"/>
      <c r="J21" s="72"/>
      <c r="K21" s="86">
        <f>G21+F21</f>
        <v>6805.2000000000007</v>
      </c>
    </row>
    <row r="22" spans="1:11" ht="21" customHeight="1">
      <c r="A22" s="87"/>
      <c r="B22" s="139"/>
      <c r="C22" s="140"/>
      <c r="D22" s="89"/>
      <c r="E22" s="89"/>
      <c r="F22" s="89"/>
      <c r="G22" s="89"/>
      <c r="H22" s="89"/>
      <c r="I22" s="89"/>
      <c r="J22" s="89"/>
      <c r="K22" s="90"/>
    </row>
    <row r="23" spans="1:11" ht="21" customHeight="1">
      <c r="A23" s="91" t="s">
        <v>11</v>
      </c>
      <c r="B23" s="92"/>
      <c r="C23" s="92"/>
      <c r="D23" s="110">
        <f t="shared" ref="D23:K23" si="3">SUM(D21:D22)</f>
        <v>6805.2000000000007</v>
      </c>
      <c r="E23" s="110">
        <f t="shared" si="3"/>
        <v>0</v>
      </c>
      <c r="F23" s="110">
        <f t="shared" si="3"/>
        <v>6805.2000000000007</v>
      </c>
      <c r="G23" s="110">
        <f t="shared" si="3"/>
        <v>0</v>
      </c>
      <c r="H23" s="110">
        <f t="shared" si="3"/>
        <v>0</v>
      </c>
      <c r="I23" s="110">
        <f t="shared" si="3"/>
        <v>0</v>
      </c>
      <c r="J23" s="110">
        <f t="shared" si="3"/>
        <v>0</v>
      </c>
      <c r="K23" s="111">
        <f t="shared" si="3"/>
        <v>6805.2000000000007</v>
      </c>
    </row>
  </sheetData>
  <mergeCells count="17">
    <mergeCell ref="A1:K2"/>
    <mergeCell ref="B20:C20"/>
    <mergeCell ref="B21:C21"/>
    <mergeCell ref="A3:B3"/>
    <mergeCell ref="F3:G3"/>
    <mergeCell ref="J3:K3"/>
    <mergeCell ref="B22:C22"/>
    <mergeCell ref="A5:A7"/>
    <mergeCell ref="A8:A10"/>
    <mergeCell ref="A11:A13"/>
    <mergeCell ref="A14:A16"/>
    <mergeCell ref="B5:B7"/>
    <mergeCell ref="B8:B10"/>
    <mergeCell ref="B11:B13"/>
    <mergeCell ref="B14:B16"/>
    <mergeCell ref="A18:B18"/>
    <mergeCell ref="A19:K19"/>
  </mergeCells>
  <pageMargins left="0.70866141732283505" right="0.70866141732283505" top="0.74803149606299202" bottom="0.74803149606299202" header="0.31496062992126" footer="0.31496062992126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4"/>
  <sheetViews>
    <sheetView zoomScale="87" zoomScaleNormal="87" workbookViewId="0">
      <selection activeCell="H18" sqref="H18"/>
    </sheetView>
  </sheetViews>
  <sheetFormatPr defaultColWidth="9" defaultRowHeight="14.4"/>
  <cols>
    <col min="1" max="1" width="10.6640625" customWidth="1"/>
    <col min="2" max="2" width="17.33203125" customWidth="1"/>
    <col min="3" max="3" width="10.88671875" customWidth="1"/>
    <col min="5" max="5" width="14.6640625" customWidth="1"/>
    <col min="6" max="6" width="13.88671875" customWidth="1"/>
    <col min="7" max="7" width="15.33203125" customWidth="1"/>
    <col min="8" max="8" width="14.33203125" customWidth="1"/>
    <col min="9" max="9" width="14" customWidth="1"/>
    <col min="10" max="10" width="16.6640625" customWidth="1"/>
    <col min="11" max="11" width="17" customWidth="1"/>
    <col min="12" max="12" width="19.109375" customWidth="1"/>
  </cols>
  <sheetData>
    <row r="1" spans="1:12" ht="16.95" customHeight="1">
      <c r="A1" s="156" t="s">
        <v>20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ht="16.95" customHeight="1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ht="16.95" customHeight="1">
      <c r="A3" s="159" t="s">
        <v>21</v>
      </c>
      <c r="B3" s="160"/>
      <c r="C3" s="53"/>
      <c r="D3" s="163" t="s">
        <v>22</v>
      </c>
      <c r="E3" s="164"/>
      <c r="F3" s="164" t="s">
        <v>23</v>
      </c>
      <c r="G3" s="164"/>
      <c r="H3" s="164" t="s">
        <v>24</v>
      </c>
      <c r="I3" s="164"/>
      <c r="J3" s="54" t="s">
        <v>25</v>
      </c>
      <c r="K3" s="55" t="s">
        <v>26</v>
      </c>
      <c r="L3" s="56" t="s">
        <v>1</v>
      </c>
    </row>
    <row r="4" spans="1:12" ht="29.7" customHeight="1">
      <c r="A4" s="6" t="s">
        <v>2</v>
      </c>
      <c r="B4" s="7" t="s">
        <v>3</v>
      </c>
      <c r="C4" s="8"/>
      <c r="D4" s="57" t="s">
        <v>4</v>
      </c>
      <c r="E4" s="10">
        <v>45168</v>
      </c>
      <c r="F4" s="10">
        <v>45169</v>
      </c>
      <c r="G4" s="10">
        <v>45170</v>
      </c>
      <c r="H4" s="10">
        <v>45171</v>
      </c>
      <c r="I4" s="10">
        <v>45172</v>
      </c>
      <c r="J4" s="10">
        <v>45173</v>
      </c>
      <c r="K4" s="10">
        <v>45174</v>
      </c>
      <c r="L4" s="58" t="s">
        <v>5</v>
      </c>
    </row>
    <row r="5" spans="1:12" ht="16.95" customHeight="1">
      <c r="A5" s="141">
        <v>1</v>
      </c>
      <c r="B5" s="165" t="s">
        <v>27</v>
      </c>
      <c r="C5" s="59" t="s">
        <v>28</v>
      </c>
      <c r="D5" s="60"/>
      <c r="E5" s="61"/>
      <c r="F5" s="61"/>
      <c r="G5" s="61"/>
      <c r="H5" s="61"/>
      <c r="I5" s="61"/>
      <c r="J5" s="61"/>
      <c r="K5" s="62"/>
      <c r="L5" s="63"/>
    </row>
    <row r="6" spans="1:12" ht="16.95" customHeight="1">
      <c r="A6" s="145"/>
      <c r="B6" s="150"/>
      <c r="C6" s="59" t="s">
        <v>3</v>
      </c>
      <c r="D6" s="64"/>
      <c r="E6" s="65"/>
      <c r="F6" s="65"/>
      <c r="G6" s="65"/>
      <c r="H6" s="65"/>
      <c r="I6" s="65"/>
      <c r="J6" s="65"/>
      <c r="K6" s="66"/>
      <c r="L6" s="67"/>
    </row>
    <row r="7" spans="1:12" ht="16.95" customHeight="1">
      <c r="A7" s="142"/>
      <c r="B7" s="149"/>
      <c r="C7" s="59" t="s">
        <v>7</v>
      </c>
      <c r="D7" s="68"/>
      <c r="E7" s="69">
        <v>4</v>
      </c>
      <c r="F7" s="69"/>
      <c r="G7" s="69">
        <v>4</v>
      </c>
      <c r="H7" s="69">
        <v>4</v>
      </c>
      <c r="I7" s="69"/>
      <c r="J7" s="69"/>
      <c r="K7" s="70"/>
      <c r="L7" s="71">
        <f>SUM(E7:K7)</f>
        <v>12</v>
      </c>
    </row>
    <row r="8" spans="1:12" ht="16.95" customHeight="1">
      <c r="A8" s="142"/>
      <c r="B8" s="149"/>
      <c r="C8" s="59" t="s">
        <v>8</v>
      </c>
      <c r="D8" s="68"/>
      <c r="E8" s="72">
        <v>195</v>
      </c>
      <c r="F8" s="72"/>
      <c r="G8" s="72">
        <v>195</v>
      </c>
      <c r="H8" s="72">
        <v>195</v>
      </c>
      <c r="I8" s="72"/>
      <c r="J8" s="72"/>
      <c r="K8" s="73"/>
      <c r="L8" s="74">
        <f>SUM(E8:K8)</f>
        <v>585</v>
      </c>
    </row>
    <row r="9" spans="1:12" ht="16.95" customHeight="1">
      <c r="A9" s="142">
        <v>1</v>
      </c>
      <c r="B9" s="165" t="s">
        <v>29</v>
      </c>
      <c r="C9" s="59" t="s">
        <v>28</v>
      </c>
      <c r="D9" s="68"/>
      <c r="E9" s="69"/>
      <c r="F9" s="69"/>
      <c r="G9" s="69"/>
      <c r="H9" s="69"/>
      <c r="I9" s="69"/>
      <c r="J9" s="69"/>
      <c r="K9" s="70"/>
      <c r="L9" s="74"/>
    </row>
    <row r="10" spans="1:12" ht="16.95" customHeight="1">
      <c r="A10" s="142"/>
      <c r="B10" s="150"/>
      <c r="C10" s="59" t="s">
        <v>3</v>
      </c>
      <c r="D10" s="68"/>
      <c r="E10" s="69"/>
      <c r="F10" s="69"/>
      <c r="G10" s="69"/>
      <c r="H10" s="69"/>
      <c r="I10" s="69"/>
      <c r="J10" s="69"/>
      <c r="K10" s="70"/>
      <c r="L10" s="74"/>
    </row>
    <row r="11" spans="1:12" ht="16.95" customHeight="1">
      <c r="A11" s="142"/>
      <c r="B11" s="149"/>
      <c r="C11" s="59" t="s">
        <v>7</v>
      </c>
      <c r="D11" s="68"/>
      <c r="E11" s="69">
        <v>4</v>
      </c>
      <c r="F11" s="69">
        <v>4</v>
      </c>
      <c r="G11" s="69">
        <v>4</v>
      </c>
      <c r="H11" s="69">
        <v>4</v>
      </c>
      <c r="I11" s="69"/>
      <c r="J11" s="69">
        <v>4</v>
      </c>
      <c r="K11" s="70">
        <v>4</v>
      </c>
      <c r="L11" s="71">
        <f>SUM(E11:K11)</f>
        <v>24</v>
      </c>
    </row>
    <row r="12" spans="1:12" ht="16.95" customHeight="1">
      <c r="A12" s="142"/>
      <c r="B12" s="149"/>
      <c r="C12" s="59" t="s">
        <v>8</v>
      </c>
      <c r="D12" s="68"/>
      <c r="E12" s="72">
        <v>195</v>
      </c>
      <c r="F12" s="72">
        <v>195</v>
      </c>
      <c r="G12" s="72">
        <v>195</v>
      </c>
      <c r="H12" s="72">
        <v>195</v>
      </c>
      <c r="I12" s="72"/>
      <c r="J12" s="72">
        <v>195</v>
      </c>
      <c r="K12" s="72">
        <v>195</v>
      </c>
      <c r="L12" s="74">
        <f t="shared" ref="L12:L28" si="0">SUM(E12:K12)</f>
        <v>1170</v>
      </c>
    </row>
    <row r="13" spans="1:12" ht="16.95" customHeight="1">
      <c r="A13" s="143">
        <v>1</v>
      </c>
      <c r="B13" s="166" t="s">
        <v>30</v>
      </c>
      <c r="C13" s="59" t="s">
        <v>28</v>
      </c>
      <c r="D13" s="68"/>
      <c r="E13" s="72"/>
      <c r="F13" s="72"/>
      <c r="G13" s="72"/>
      <c r="H13" s="72"/>
      <c r="I13" s="72"/>
      <c r="J13" s="72"/>
      <c r="K13" s="73"/>
      <c r="L13" s="74"/>
    </row>
    <row r="14" spans="1:12" ht="16.95" customHeight="1">
      <c r="A14" s="144"/>
      <c r="B14" s="167"/>
      <c r="C14" s="59" t="s">
        <v>3</v>
      </c>
      <c r="D14" s="68"/>
      <c r="E14" s="72"/>
      <c r="F14" s="72"/>
      <c r="G14" s="72"/>
      <c r="H14" s="72"/>
      <c r="I14" s="72"/>
      <c r="J14" s="72"/>
      <c r="K14" s="73"/>
      <c r="L14" s="74"/>
    </row>
    <row r="15" spans="1:12" ht="16.95" customHeight="1">
      <c r="A15" s="144"/>
      <c r="B15" s="167"/>
      <c r="C15" s="59" t="s">
        <v>7</v>
      </c>
      <c r="D15" s="68"/>
      <c r="E15" s="72"/>
      <c r="F15" s="72"/>
      <c r="G15" s="72"/>
      <c r="H15" s="69"/>
      <c r="I15" s="72"/>
      <c r="J15" s="72"/>
      <c r="K15" s="73"/>
      <c r="L15" s="71">
        <f>SUM(E15:K15)</f>
        <v>0</v>
      </c>
    </row>
    <row r="16" spans="1:12" ht="16.95" customHeight="1">
      <c r="A16" s="145"/>
      <c r="B16" s="148"/>
      <c r="C16" s="59" t="s">
        <v>8</v>
      </c>
      <c r="D16" s="68"/>
      <c r="E16" s="72"/>
      <c r="F16" s="72"/>
      <c r="G16" s="72"/>
      <c r="H16" s="72"/>
      <c r="I16" s="72"/>
      <c r="J16" s="72"/>
      <c r="K16" s="73"/>
      <c r="L16" s="74">
        <f t="shared" si="0"/>
        <v>0</v>
      </c>
    </row>
    <row r="17" spans="1:12" ht="16.95" customHeight="1">
      <c r="A17" s="143">
        <v>1</v>
      </c>
      <c r="B17" s="166" t="s">
        <v>31</v>
      </c>
      <c r="C17" s="59" t="s">
        <v>28</v>
      </c>
      <c r="D17" s="68"/>
      <c r="E17" s="69"/>
      <c r="F17" s="69"/>
      <c r="G17" s="69"/>
      <c r="H17" s="69"/>
      <c r="I17" s="69"/>
      <c r="J17" s="69"/>
      <c r="K17" s="70"/>
      <c r="L17" s="74"/>
    </row>
    <row r="18" spans="1:12" ht="16.95" customHeight="1">
      <c r="A18" s="144"/>
      <c r="B18" s="167"/>
      <c r="C18" s="59" t="s">
        <v>3</v>
      </c>
      <c r="D18" s="68"/>
      <c r="E18" s="69"/>
      <c r="F18" s="69"/>
      <c r="G18" s="69"/>
      <c r="H18" s="69"/>
      <c r="I18" s="69"/>
      <c r="J18" s="69"/>
      <c r="K18" s="70"/>
      <c r="L18" s="74"/>
    </row>
    <row r="19" spans="1:12" ht="16.95" customHeight="1">
      <c r="A19" s="144"/>
      <c r="B19" s="167"/>
      <c r="C19" s="59" t="s">
        <v>7</v>
      </c>
      <c r="D19" s="68"/>
      <c r="E19" s="69">
        <v>8</v>
      </c>
      <c r="F19" s="69"/>
      <c r="G19" s="69"/>
      <c r="H19" s="69"/>
      <c r="I19" s="69"/>
      <c r="J19" s="69"/>
      <c r="K19" s="70">
        <v>8</v>
      </c>
      <c r="L19" s="71">
        <f>SUM(E19:K19)</f>
        <v>16</v>
      </c>
    </row>
    <row r="20" spans="1:12" ht="16.95" customHeight="1">
      <c r="A20" s="145"/>
      <c r="B20" s="148"/>
      <c r="C20" s="59" t="s">
        <v>8</v>
      </c>
      <c r="D20" s="68"/>
      <c r="E20" s="72">
        <v>370</v>
      </c>
      <c r="F20" s="72"/>
      <c r="G20" s="72"/>
      <c r="H20" s="72"/>
      <c r="I20" s="72"/>
      <c r="J20" s="72"/>
      <c r="K20" s="73">
        <v>370</v>
      </c>
      <c r="L20" s="74">
        <f t="shared" si="0"/>
        <v>740</v>
      </c>
    </row>
    <row r="21" spans="1:12" ht="16.95" customHeight="1">
      <c r="A21" s="142">
        <v>1</v>
      </c>
      <c r="B21" s="149" t="s">
        <v>32</v>
      </c>
      <c r="C21" s="59" t="s">
        <v>28</v>
      </c>
      <c r="D21" s="68"/>
      <c r="E21" s="69"/>
      <c r="F21" s="69"/>
      <c r="G21" s="69"/>
      <c r="H21" s="69"/>
      <c r="I21" s="69"/>
      <c r="J21" s="69"/>
      <c r="K21" s="70"/>
      <c r="L21" s="74"/>
    </row>
    <row r="22" spans="1:12" ht="16.95" customHeight="1">
      <c r="A22" s="142"/>
      <c r="B22" s="149"/>
      <c r="C22" s="59" t="s">
        <v>3</v>
      </c>
      <c r="D22" s="68"/>
      <c r="E22" s="69"/>
      <c r="F22" s="69"/>
      <c r="G22" s="69"/>
      <c r="H22" s="69"/>
      <c r="I22" s="69"/>
      <c r="J22" s="69"/>
      <c r="K22" s="70"/>
      <c r="L22" s="74"/>
    </row>
    <row r="23" spans="1:12" ht="16.95" customHeight="1">
      <c r="A23" s="142"/>
      <c r="B23" s="149"/>
      <c r="C23" s="59" t="s">
        <v>7</v>
      </c>
      <c r="D23" s="68"/>
      <c r="E23" s="69">
        <v>4</v>
      </c>
      <c r="F23" s="69">
        <v>8</v>
      </c>
      <c r="G23" s="69">
        <v>4</v>
      </c>
      <c r="H23" s="69"/>
      <c r="I23" s="69"/>
      <c r="J23" s="69">
        <v>4</v>
      </c>
      <c r="K23" s="70">
        <v>4</v>
      </c>
      <c r="L23" s="71">
        <f>SUM(E23:K23)</f>
        <v>24</v>
      </c>
    </row>
    <row r="24" spans="1:12" ht="16.95" customHeight="1">
      <c r="A24" s="142"/>
      <c r="B24" s="149"/>
      <c r="C24" s="59" t="s">
        <v>8</v>
      </c>
      <c r="D24" s="68"/>
      <c r="E24" s="72">
        <v>185</v>
      </c>
      <c r="F24" s="72">
        <v>370</v>
      </c>
      <c r="G24" s="72">
        <v>185</v>
      </c>
      <c r="H24" s="72"/>
      <c r="I24" s="72"/>
      <c r="J24" s="72">
        <v>185</v>
      </c>
      <c r="K24" s="73">
        <v>185</v>
      </c>
      <c r="L24" s="74">
        <f>SUM(E24:K24)</f>
        <v>1110</v>
      </c>
    </row>
    <row r="25" spans="1:12" ht="16.95" customHeight="1">
      <c r="A25" s="142"/>
      <c r="B25" s="149" t="s">
        <v>33</v>
      </c>
      <c r="C25" s="59" t="s">
        <v>28</v>
      </c>
      <c r="D25" s="68"/>
      <c r="E25" s="69"/>
      <c r="F25" s="69"/>
      <c r="G25" s="69"/>
      <c r="H25" s="69"/>
      <c r="I25" s="69"/>
      <c r="J25" s="69"/>
      <c r="K25" s="70"/>
      <c r="L25" s="74"/>
    </row>
    <row r="26" spans="1:12" ht="16.95" customHeight="1">
      <c r="A26" s="142"/>
      <c r="B26" s="149"/>
      <c r="C26" s="59" t="s">
        <v>3</v>
      </c>
      <c r="D26" s="68"/>
      <c r="E26" s="69"/>
      <c r="F26" s="69"/>
      <c r="G26" s="69"/>
      <c r="H26" s="69"/>
      <c r="I26" s="69"/>
      <c r="J26" s="69"/>
      <c r="K26" s="70"/>
      <c r="L26" s="74"/>
    </row>
    <row r="27" spans="1:12" ht="16.95" customHeight="1">
      <c r="A27" s="142"/>
      <c r="B27" s="149"/>
      <c r="C27" s="59" t="s">
        <v>7</v>
      </c>
      <c r="D27" s="68"/>
      <c r="E27" s="69"/>
      <c r="F27" s="69"/>
      <c r="G27" s="69"/>
      <c r="H27" s="69"/>
      <c r="I27" s="69"/>
      <c r="J27" s="69"/>
      <c r="K27" s="70"/>
      <c r="L27" s="74"/>
    </row>
    <row r="28" spans="1:12" ht="16.95" customHeight="1">
      <c r="A28" s="142"/>
      <c r="B28" s="149"/>
      <c r="C28" s="59" t="s">
        <v>8</v>
      </c>
      <c r="D28" s="68"/>
      <c r="E28" s="75"/>
      <c r="F28" s="75"/>
      <c r="G28" s="75"/>
      <c r="H28" s="75"/>
      <c r="I28" s="75"/>
      <c r="J28" s="75"/>
      <c r="K28" s="76"/>
      <c r="L28" s="74">
        <f t="shared" si="0"/>
        <v>0</v>
      </c>
    </row>
    <row r="29" spans="1:12" ht="16.95" customHeight="1">
      <c r="A29" s="151" t="s">
        <v>11</v>
      </c>
      <c r="B29" s="152"/>
      <c r="C29" s="77"/>
      <c r="D29" s="78"/>
      <c r="E29" s="79">
        <f>SUM(E28,E24,E20,E16,E12,E8)</f>
        <v>945</v>
      </c>
      <c r="F29" s="79">
        <f>SUM(F28,F24,F20,F12,F16,F8)</f>
        <v>565</v>
      </c>
      <c r="G29" s="79">
        <f>SUM(G28,G24,G20,G12,G16,G8)</f>
        <v>575</v>
      </c>
      <c r="H29" s="79">
        <f>SUM(H28,H24,H20,H12,H16,H8)</f>
        <v>390</v>
      </c>
      <c r="I29" s="79">
        <f t="shared" ref="I29:J29" si="1">SUM(I28,I24,I20,I12,I8)</f>
        <v>0</v>
      </c>
      <c r="J29" s="79">
        <f t="shared" si="1"/>
        <v>380</v>
      </c>
      <c r="K29" s="79">
        <f>SUM(K28,K24,K20,K12,K16,K8)</f>
        <v>750</v>
      </c>
      <c r="L29" s="80">
        <f>SUM(L28,L24,L20,L12,L8,L16)</f>
        <v>3605</v>
      </c>
    </row>
    <row r="30" spans="1:12" ht="16.95" customHeight="1">
      <c r="A30" s="153" t="s">
        <v>12</v>
      </c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5"/>
    </row>
    <row r="31" spans="1:12" ht="16.95" customHeight="1">
      <c r="A31" s="81" t="s">
        <v>2</v>
      </c>
      <c r="B31" s="157" t="s">
        <v>13</v>
      </c>
      <c r="C31" s="157"/>
      <c r="D31" s="61"/>
      <c r="E31" s="82" t="s">
        <v>14</v>
      </c>
      <c r="F31" s="82" t="s">
        <v>15</v>
      </c>
      <c r="G31" s="82" t="s">
        <v>16</v>
      </c>
      <c r="H31" s="83" t="s">
        <v>17</v>
      </c>
      <c r="I31" s="82"/>
      <c r="J31" s="82"/>
      <c r="K31" s="82"/>
      <c r="L31" s="84" t="s">
        <v>18</v>
      </c>
    </row>
    <row r="32" spans="1:12" ht="16.95" customHeight="1">
      <c r="A32" s="85">
        <v>1</v>
      </c>
      <c r="B32" s="158" t="s">
        <v>34</v>
      </c>
      <c r="C32" s="158"/>
      <c r="D32" s="69"/>
      <c r="E32" s="72">
        <f>SUM(E24:K24)+(SUM(E12:K12))+(SUM(E8:K8))+(SUM(E20:K20))+(SUM(E16:K16))</f>
        <v>3605</v>
      </c>
      <c r="F32" s="72"/>
      <c r="G32" s="72">
        <f>E32</f>
        <v>3605</v>
      </c>
      <c r="H32" s="72"/>
      <c r="I32" s="72"/>
      <c r="J32" s="72"/>
      <c r="K32" s="72"/>
      <c r="L32" s="86">
        <f t="shared" ref="L32" si="2">H32+G32</f>
        <v>3605</v>
      </c>
    </row>
    <row r="33" spans="1:12" ht="16.95" customHeight="1">
      <c r="A33" s="87">
        <v>2</v>
      </c>
      <c r="B33" s="88" t="s">
        <v>35</v>
      </c>
      <c r="C33" s="88"/>
      <c r="D33" s="88"/>
      <c r="E33" s="89"/>
      <c r="F33" s="89"/>
      <c r="G33" s="89">
        <f t="shared" ref="G33" si="3">E33</f>
        <v>0</v>
      </c>
      <c r="H33" s="89"/>
      <c r="I33" s="89"/>
      <c r="J33" s="89"/>
      <c r="K33" s="89"/>
      <c r="L33" s="90"/>
    </row>
    <row r="34" spans="1:12" ht="29.7" customHeight="1">
      <c r="A34" s="91" t="s">
        <v>11</v>
      </c>
      <c r="B34" s="92"/>
      <c r="C34" s="92"/>
      <c r="D34" s="92"/>
      <c r="E34" s="50">
        <f t="shared" ref="E34:L34" si="4">SUM(E32:E33)</f>
        <v>3605</v>
      </c>
      <c r="F34" s="50">
        <f t="shared" si="4"/>
        <v>0</v>
      </c>
      <c r="G34" s="50">
        <f t="shared" si="4"/>
        <v>3605</v>
      </c>
      <c r="H34" s="50">
        <f t="shared" si="4"/>
        <v>0</v>
      </c>
      <c r="I34" s="50">
        <f t="shared" si="4"/>
        <v>0</v>
      </c>
      <c r="J34" s="50">
        <f t="shared" si="4"/>
        <v>0</v>
      </c>
      <c r="K34" s="51">
        <f t="shared" si="4"/>
        <v>0</v>
      </c>
      <c r="L34" s="93">
        <f t="shared" si="4"/>
        <v>3605</v>
      </c>
    </row>
  </sheetData>
  <mergeCells count="21">
    <mergeCell ref="A1:L2"/>
    <mergeCell ref="A30:L30"/>
    <mergeCell ref="B31:C31"/>
    <mergeCell ref="B32:C32"/>
    <mergeCell ref="A5:A8"/>
    <mergeCell ref="A9:A12"/>
    <mergeCell ref="A13:A16"/>
    <mergeCell ref="A17:A20"/>
    <mergeCell ref="A21:A24"/>
    <mergeCell ref="A25:A28"/>
    <mergeCell ref="B5:B8"/>
    <mergeCell ref="B9:B12"/>
    <mergeCell ref="B13:B16"/>
    <mergeCell ref="B17:B20"/>
    <mergeCell ref="B21:B24"/>
    <mergeCell ref="B25:B28"/>
    <mergeCell ref="A3:B3"/>
    <mergeCell ref="D3:E3"/>
    <mergeCell ref="F3:G3"/>
    <mergeCell ref="H3:I3"/>
    <mergeCell ref="A29:B29"/>
  </mergeCells>
  <pageMargins left="0.70866141732283505" right="0.70866141732283505" top="0.74803149606299202" bottom="0.74803149606299202" header="0.31496062992126" footer="0.31496062992126"/>
  <pageSetup paperSize="9" scale="7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5"/>
  <sheetViews>
    <sheetView tabSelected="1" zoomScale="87" zoomScaleNormal="87" workbookViewId="0">
      <selection activeCell="H9" sqref="H9"/>
    </sheetView>
  </sheetViews>
  <sheetFormatPr defaultColWidth="9" defaultRowHeight="14.4"/>
  <cols>
    <col min="1" max="1" width="10.6640625" style="1" customWidth="1"/>
    <col min="2" max="2" width="24.88671875" style="1" customWidth="1"/>
    <col min="3" max="3" width="10.88671875" style="1" customWidth="1"/>
    <col min="4" max="4" width="9" style="1"/>
    <col min="5" max="5" width="18.33203125" style="1" customWidth="1"/>
    <col min="6" max="8" width="19.33203125" style="1" customWidth="1"/>
    <col min="9" max="9" width="18.33203125" style="1" customWidth="1"/>
    <col min="10" max="10" width="18.88671875" style="1" customWidth="1"/>
    <col min="11" max="11" width="18.33203125" style="1" customWidth="1"/>
    <col min="12" max="12" width="19.109375" style="1" customWidth="1"/>
    <col min="13" max="16384" width="9" style="1"/>
  </cols>
  <sheetData>
    <row r="1" spans="1:12" ht="16.95" customHeight="1">
      <c r="A1" s="117" t="s">
        <v>36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6.9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2" ht="16.95" customHeight="1">
      <c r="A3" s="123" t="s">
        <v>37</v>
      </c>
      <c r="B3" s="124"/>
      <c r="C3" s="2"/>
      <c r="D3" s="113" t="s">
        <v>48</v>
      </c>
      <c r="E3" s="114"/>
      <c r="F3" s="115" t="s">
        <v>49</v>
      </c>
      <c r="G3" s="116"/>
      <c r="H3" s="114" t="s">
        <v>50</v>
      </c>
      <c r="I3" s="114"/>
      <c r="J3" s="3" t="s">
        <v>43</v>
      </c>
      <c r="K3" s="4" t="s">
        <v>42</v>
      </c>
      <c r="L3" s="5" t="s">
        <v>1</v>
      </c>
    </row>
    <row r="4" spans="1:12" ht="29.7" customHeight="1">
      <c r="A4" s="6" t="s">
        <v>2</v>
      </c>
      <c r="B4" s="7" t="s">
        <v>3</v>
      </c>
      <c r="C4" s="8"/>
      <c r="D4" s="9" t="s">
        <v>4</v>
      </c>
      <c r="E4" s="10">
        <v>46253</v>
      </c>
      <c r="F4" s="10">
        <f>E4+1</f>
        <v>46254</v>
      </c>
      <c r="G4" s="10">
        <f t="shared" ref="G4:K4" si="0">F4+1</f>
        <v>46255</v>
      </c>
      <c r="H4" s="10">
        <f t="shared" si="0"/>
        <v>46256</v>
      </c>
      <c r="I4" s="10">
        <f t="shared" si="0"/>
        <v>46257</v>
      </c>
      <c r="J4" s="10">
        <f t="shared" si="0"/>
        <v>46258</v>
      </c>
      <c r="K4" s="10">
        <f t="shared" si="0"/>
        <v>46259</v>
      </c>
      <c r="L4" s="11" t="s">
        <v>5</v>
      </c>
    </row>
    <row r="5" spans="1:12" ht="22.2" customHeight="1">
      <c r="A5" s="127">
        <v>1</v>
      </c>
      <c r="B5" s="132" t="s">
        <v>38</v>
      </c>
      <c r="C5" s="12" t="s">
        <v>28</v>
      </c>
      <c r="D5" s="13"/>
      <c r="E5" s="14"/>
      <c r="F5" s="14"/>
      <c r="G5" s="14"/>
      <c r="H5" s="14"/>
      <c r="I5" s="14"/>
      <c r="J5" s="14"/>
      <c r="K5" s="14"/>
      <c r="L5" s="15"/>
    </row>
    <row r="6" spans="1:12" ht="21">
      <c r="A6" s="128"/>
      <c r="B6" s="133"/>
      <c r="C6" s="12" t="s">
        <v>7</v>
      </c>
      <c r="D6" s="16"/>
      <c r="E6" s="17"/>
      <c r="F6" s="17"/>
      <c r="G6" s="17"/>
      <c r="H6" s="17"/>
      <c r="I6" s="17"/>
      <c r="J6" s="17"/>
      <c r="K6" s="17"/>
      <c r="L6" s="18"/>
    </row>
    <row r="7" spans="1:12" ht="21">
      <c r="A7" s="128"/>
      <c r="B7" s="133"/>
      <c r="C7" s="12" t="s">
        <v>8</v>
      </c>
      <c r="D7" s="16"/>
      <c r="E7" s="19"/>
      <c r="F7" s="19"/>
      <c r="G7" s="19"/>
      <c r="H7" s="19"/>
      <c r="I7" s="19"/>
      <c r="J7" s="19"/>
      <c r="K7" s="19"/>
      <c r="L7" s="18">
        <f>SUM(E7:K7)</f>
        <v>0</v>
      </c>
    </row>
    <row r="8" spans="1:12" ht="21">
      <c r="A8" s="129">
        <v>1</v>
      </c>
      <c r="B8" s="134" t="s">
        <v>39</v>
      </c>
      <c r="C8" s="12" t="s">
        <v>28</v>
      </c>
      <c r="D8" s="16"/>
      <c r="E8" s="20"/>
      <c r="F8" s="20"/>
      <c r="G8" s="20"/>
      <c r="H8" s="20"/>
      <c r="I8" s="20"/>
      <c r="J8" s="20"/>
      <c r="K8" s="20"/>
      <c r="L8" s="18"/>
    </row>
    <row r="9" spans="1:12" ht="21">
      <c r="A9" s="130"/>
      <c r="B9" s="135"/>
      <c r="C9" s="12" t="s">
        <v>7</v>
      </c>
      <c r="D9" s="16"/>
      <c r="E9" s="21"/>
      <c r="F9" s="21"/>
      <c r="G9" s="21"/>
      <c r="H9" s="21"/>
      <c r="I9" s="21"/>
      <c r="J9" s="21"/>
      <c r="K9" s="21"/>
      <c r="L9" s="18"/>
    </row>
    <row r="10" spans="1:12" ht="21">
      <c r="A10" s="131"/>
      <c r="B10" s="136"/>
      <c r="C10" s="12" t="s">
        <v>8</v>
      </c>
      <c r="D10" s="16"/>
      <c r="E10" s="19"/>
      <c r="F10" s="19"/>
      <c r="G10" s="19"/>
      <c r="H10" s="19"/>
      <c r="I10" s="19"/>
      <c r="J10" s="19"/>
      <c r="K10" s="19"/>
      <c r="L10" s="18">
        <f>SUM(E10:K10)</f>
        <v>0</v>
      </c>
    </row>
    <row r="11" spans="1:12" ht="21" customHeight="1">
      <c r="A11" s="129">
        <v>1</v>
      </c>
      <c r="B11" s="121" t="s">
        <v>40</v>
      </c>
      <c r="C11" s="12" t="s">
        <v>28</v>
      </c>
      <c r="D11" s="16"/>
      <c r="E11" s="14"/>
      <c r="F11" s="14"/>
      <c r="G11" s="14"/>
      <c r="H11" s="14"/>
      <c r="I11" s="14"/>
      <c r="J11" s="14"/>
      <c r="K11" s="14"/>
      <c r="L11" s="18"/>
    </row>
    <row r="12" spans="1:12" ht="21">
      <c r="A12" s="130"/>
      <c r="B12" s="121"/>
      <c r="C12" s="12" t="s">
        <v>7</v>
      </c>
      <c r="D12" s="16"/>
      <c r="E12" s="22"/>
      <c r="F12" s="22"/>
      <c r="G12" s="22"/>
      <c r="H12" s="22"/>
      <c r="I12" s="22"/>
      <c r="J12" s="22"/>
      <c r="K12" s="22"/>
      <c r="L12" s="18"/>
    </row>
    <row r="13" spans="1:12" ht="21">
      <c r="A13" s="131"/>
      <c r="B13" s="121"/>
      <c r="C13" s="12" t="s">
        <v>8</v>
      </c>
      <c r="D13" s="16"/>
      <c r="E13" s="23"/>
      <c r="F13" s="23"/>
      <c r="G13" s="23"/>
      <c r="H13" s="23"/>
      <c r="I13" s="23"/>
      <c r="J13" s="23"/>
      <c r="K13" s="23"/>
      <c r="L13" s="18">
        <f>SUM(E13:K13)</f>
        <v>0</v>
      </c>
    </row>
    <row r="14" spans="1:12" ht="21" customHeight="1">
      <c r="A14" s="128">
        <v>1</v>
      </c>
      <c r="B14" s="121" t="s">
        <v>41</v>
      </c>
      <c r="C14" s="12" t="s">
        <v>28</v>
      </c>
      <c r="D14" s="16"/>
      <c r="E14" s="14"/>
      <c r="F14" s="14" t="s">
        <v>51</v>
      </c>
      <c r="G14" s="14" t="s">
        <v>51</v>
      </c>
      <c r="H14" s="14" t="s">
        <v>51</v>
      </c>
      <c r="I14" s="14" t="s">
        <v>51</v>
      </c>
      <c r="J14" s="14"/>
      <c r="K14" s="14"/>
      <c r="L14" s="18"/>
    </row>
    <row r="15" spans="1:12" ht="21">
      <c r="A15" s="128"/>
      <c r="B15" s="121"/>
      <c r="C15" s="12" t="s">
        <v>7</v>
      </c>
      <c r="D15" s="16"/>
      <c r="E15" s="17"/>
      <c r="F15" s="17">
        <v>0</v>
      </c>
      <c r="G15" s="17">
        <v>0</v>
      </c>
      <c r="H15" s="17">
        <v>0</v>
      </c>
      <c r="I15" s="17">
        <v>0</v>
      </c>
      <c r="J15" s="17"/>
      <c r="K15" s="17"/>
      <c r="L15" s="18"/>
    </row>
    <row r="16" spans="1:12" ht="21">
      <c r="A16" s="128"/>
      <c r="B16" s="121"/>
      <c r="C16" s="12" t="s">
        <v>8</v>
      </c>
      <c r="D16" s="16"/>
      <c r="E16" s="19"/>
      <c r="F16" s="19">
        <v>330</v>
      </c>
      <c r="G16" s="19">
        <f t="shared" ref="G16:H16" si="1">176.55*2</f>
        <v>353.1</v>
      </c>
      <c r="H16" s="19">
        <f t="shared" si="1"/>
        <v>353.1</v>
      </c>
      <c r="I16" s="19">
        <v>353.1</v>
      </c>
      <c r="J16" s="19"/>
      <c r="K16" s="19"/>
      <c r="L16" s="18">
        <f>SUM(E16:K16)</f>
        <v>1389.3000000000002</v>
      </c>
    </row>
    <row r="17" spans="1:12" ht="21" customHeight="1">
      <c r="A17" s="128">
        <v>1</v>
      </c>
      <c r="B17" s="122"/>
      <c r="C17" s="12" t="s">
        <v>28</v>
      </c>
      <c r="D17" s="16"/>
      <c r="E17" s="19"/>
      <c r="F17" s="19"/>
      <c r="G17" s="19"/>
      <c r="H17" s="19"/>
      <c r="I17" s="19"/>
      <c r="J17" s="19"/>
      <c r="K17" s="19"/>
      <c r="L17" s="18"/>
    </row>
    <row r="18" spans="1:12" ht="21">
      <c r="A18" s="128"/>
      <c r="B18" s="121"/>
      <c r="C18" s="12" t="s">
        <v>7</v>
      </c>
      <c r="D18" s="16"/>
      <c r="E18" s="17"/>
      <c r="F18" s="17"/>
      <c r="G18" s="17"/>
      <c r="H18" s="17"/>
      <c r="I18" s="17"/>
      <c r="J18" s="17"/>
      <c r="K18" s="17"/>
      <c r="L18" s="18"/>
    </row>
    <row r="19" spans="1:12" ht="21">
      <c r="A19" s="128"/>
      <c r="B19" s="121"/>
      <c r="C19" s="12" t="s">
        <v>8</v>
      </c>
      <c r="D19" s="16"/>
      <c r="E19" s="19"/>
      <c r="F19" s="19"/>
      <c r="G19" s="19"/>
      <c r="H19" s="19"/>
      <c r="I19" s="19"/>
      <c r="J19" s="19"/>
      <c r="K19" s="19"/>
      <c r="L19" s="18">
        <f>SUM(E19:K19)</f>
        <v>0</v>
      </c>
    </row>
    <row r="20" spans="1:12" ht="21" customHeight="1">
      <c r="A20" s="128">
        <v>1</v>
      </c>
      <c r="B20" s="121"/>
      <c r="C20" s="12" t="s">
        <v>28</v>
      </c>
      <c r="D20" s="16"/>
      <c r="E20" s="20"/>
      <c r="F20" s="20"/>
      <c r="G20" s="20"/>
      <c r="H20" s="20"/>
      <c r="I20" s="20"/>
      <c r="J20" s="20"/>
      <c r="K20" s="20"/>
      <c r="L20" s="18"/>
    </row>
    <row r="21" spans="1:12" ht="21">
      <c r="A21" s="128"/>
      <c r="B21" s="121"/>
      <c r="C21" s="12" t="s">
        <v>7</v>
      </c>
      <c r="D21" s="16"/>
      <c r="E21" s="17"/>
      <c r="F21" s="17"/>
      <c r="G21" s="17"/>
      <c r="H21" s="17"/>
      <c r="I21" s="17"/>
      <c r="J21" s="17"/>
      <c r="K21" s="17"/>
      <c r="L21" s="18"/>
    </row>
    <row r="22" spans="1:12" ht="21">
      <c r="A22" s="128"/>
      <c r="B22" s="121"/>
      <c r="C22" s="12" t="s">
        <v>8</v>
      </c>
      <c r="D22" s="16"/>
      <c r="E22" s="19"/>
      <c r="F22" s="19"/>
      <c r="G22" s="19"/>
      <c r="H22" s="19"/>
      <c r="I22" s="19"/>
      <c r="J22" s="19"/>
      <c r="K22" s="19"/>
      <c r="L22" s="18">
        <f>SUM(E22:K22)</f>
        <v>0</v>
      </c>
    </row>
    <row r="23" spans="1:12" ht="21">
      <c r="A23" s="128">
        <v>1</v>
      </c>
      <c r="B23" s="122"/>
      <c r="C23" s="12" t="s">
        <v>28</v>
      </c>
      <c r="D23" s="16"/>
      <c r="E23" s="20"/>
      <c r="F23" s="19"/>
      <c r="G23" s="20"/>
      <c r="H23" s="20"/>
      <c r="I23" s="19"/>
      <c r="J23" s="19"/>
      <c r="K23" s="23"/>
      <c r="L23" s="18"/>
    </row>
    <row r="24" spans="1:12" ht="21">
      <c r="A24" s="128"/>
      <c r="B24" s="121"/>
      <c r="C24" s="12" t="s">
        <v>7</v>
      </c>
      <c r="D24" s="16"/>
      <c r="E24" s="17"/>
      <c r="F24" s="17"/>
      <c r="G24" s="17"/>
      <c r="H24" s="17"/>
      <c r="I24" s="19"/>
      <c r="J24" s="19"/>
      <c r="K24" s="23"/>
      <c r="L24" s="18"/>
    </row>
    <row r="25" spans="1:12" ht="21">
      <c r="A25" s="128"/>
      <c r="B25" s="121"/>
      <c r="C25" s="12" t="s">
        <v>8</v>
      </c>
      <c r="D25" s="16"/>
      <c r="E25" s="19"/>
      <c r="F25" s="19"/>
      <c r="G25" s="19"/>
      <c r="H25" s="19"/>
      <c r="I25" s="19"/>
      <c r="J25" s="19"/>
      <c r="K25" s="23"/>
      <c r="L25" s="18">
        <f>SUM(E25:K25)</f>
        <v>0</v>
      </c>
    </row>
    <row r="26" spans="1:12" ht="16.95" customHeight="1">
      <c r="A26" s="128">
        <v>1</v>
      </c>
      <c r="B26" s="121"/>
      <c r="C26" s="12" t="s">
        <v>28</v>
      </c>
      <c r="D26" s="16"/>
      <c r="E26" s="17"/>
      <c r="F26" s="14"/>
      <c r="G26" s="14"/>
      <c r="H26" s="14"/>
      <c r="I26" s="14"/>
      <c r="J26" s="17"/>
      <c r="K26" s="24"/>
      <c r="L26" s="18"/>
    </row>
    <row r="27" spans="1:12" ht="16.95" customHeight="1">
      <c r="A27" s="128"/>
      <c r="B27" s="121"/>
      <c r="C27" s="12" t="s">
        <v>7</v>
      </c>
      <c r="D27" s="16"/>
      <c r="E27" s="17"/>
      <c r="F27" s="17"/>
      <c r="G27" s="17"/>
      <c r="H27" s="17"/>
      <c r="I27" s="17"/>
      <c r="J27" s="17"/>
      <c r="K27" s="22"/>
      <c r="L27" s="18"/>
    </row>
    <row r="28" spans="1:12" ht="16.95" customHeight="1">
      <c r="A28" s="128"/>
      <c r="B28" s="121"/>
      <c r="C28" s="12" t="s">
        <v>8</v>
      </c>
      <c r="D28" s="16"/>
      <c r="E28" s="19"/>
      <c r="F28" s="19"/>
      <c r="G28" s="19"/>
      <c r="H28" s="19"/>
      <c r="I28" s="19"/>
      <c r="J28" s="19"/>
      <c r="K28" s="19"/>
      <c r="L28" s="18">
        <f>SUM(E28:K28)</f>
        <v>0</v>
      </c>
    </row>
    <row r="29" spans="1:12" ht="16.95" customHeight="1">
      <c r="A29" s="25"/>
      <c r="B29" s="26"/>
      <c r="C29" s="27"/>
      <c r="D29" s="28"/>
      <c r="E29" s="29"/>
      <c r="F29" s="29"/>
      <c r="G29" s="29"/>
      <c r="H29" s="29"/>
      <c r="I29" s="29"/>
      <c r="J29" s="29"/>
      <c r="K29" s="29"/>
      <c r="L29" s="30"/>
    </row>
    <row r="30" spans="1:12" ht="16.95" customHeight="1">
      <c r="A30" s="137" t="s">
        <v>11</v>
      </c>
      <c r="B30" s="138"/>
      <c r="C30" s="31"/>
      <c r="D30" s="32"/>
      <c r="E30" s="33">
        <f>SUM(E28,E16,E13,E19,E22,E25,E7,E10)</f>
        <v>0</v>
      </c>
      <c r="F30" s="33">
        <f t="shared" ref="F30:L30" si="2">SUM(F28,F16,F13,F19,F22,F25,F7,F10)</f>
        <v>330</v>
      </c>
      <c r="G30" s="33">
        <f t="shared" si="2"/>
        <v>353.1</v>
      </c>
      <c r="H30" s="33">
        <f t="shared" si="2"/>
        <v>353.1</v>
      </c>
      <c r="I30" s="33">
        <f t="shared" si="2"/>
        <v>353.1</v>
      </c>
      <c r="J30" s="33">
        <f t="shared" si="2"/>
        <v>0</v>
      </c>
      <c r="K30" s="33">
        <f t="shared" si="2"/>
        <v>0</v>
      </c>
      <c r="L30" s="34">
        <f t="shared" si="2"/>
        <v>1389.3000000000002</v>
      </c>
    </row>
    <row r="31" spans="1:12" ht="16.95" customHeight="1">
      <c r="A31" s="118" t="s">
        <v>12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20"/>
    </row>
    <row r="32" spans="1:12" ht="16.95" customHeight="1">
      <c r="A32" s="35" t="s">
        <v>2</v>
      </c>
      <c r="B32" s="125" t="s">
        <v>13</v>
      </c>
      <c r="C32" s="125"/>
      <c r="D32" s="36"/>
      <c r="E32" s="37" t="s">
        <v>14</v>
      </c>
      <c r="F32" s="37" t="s">
        <v>15</v>
      </c>
      <c r="G32" s="37" t="s">
        <v>16</v>
      </c>
      <c r="H32" s="38" t="s">
        <v>17</v>
      </c>
      <c r="I32" s="37"/>
      <c r="J32" s="37"/>
      <c r="K32" s="37"/>
      <c r="L32" s="39" t="s">
        <v>18</v>
      </c>
    </row>
    <row r="33" spans="1:12" ht="16.95" customHeight="1">
      <c r="A33" s="40">
        <v>1</v>
      </c>
      <c r="B33" s="126" t="s">
        <v>34</v>
      </c>
      <c r="C33" s="126"/>
      <c r="D33" s="41"/>
      <c r="E33" s="42">
        <f>SUM(E16:K16)+((SUM(E7:K7))+(SUM(E13:K13))+(SUM(E10:K10))+(SUM(E19:K19))+(SUM(E22:K22))+(SUM(E25:K25))+(SUM(E28:K28)))</f>
        <v>1389.3000000000002</v>
      </c>
      <c r="F33" s="42"/>
      <c r="G33" s="42">
        <f>E33</f>
        <v>1389.3000000000002</v>
      </c>
      <c r="H33" s="42"/>
      <c r="I33" s="42"/>
      <c r="J33" s="42"/>
      <c r="K33" s="42"/>
      <c r="L33" s="43">
        <f>H33+G33</f>
        <v>1389.3000000000002</v>
      </c>
    </row>
    <row r="34" spans="1:12" ht="16.95" customHeight="1">
      <c r="A34" s="44">
        <v>2</v>
      </c>
      <c r="B34" s="45" t="s">
        <v>35</v>
      </c>
      <c r="C34" s="45"/>
      <c r="D34" s="45"/>
      <c r="E34" s="46"/>
      <c r="F34" s="46"/>
      <c r="G34" s="46">
        <f t="shared" ref="G34" si="3">E34</f>
        <v>0</v>
      </c>
      <c r="H34" s="46"/>
      <c r="I34" s="46"/>
      <c r="J34" s="46"/>
      <c r="K34" s="46"/>
      <c r="L34" s="47"/>
    </row>
    <row r="35" spans="1:12" ht="29.7" customHeight="1">
      <c r="A35" s="48" t="s">
        <v>11</v>
      </c>
      <c r="B35" s="49"/>
      <c r="C35" s="49"/>
      <c r="D35" s="49"/>
      <c r="E35" s="50">
        <f t="shared" ref="E35:L35" si="4">SUM(E33:E34)</f>
        <v>1389.3000000000002</v>
      </c>
      <c r="F35" s="50">
        <f t="shared" si="4"/>
        <v>0</v>
      </c>
      <c r="G35" s="50">
        <f t="shared" si="4"/>
        <v>1389.3000000000002</v>
      </c>
      <c r="H35" s="50">
        <f t="shared" si="4"/>
        <v>0</v>
      </c>
      <c r="I35" s="50">
        <f t="shared" si="4"/>
        <v>0</v>
      </c>
      <c r="J35" s="50">
        <f t="shared" si="4"/>
        <v>0</v>
      </c>
      <c r="K35" s="51">
        <f t="shared" si="4"/>
        <v>0</v>
      </c>
      <c r="L35" s="52">
        <f t="shared" si="4"/>
        <v>1389.3000000000002</v>
      </c>
    </row>
  </sheetData>
  <mergeCells count="25">
    <mergeCell ref="B32:C32"/>
    <mergeCell ref="B33:C33"/>
    <mergeCell ref="A5:A7"/>
    <mergeCell ref="A8:A10"/>
    <mergeCell ref="A11:A13"/>
    <mergeCell ref="A14:A16"/>
    <mergeCell ref="A17:A19"/>
    <mergeCell ref="A20:A22"/>
    <mergeCell ref="A23:A25"/>
    <mergeCell ref="A26:A28"/>
    <mergeCell ref="B5:B7"/>
    <mergeCell ref="B8:B10"/>
    <mergeCell ref="B11:B13"/>
    <mergeCell ref="B14:B16"/>
    <mergeCell ref="A30:B30"/>
    <mergeCell ref="D3:E3"/>
    <mergeCell ref="F3:G3"/>
    <mergeCell ref="H3:I3"/>
    <mergeCell ref="A1:L2"/>
    <mergeCell ref="A31:L31"/>
    <mergeCell ref="B20:B22"/>
    <mergeCell ref="B23:B25"/>
    <mergeCell ref="B26:B28"/>
    <mergeCell ref="B17:B19"/>
    <mergeCell ref="A3:B3"/>
  </mergeCells>
  <pageMargins left="0.70866141732283505" right="0.70866141732283505" top="0.74803149606299202" bottom="0.74803149606299202" header="0.31496062992126" footer="0.31496062992126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OPS Office</vt:lpstr>
      <vt:lpstr>Coaching</vt:lpstr>
      <vt:lpstr>Leave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OPHELP Operations</dc:creator>
  <cp:lastModifiedBy>OPHELP Operations</cp:lastModifiedBy>
  <cp:lastPrinted>2026-08-26T08:19:04Z</cp:lastPrinted>
  <dcterms:created xsi:type="dcterms:W3CDTF">2020-11-24T12:29:00Z</dcterms:created>
  <dcterms:modified xsi:type="dcterms:W3CDTF">2026-08-26T08:19:08Z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37616BE69F5645EF8301CF5B4E7F233A_12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